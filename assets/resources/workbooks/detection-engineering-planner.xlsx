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97577bd2b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eea390eb0d4a29"/>
    <x:sheet xmlns:r="http://schemas.openxmlformats.org/officeDocument/2006/relationships" name="Detection Catalog" sheetId="2" r:id="R8bc3660da965464d"/>
    <x:sheet xmlns:r="http://schemas.openxmlformats.org/officeDocument/2006/relationships" name="Detection Logic" sheetId="3" r:id="R00638ab365c84cd5"/>
    <x:sheet xmlns:r="http://schemas.openxmlformats.org/officeDocument/2006/relationships" name="Tuning Log" sheetId="4" r:id="R52b1116e9f444dae"/>
    <x:sheet xmlns:r="http://schemas.openxmlformats.org/officeDocument/2006/relationships" name="Validation Exercises" sheetId="5" r:id="Rd59950e85d3a458f"/>
    <x:sheet xmlns:r="http://schemas.openxmlformats.org/officeDocument/2006/relationships" name="Coverage Matrix" sheetId="6" r:id="Ree67ca72c3024ee8"/>
    <x:sheet xmlns:r="http://schemas.openxmlformats.org/officeDocument/2006/relationships" name="Performance Metrics" sheetId="7" r:id="R473ff3ea408340d9"/>
    <x:sheet xmlns:r="http://schemas.openxmlformats.org/officeDocument/2006/relationships" name="Instructions" sheetId="8" r:id="R0e5fdbcc7c5d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927c42bce459e" /><Relationship Type="http://schemas.openxmlformats.org/officeDocument/2006/relationships/theme" Target="/xl/theme/theme1.xml" Id="Rb5d5e147ba934a73" /><Relationship Type="http://schemas.openxmlformats.org/officeDocument/2006/relationships/sharedStrings" Target="/xl/sharedStrings.xml" Id="R3d66a57989324ce3" /><Relationship Type="http://schemas.openxmlformats.org/officeDocument/2006/relationships/worksheet" Target="/xl/worksheets/sheet1.xml" Id="Rbdeea390eb0d4a29" /><Relationship Type="http://schemas.openxmlformats.org/officeDocument/2006/relationships/worksheet" Target="/xl/worksheets/sheet2.xml" Id="R8bc3660da965464d" /><Relationship Type="http://schemas.openxmlformats.org/officeDocument/2006/relationships/worksheet" Target="/xl/worksheets/sheet3.xml" Id="R00638ab365c84cd5" /><Relationship Type="http://schemas.openxmlformats.org/officeDocument/2006/relationships/worksheet" Target="/xl/worksheets/sheet4.xml" Id="R52b1116e9f444dae" /><Relationship Type="http://schemas.openxmlformats.org/officeDocument/2006/relationships/worksheet" Target="/xl/worksheets/sheet5.xml" Id="Rd59950e85d3a458f" /><Relationship Type="http://schemas.openxmlformats.org/officeDocument/2006/relationships/worksheet" Target="/xl/worksheets/sheet6.xml" Id="Ree67ca72c3024ee8" /><Relationship Type="http://schemas.openxmlformats.org/officeDocument/2006/relationships/worksheet" Target="/xl/worksheets/sheet7.xml" Id="R473ff3ea408340d9" /><Relationship Type="http://schemas.openxmlformats.org/officeDocument/2006/relationships/worksheet" Target="/xl/worksheets/sheet8.xml" Id="R0e5fdbcc7c5d41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85cfc469ed45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Operating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85cfc469ed45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DetectionEngineeringPlannerDetectionCatalog" displayName="TDetectionEngineeringPlannerDetectionCatalog" ref="A3:J6" headerRowCount="1">
  <x:tableColumns count="10">
    <x:tableColumn id="1" name="Detection ID"/>
    <x:tableColumn id="2" name="Detection Name"/>
    <x:tableColumn id="3" name="Use Case"/>
    <x:tableColumn id="4" name="Data Source"/>
    <x:tableColumn id="5" name="Severity"/>
    <x:tableColumn id="6" name="Owner"/>
    <x:tableColumn id="7" name="ATT&amp;CK Technique"/>
    <x:tableColumn id="8" name="Environment"/>
    <x:tableColumn id="9" name="Status"/>
    <x:tableColumn id="10" name="Last Reviewed"/>
  </x:tableColumns>
  <x:tableStyleInfo name="TableStyleMedium2" showRowStripes="1"/>
</x:table>
</file>

<file path=xl/tables/table2.xml><?xml version="1.0" encoding="utf-8"?>
<x:table xmlns:x="http://schemas.openxmlformats.org/spreadsheetml/2006/main" id="2" name="TDetectionEngineeringPlannerDetectionLogic" displayName="TDetectionEngineeringPlannerDetectionLogic" ref="A3:J6" headerRowCount="1">
  <x:tableColumns count="10">
    <x:tableColumn id="1" name="Logic ID"/>
    <x:tableColumn id="2" name="Detection ID"/>
    <x:tableColumn id="3" name="Logic Description"/>
    <x:tableColumn id="4" name="Query / Repository Reference"/>
    <x:tableColumn id="5" name="Lookback Minutes"/>
    <x:tableColumn id="6" name="Threshold"/>
    <x:tableColumn id="7" name="Suppression"/>
    <x:tableColumn id="8" name="Required Fields"/>
    <x:tableColumn id="9" name="Version"/>
    <x:tableColumn id="10" name="Approval"/>
  </x:tableColumns>
  <x:tableStyleInfo name="TableStyleMedium2" showRowStripes="1"/>
</x:table>
</file>

<file path=xl/tables/table3.xml><?xml version="1.0" encoding="utf-8"?>
<x:table xmlns:x="http://schemas.openxmlformats.org/spreadsheetml/2006/main" id="3" name="TDetectionEngineeringPlannerTuningLog" displayName="TDetectionEngineeringPlannerTuningLog" ref="A3:J5" headerRowCount="1">
  <x:tableColumns count="10">
    <x:tableColumn id="1" name="Tuning ID"/>
    <x:tableColumn id="2" name="Detection ID"/>
    <x:tableColumn id="3" name="Change Date"/>
    <x:tableColumn id="4" name="Observed Problem"/>
    <x:tableColumn id="5" name="Change"/>
    <x:tableColumn id="6" name="Expected Effect"/>
    <x:tableColumn id="7" name="Owner"/>
    <x:tableColumn id="8" name="Validation Result"/>
    <x:tableColumn id="9" name="Approved By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DetectionEngineeringPlannerValidationExercises" displayName="TDetectionEngineeringPlannerValidationExercises" ref="A3:J6" headerRowCount="1">
  <x:tableColumns count="10">
    <x:tableColumn id="1" name="Exercise ID"/>
    <x:tableColumn id="2" name="Detection ID"/>
    <x:tableColumn id="3" name="Validation Type"/>
    <x:tableColumn id="4" name="Test Procedure"/>
    <x:tableColumn id="5" name="Expected Signal"/>
    <x:tableColumn id="6" name="Test Date"/>
    <x:tableColumn id="7" name="Result"/>
    <x:tableColumn id="8" name="Evidence"/>
    <x:tableColumn id="9" name="Owner"/>
    <x:tableColumn id="10" name="Retest Date"/>
  </x:tableColumns>
  <x:tableStyleInfo name="TableStyleMedium2" showRowStripes="1"/>
</x:table>
</file>

<file path=xl/tables/table5.xml><?xml version="1.0" encoding="utf-8"?>
<x:table xmlns:x="http://schemas.openxmlformats.org/spreadsheetml/2006/main" id="5" name="TDetectionEngineeringPlannerCoverageMatrix" displayName="TDetectionEngineeringPlannerCoverageMatrix" ref="A3:J6" headerRowCount="1">
  <x:tableColumns count="10">
    <x:tableColumn id="1" name="Coverage ID"/>
    <x:tableColumn id="2" name="Tactic"/>
    <x:tableColumn id="3" name="Technique"/>
    <x:tableColumn id="4" name="Technique ID"/>
    <x:tableColumn id="5" name="Priority"/>
    <x:tableColumn id="6" name="Detection Count"/>
    <x:tableColumn id="7" name="Validated Count"/>
    <x:tableColumn id="8" name="Coverage %"/>
    <x:tableColumn id="9" name="Primary Owner"/>
    <x:tableColumn id="10" name="Gap"/>
  </x:tableColumns>
  <x:tableStyleInfo name="TableStyleMedium2" showRowStripes="1"/>
</x:table>
</file>

<file path=xl/tables/table6.xml><?xml version="1.0" encoding="utf-8"?>
<x:table xmlns:x="http://schemas.openxmlformats.org/spreadsheetml/2006/main" id="6" name="TDetectionEngineeringPlannerPerformanceMetrics" displayName="TDetectionEngineeringPlannerPerformanceMetrics" ref="A3:H6" headerRowCount="1">
  <x:tableColumns count="8">
    <x:tableColumn id="1" name="Month"/>
    <x:tableColumn id="2" name="Alerts"/>
    <x:tableColumn id="3" name="True Positives"/>
    <x:tableColumn id="4" name="False Positives"/>
    <x:tableColumn id="5" name="Precision %"/>
    <x:tableColumn id="6" name="Median Triage Minutes"/>
    <x:tableColumn id="7" name="Detections Validated"/>
    <x:tableColumn id="8" name="Overdue Revie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1cd053303049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49a6fe22cc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25adc1fa0948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e2e7b42c11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8039ae8f3447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436eaeb6b645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893041887f465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4" t="str">
        <x:v>Detection Engineering Planner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Operational Worksheets</x:v>
      </x:c>
      <x:c r="B4" t="n">
        <x:v>6</x:v>
      </x:c>
      <x:c r="D4" t="str">
        <x:v>Detection Catalog</x:v>
      </x:c>
      <x:c r="E4" t="n">
        <x:f>COUNTIF('Detection Catalog'!A4:A303,"&lt;&gt;")</x:f>
        <x:v>3</x:v>
      </x:c>
    </x:row>
    <x:row r="5">
      <x:c r="A5" t="str">
        <x:v>Tracked Records</x:v>
      </x:c>
      <x:c r="B5" t="n">
        <x:f>COUNTIF('Detection Catalog'!A4:A303,"&lt;&gt;")+COUNTIF('Detection Logic'!A4:A303,"&lt;&gt;")+COUNTIF('Tuning Log'!A4:A303,"&lt;&gt;")+COUNTIF('Validation Exercises'!A4:A303,"&lt;&gt;")+COUNTIF('Coverage Matrix'!A4:A303,"&lt;&gt;")+COUNTIF('Performance Metrics'!A4:A303,"&lt;&gt;")</x:f>
        <x:v>17</x:v>
      </x:c>
      <x:c r="D5" t="str">
        <x:v>Detection Logic</x:v>
      </x:c>
      <x:c r="E5" t="n">
        <x:f>COUNTIF('Detection Logic'!A4:A303,"&lt;&gt;")</x:f>
        <x:v>3</x:v>
      </x:c>
    </x:row>
    <x:row r="6">
      <x:c r="A6" t="str">
        <x:v>Open / Active Items</x:v>
      </x:c>
      <x:c r="B6" t="n">
        <x:v>7</x:v>
      </x:c>
      <x:c r="D6" t="str">
        <x:v>Tuning Log</x:v>
      </x:c>
      <x:c r="E6" t="n">
        <x:f>COUNTIF('Tuning Log'!A4:A303,"&lt;&gt;")</x:f>
        <x:v>2</x:v>
      </x:c>
    </x:row>
    <x:row r="7">
      <x:c r="A7" t="str">
        <x:v>Needs Attention</x:v>
      </x:c>
      <x:c r="B7" t="n">
        <x:v>4</x:v>
      </x:c>
      <x:c r="D7" t="str">
        <x:v>Validation Exercises</x:v>
      </x:c>
      <x:c r="E7" t="n">
        <x:f>COUNTIF('Validation Exercises'!A4:A303,"&lt;&gt;")</x:f>
        <x:v>3</x:v>
      </x:c>
    </x:row>
    <x:row r="8">
      <x:c r="A8" t="str">
        <x:v>Completed / Operational</x:v>
      </x:c>
      <x:c r="B8" t="n">
        <x:v>4</x:v>
      </x:c>
      <x:c r="D8" t="str">
        <x:v>Coverage Matrix</x:v>
      </x:c>
      <x:c r="E8" t="n">
        <x:f>COUNTIF('Coverage Matrix'!A4:A303,"&lt;&gt;")</x:f>
        <x:v>3</x:v>
      </x:c>
    </x:row>
    <x:row r="9">
      <x:c r="A9" t="str">
        <x:v>Average Coverage / SLA %</x:v>
      </x:c>
      <x:c r="B9" t="n">
        <x:v>0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351cd0533030495b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Detection Catalog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Detection ID</x:v>
      </x:c>
      <x:c r="B3" s="12" t="str">
        <x:v>Detection Name</x:v>
      </x:c>
      <x:c r="C3" s="12" t="str">
        <x:v>Use Case</x:v>
      </x:c>
      <x:c r="D3" s="12" t="str">
        <x:v>Data Source</x:v>
      </x:c>
      <x:c r="E3" s="12" t="str">
        <x:v>Severity</x:v>
      </x:c>
      <x:c r="F3" s="12" t="str">
        <x:v>Owner</x:v>
      </x:c>
      <x:c r="G3" s="12" t="str">
        <x:v>ATT&amp;CK Technique</x:v>
      </x:c>
      <x:c r="H3" s="12" t="str">
        <x:v>Environment</x:v>
      </x:c>
      <x:c r="I3" s="12" t="str">
        <x:v>Status</x:v>
      </x:c>
      <x:c r="J3" s="12" t="str">
        <x:v>Last Reviewed</x:v>
      </x:c>
    </x:row>
    <x:row r="4">
      <x:c r="A4" s="20" t="str">
        <x:v>DET-001</x:v>
      </x:c>
      <x:c r="B4" s="20" t="str">
        <x:v>Impossible privileged travel</x:v>
      </x:c>
      <x:c r="C4" s="20" t="str">
        <x:v>Privileged identity misuse</x:v>
      </x:c>
      <x:c r="D4" s="20" t="str">
        <x:v>Identity sign-in logs</x:v>
      </x:c>
      <x:c r="E4" s="20" t="str">
        <x:v>High</x:v>
      </x:c>
      <x:c r="F4" s="20" t="str">
        <x:v>Detection Engineer</x:v>
      </x:c>
      <x:c r="G4" s="20" t="str">
        <x:v>T1078</x:v>
      </x:c>
      <x:c r="H4" s="20" t="str">
        <x:v>Production</x:v>
      </x:c>
      <x:c r="I4" s="20" t="str">
        <x:v>Operational</x:v>
      </x:c>
      <x:c r="J4" s="22" t="n">
        <x:v>46204</x:v>
      </x:c>
    </x:row>
    <x:row r="5">
      <x:c r="A5" s="20" t="str">
        <x:v>DET-002</x:v>
      </x:c>
      <x:c r="B5" s="20" t="str">
        <x:v>Suspicious PowerShell download</x:v>
      </x:c>
      <x:c r="C5" s="20" t="str">
        <x:v>Malware execution</x:v>
      </x:c>
      <x:c r="D5" s="20" t="str">
        <x:v>EDR process telemetry</x:v>
      </x:c>
      <x:c r="E5" s="20" t="str">
        <x:v>High</x:v>
      </x:c>
      <x:c r="F5" s="20" t="str">
        <x:v>Detection Engineer</x:v>
      </x:c>
      <x:c r="G5" s="20" t="str">
        <x:v>T1059.001</x:v>
      </x:c>
      <x:c r="H5" s="20" t="str">
        <x:v>Production</x:v>
      </x:c>
      <x:c r="I5" s="20" t="str">
        <x:v>In Progress</x:v>
      </x:c>
      <x:c r="J5" s="22" t="n">
        <x:v>46213</x:v>
      </x:c>
    </x:row>
    <x:row r="6">
      <x:c r="A6" s="20" t="str">
        <x:v>DET-003</x:v>
      </x:c>
      <x:c r="B6" s="20" t="str">
        <x:v>Cloud access key used from new region</x:v>
      </x:c>
      <x:c r="C6" s="20" t="str">
        <x:v>Cloud credential misuse</x:v>
      </x:c>
      <x:c r="D6" s="20" t="str">
        <x:v>Cloud audit logs</x:v>
      </x:c>
      <x:c r="E6" s="20" t="str">
        <x:v>Critical</x:v>
      </x:c>
      <x:c r="F6" s="20" t="str">
        <x:v>Cloud Detection Engineer</x:v>
      </x:c>
      <x:c r="G6" s="20" t="str">
        <x:v>T1078.004</x:v>
      </x:c>
      <x:c r="H6" s="20" t="str">
        <x:v>Production</x:v>
      </x:c>
      <x:c r="I6" s="20" t="str">
        <x:v>Needs Review</x:v>
      </x:c>
      <x:c r="J6" s="22" t="n">
        <x:v>46193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2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2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2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2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2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2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2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2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2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2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2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2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2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2"/>
    </x:row>
    <x:row r="21">
      <x:c r="J21" s="23"/>
    </x:row>
    <x:row r="22">
      <x:c r="J22" s="23"/>
    </x:row>
    <x:row r="23">
      <x:c r="J23" s="23"/>
    </x:row>
    <x:row r="24">
      <x:c r="J24" s="23"/>
    </x:row>
    <x:row r="25">
      <x:c r="J25" s="23"/>
    </x:row>
    <x:row r="26">
      <x:c r="J26" s="23"/>
    </x:row>
    <x:row r="27">
      <x:c r="J27" s="23"/>
    </x:row>
    <x:row r="28">
      <x:c r="J28" s="23"/>
    </x:row>
    <x:row r="29">
      <x:c r="J29" s="23"/>
    </x:row>
    <x:row r="30">
      <x:c r="J30" s="23"/>
    </x:row>
    <x:row r="31">
      <x:c r="J31" s="23"/>
    </x:row>
    <x:row r="32">
      <x:c r="J32" s="23"/>
    </x:row>
    <x:row r="33">
      <x:c r="J33" s="23"/>
    </x:row>
    <x:row r="34">
      <x:c r="J34" s="23"/>
    </x:row>
    <x:row r="35">
      <x:c r="J35" s="23"/>
    </x:row>
    <x:row r="36">
      <x:c r="J36" s="23"/>
    </x:row>
    <x:row r="37">
      <x:c r="J37" s="23"/>
    </x:row>
    <x:row r="38">
      <x:c r="J38" s="23"/>
    </x:row>
    <x:row r="39">
      <x:c r="J39" s="23"/>
    </x:row>
    <x:row r="40">
      <x:c r="J40" s="23"/>
    </x:row>
    <x:row r="41">
      <x:c r="J41" s="23"/>
    </x:row>
    <x:row r="42">
      <x:c r="J42" s="23"/>
    </x:row>
    <x:row r="43">
      <x:c r="J43" s="23"/>
    </x:row>
    <x:row r="44">
      <x:c r="J44" s="23"/>
    </x:row>
    <x:row r="45">
      <x:c r="J45" s="23"/>
    </x:row>
    <x:row r="46">
      <x:c r="J46" s="23"/>
    </x:row>
    <x:row r="47">
      <x:c r="J47" s="23"/>
    </x:row>
    <x:row r="48">
      <x:c r="J48" s="23"/>
    </x:row>
    <x:row r="49">
      <x:c r="J49" s="23"/>
    </x:row>
    <x:row r="50">
      <x:c r="J50" s="23"/>
    </x:row>
    <x:row r="51">
      <x:c r="J51" s="23"/>
    </x:row>
    <x:row r="52">
      <x:c r="J52" s="23"/>
    </x:row>
    <x:row r="53">
      <x:c r="J53" s="23"/>
    </x:row>
    <x:row r="54">
      <x:c r="J54" s="23"/>
    </x:row>
    <x:row r="55">
      <x:c r="J55" s="23"/>
    </x:row>
    <x:row r="56">
      <x:c r="J56" s="23"/>
    </x:row>
    <x:row r="57">
      <x:c r="J57" s="23"/>
    </x:row>
    <x:row r="58">
      <x:c r="J58" s="23"/>
    </x:row>
    <x:row r="59">
      <x:c r="J59" s="23"/>
    </x:row>
    <x:row r="60">
      <x:c r="J60" s="23"/>
    </x:row>
    <x:row r="61">
      <x:c r="J61" s="23"/>
    </x:row>
    <x:row r="62">
      <x:c r="J62" s="23"/>
    </x:row>
    <x:row r="63">
      <x:c r="J63" s="23"/>
    </x:row>
    <x:row r="64">
      <x:c r="J64" s="23"/>
    </x:row>
    <x:row r="65">
      <x:c r="J65" s="23"/>
    </x:row>
    <x:row r="66">
      <x:c r="J66" s="23"/>
    </x:row>
    <x:row r="67">
      <x:c r="J67" s="23"/>
    </x:row>
    <x:row r="68">
      <x:c r="J68" s="23"/>
    </x:row>
    <x:row r="69">
      <x:c r="J69" s="23"/>
    </x:row>
    <x:row r="70">
      <x:c r="J70" s="23"/>
    </x:row>
    <x:row r="71">
      <x:c r="J71" s="23"/>
    </x:row>
    <x:row r="72">
      <x:c r="J72" s="23"/>
    </x:row>
    <x:row r="73">
      <x:c r="J73" s="23"/>
    </x:row>
    <x:row r="74">
      <x:c r="J74" s="23"/>
    </x:row>
    <x:row r="75">
      <x:c r="J75" s="23"/>
    </x:row>
    <x:row r="76">
      <x:c r="J76" s="23"/>
    </x:row>
    <x:row r="77">
      <x:c r="J77" s="23"/>
    </x:row>
    <x:row r="78">
      <x:c r="J78" s="23"/>
    </x:row>
    <x:row r="79">
      <x:c r="J79" s="23"/>
    </x:row>
    <x:row r="80">
      <x:c r="J80" s="23"/>
    </x:row>
    <x:row r="81">
      <x:c r="J81" s="23"/>
    </x:row>
    <x:row r="82">
      <x:c r="J82" s="23"/>
    </x:row>
    <x:row r="83">
      <x:c r="J83" s="23"/>
    </x:row>
    <x:row r="84">
      <x:c r="J84" s="23"/>
    </x:row>
    <x:row r="85">
      <x:c r="J85" s="23"/>
    </x:row>
    <x:row r="86">
      <x:c r="J86" s="23"/>
    </x:row>
    <x:row r="87">
      <x:c r="J87" s="23"/>
    </x:row>
    <x:row r="88">
      <x:c r="J88" s="23"/>
    </x:row>
    <x:row r="89">
      <x:c r="J89" s="23"/>
    </x:row>
    <x:row r="90">
      <x:c r="J90" s="23"/>
    </x:row>
    <x:row r="91">
      <x:c r="J91" s="23"/>
    </x:row>
    <x:row r="92">
      <x:c r="J92" s="23"/>
    </x:row>
    <x:row r="93">
      <x:c r="J93" s="23"/>
    </x:row>
    <x:row r="94">
      <x:c r="J94" s="23"/>
    </x:row>
    <x:row r="95">
      <x:c r="J95" s="23"/>
    </x:row>
    <x:row r="96">
      <x:c r="J96" s="23"/>
    </x:row>
    <x:row r="97">
      <x:c r="J97" s="23"/>
    </x:row>
    <x:row r="98">
      <x:c r="J98" s="23"/>
    </x:row>
    <x:row r="99">
      <x:c r="J99" s="23"/>
    </x:row>
    <x:row r="100">
      <x:c r="J100" s="23"/>
    </x:row>
    <x:row r="101">
      <x:c r="J101" s="23"/>
    </x:row>
    <x:row r="102">
      <x:c r="J102" s="23"/>
    </x:row>
    <x:row r="103">
      <x:c r="J103" s="23"/>
    </x:row>
    <x:row r="104">
      <x:c r="J104" s="23"/>
    </x:row>
    <x:row r="105">
      <x:c r="J105" s="23"/>
    </x:row>
    <x:row r="106">
      <x:c r="J106" s="23"/>
    </x:row>
    <x:row r="107">
      <x:c r="J107" s="23"/>
    </x:row>
    <x:row r="108">
      <x:c r="J108" s="23"/>
    </x:row>
    <x:row r="109">
      <x:c r="J109" s="23"/>
    </x:row>
    <x:row r="110">
      <x:c r="J110" s="23"/>
    </x:row>
    <x:row r="111">
      <x:c r="J111" s="23"/>
    </x:row>
    <x:row r="112">
      <x:c r="J112" s="23"/>
    </x:row>
    <x:row r="113">
      <x:c r="J113" s="23"/>
    </x:row>
    <x:row r="114">
      <x:c r="J114" s="23"/>
    </x:row>
    <x:row r="115">
      <x:c r="J115" s="23"/>
    </x:row>
    <x:row r="116">
      <x:c r="J116" s="23"/>
    </x:row>
    <x:row r="117">
      <x:c r="J117" s="23"/>
    </x:row>
    <x:row r="118">
      <x:c r="J118" s="23"/>
    </x:row>
    <x:row r="119">
      <x:c r="J119" s="23"/>
    </x:row>
    <x:row r="120">
      <x:c r="J120" s="23"/>
    </x:row>
    <x:row r="121">
      <x:c r="J121" s="23"/>
    </x:row>
    <x:row r="122">
      <x:c r="J122" s="23"/>
    </x:row>
    <x:row r="123">
      <x:c r="J123" s="23"/>
    </x:row>
    <x:row r="124">
      <x:c r="J124" s="23"/>
    </x:row>
    <x:row r="125">
      <x:c r="J125" s="23"/>
    </x:row>
    <x:row r="126">
      <x:c r="J126" s="23"/>
    </x:row>
    <x:row r="127">
      <x:c r="J127" s="23"/>
    </x:row>
    <x:row r="128">
      <x:c r="J128" s="23"/>
    </x:row>
    <x:row r="129">
      <x:c r="J129" s="23"/>
    </x:row>
    <x:row r="130">
      <x:c r="J130" s="23"/>
    </x:row>
    <x:row r="131">
      <x:c r="J131" s="23"/>
    </x:row>
    <x:row r="132">
      <x:c r="J132" s="23"/>
    </x:row>
    <x:row r="133">
      <x:c r="J133" s="23"/>
    </x:row>
    <x:row r="134">
      <x:c r="J134" s="23"/>
    </x:row>
    <x:row r="135">
      <x:c r="J135" s="23"/>
    </x:row>
    <x:row r="136">
      <x:c r="J136" s="23"/>
    </x:row>
    <x:row r="137">
      <x:c r="J137" s="23"/>
    </x:row>
    <x:row r="138">
      <x:c r="J138" s="23"/>
    </x:row>
    <x:row r="139">
      <x:c r="J139" s="23"/>
    </x:row>
    <x:row r="140">
      <x:c r="J140" s="23"/>
    </x:row>
    <x:row r="141">
      <x:c r="J141" s="23"/>
    </x:row>
    <x:row r="142">
      <x:c r="J142" s="23"/>
    </x:row>
    <x:row r="143">
      <x:c r="J143" s="23"/>
    </x:row>
    <x:row r="144">
      <x:c r="J144" s="23"/>
    </x:row>
    <x:row r="145">
      <x:c r="J145" s="23"/>
    </x:row>
    <x:row r="146">
      <x:c r="J146" s="23"/>
    </x:row>
    <x:row r="147">
      <x:c r="J147" s="23"/>
    </x:row>
    <x:row r="148">
      <x:c r="J148" s="23"/>
    </x:row>
    <x:row r="149">
      <x:c r="J149" s="23"/>
    </x:row>
    <x:row r="150">
      <x:c r="J150" s="23"/>
    </x:row>
    <x:row r="151">
      <x:c r="J151" s="23"/>
    </x:row>
    <x:row r="152">
      <x:c r="J152" s="23"/>
    </x:row>
    <x:row r="153">
      <x:c r="J153" s="23"/>
    </x:row>
    <x:row r="154">
      <x:c r="J154" s="23"/>
    </x:row>
    <x:row r="155">
      <x:c r="J155" s="23"/>
    </x:row>
    <x:row r="156">
      <x:c r="J156" s="23"/>
    </x:row>
    <x:row r="157">
      <x:c r="J157" s="23"/>
    </x:row>
    <x:row r="158">
      <x:c r="J158" s="23"/>
    </x:row>
    <x:row r="159">
      <x:c r="J159" s="23"/>
    </x:row>
    <x:row r="160">
      <x:c r="J160" s="23"/>
    </x:row>
    <x:row r="161">
      <x:c r="J161" s="23"/>
    </x:row>
    <x:row r="162">
      <x:c r="J162" s="23"/>
    </x:row>
    <x:row r="163">
      <x:c r="J163" s="23"/>
    </x:row>
    <x:row r="164">
      <x:c r="J164" s="23"/>
    </x:row>
    <x:row r="165">
      <x:c r="J165" s="23"/>
    </x:row>
    <x:row r="166">
      <x:c r="J166" s="23"/>
    </x:row>
    <x:row r="167">
      <x:c r="J167" s="23"/>
    </x:row>
    <x:row r="168">
      <x:c r="J168" s="23"/>
    </x:row>
    <x:row r="169">
      <x:c r="J169" s="23"/>
    </x:row>
    <x:row r="170">
      <x:c r="J170" s="23"/>
    </x:row>
    <x:row r="171">
      <x:c r="J171" s="23"/>
    </x:row>
    <x:row r="172">
      <x:c r="J172" s="23"/>
    </x:row>
    <x:row r="173">
      <x:c r="J173" s="23"/>
    </x:row>
    <x:row r="174">
      <x:c r="J174" s="23"/>
    </x:row>
    <x:row r="175">
      <x:c r="J175" s="23"/>
    </x:row>
    <x:row r="176">
      <x:c r="J176" s="23"/>
    </x:row>
    <x:row r="177">
      <x:c r="J177" s="23"/>
    </x:row>
    <x:row r="178">
      <x:c r="J178" s="23"/>
    </x:row>
    <x:row r="179">
      <x:c r="J179" s="23"/>
    </x:row>
    <x:row r="180">
      <x:c r="J180" s="23"/>
    </x:row>
    <x:row r="181">
      <x:c r="J181" s="23"/>
    </x:row>
    <x:row r="182">
      <x:c r="J182" s="23"/>
    </x:row>
    <x:row r="183">
      <x:c r="J183" s="23"/>
    </x:row>
    <x:row r="184">
      <x:c r="J184" s="23"/>
    </x:row>
    <x:row r="185">
      <x:c r="J185" s="23"/>
    </x:row>
    <x:row r="186">
      <x:c r="J186" s="23"/>
    </x:row>
    <x:row r="187">
      <x:c r="J187" s="23"/>
    </x:row>
    <x:row r="188">
      <x:c r="J188" s="23"/>
    </x:row>
    <x:row r="189">
      <x:c r="J189" s="23"/>
    </x:row>
    <x:row r="190">
      <x:c r="J190" s="23"/>
    </x:row>
    <x:row r="191">
      <x:c r="J191" s="23"/>
    </x:row>
    <x:row r="192">
      <x:c r="J192" s="23"/>
    </x:row>
    <x:row r="193">
      <x:c r="J193" s="23"/>
    </x:row>
    <x:row r="194">
      <x:c r="J194" s="23"/>
    </x:row>
    <x:row r="195">
      <x:c r="J195" s="23"/>
    </x:row>
    <x:row r="196">
      <x:c r="J196" s="23"/>
    </x:row>
    <x:row r="197">
      <x:c r="J197" s="23"/>
    </x:row>
    <x:row r="198">
      <x:c r="J198" s="23"/>
    </x:row>
    <x:row r="199">
      <x:c r="J199" s="23"/>
    </x:row>
    <x:row r="200">
      <x:c r="J200" s="23"/>
    </x:row>
    <x:row r="201">
      <x:c r="J201" s="23"/>
    </x:row>
    <x:row r="202">
      <x:c r="J202" s="23"/>
    </x:row>
    <x:row r="203">
      <x:c r="J203" s="23"/>
    </x:row>
    <x:row r="204">
      <x:c r="J204" s="23"/>
    </x:row>
    <x:row r="205">
      <x:c r="J205" s="23"/>
    </x:row>
    <x:row r="206">
      <x:c r="J206" s="23"/>
    </x:row>
    <x:row r="207">
      <x:c r="J207" s="23"/>
    </x:row>
    <x:row r="208">
      <x:c r="J208" s="23"/>
    </x:row>
    <x:row r="209">
      <x:c r="J209" s="23"/>
    </x:row>
    <x:row r="210">
      <x:c r="J210" s="23"/>
    </x:row>
    <x:row r="211">
      <x:c r="J211" s="23"/>
    </x:row>
    <x:row r="212">
      <x:c r="J212" s="23"/>
    </x:row>
    <x:row r="213">
      <x:c r="J213" s="23"/>
    </x:row>
    <x:row r="214">
      <x:c r="J214" s="23"/>
    </x:row>
    <x:row r="215">
      <x:c r="J215" s="23"/>
    </x:row>
    <x:row r="216">
      <x:c r="J216" s="23"/>
    </x:row>
    <x:row r="217">
      <x:c r="J217" s="23"/>
    </x:row>
    <x:row r="218">
      <x:c r="J218" s="23"/>
    </x:row>
    <x:row r="219">
      <x:c r="J219" s="23"/>
    </x:row>
    <x:row r="220">
      <x:c r="J220" s="23"/>
    </x:row>
    <x:row r="221">
      <x:c r="J221" s="23"/>
    </x:row>
    <x:row r="222">
      <x:c r="J222" s="23"/>
    </x:row>
    <x:row r="223">
      <x:c r="J223" s="23"/>
    </x:row>
    <x:row r="224">
      <x:c r="J224" s="23"/>
    </x:row>
    <x:row r="225">
      <x:c r="J225" s="23"/>
    </x:row>
    <x:row r="226">
      <x:c r="J226" s="23"/>
    </x:row>
    <x:row r="227">
      <x:c r="J227" s="23"/>
    </x:row>
    <x:row r="228">
      <x:c r="J228" s="23"/>
    </x:row>
    <x:row r="229">
      <x:c r="J229" s="23"/>
    </x:row>
    <x:row r="230">
      <x:c r="J230" s="23"/>
    </x:row>
    <x:row r="231">
      <x:c r="J231" s="23"/>
    </x:row>
    <x:row r="232">
      <x:c r="J232" s="23"/>
    </x:row>
    <x:row r="233">
      <x:c r="J233" s="23"/>
    </x:row>
    <x:row r="234">
      <x:c r="J234" s="23"/>
    </x:row>
    <x:row r="235">
      <x:c r="J235" s="23"/>
    </x:row>
    <x:row r="236">
      <x:c r="J236" s="23"/>
    </x:row>
    <x:row r="237">
      <x:c r="J237" s="23"/>
    </x:row>
    <x:row r="238">
      <x:c r="J238" s="23"/>
    </x:row>
    <x:row r="239">
      <x:c r="J239" s="23"/>
    </x:row>
    <x:row r="240">
      <x:c r="J240" s="23"/>
    </x:row>
    <x:row r="241">
      <x:c r="J241" s="23"/>
    </x:row>
    <x:row r="242">
      <x:c r="J242" s="23"/>
    </x:row>
    <x:row r="243">
      <x:c r="J243" s="23"/>
    </x:row>
    <x:row r="244">
      <x:c r="J244" s="23"/>
    </x:row>
    <x:row r="245">
      <x:c r="J245" s="23"/>
    </x:row>
    <x:row r="246">
      <x:c r="J246" s="23"/>
    </x:row>
    <x:row r="247">
      <x:c r="J247" s="23"/>
    </x:row>
    <x:row r="248">
      <x:c r="J248" s="23"/>
    </x:row>
    <x:row r="249">
      <x:c r="J249" s="23"/>
    </x:row>
    <x:row r="250">
      <x:c r="J250" s="23"/>
    </x:row>
    <x:row r="251">
      <x:c r="J251" s="23"/>
    </x:row>
    <x:row r="252">
      <x:c r="J252" s="23"/>
    </x:row>
    <x:row r="253">
      <x:c r="J253" s="23"/>
    </x:row>
    <x:row r="254">
      <x:c r="J254" s="23"/>
    </x:row>
    <x:row r="255">
      <x:c r="J255" s="23"/>
    </x:row>
    <x:row r="256">
      <x:c r="J256" s="23"/>
    </x:row>
    <x:row r="257">
      <x:c r="J257" s="23"/>
    </x:row>
    <x:row r="258">
      <x:c r="J258" s="23"/>
    </x:row>
    <x:row r="259">
      <x:c r="J259" s="23"/>
    </x:row>
    <x:row r="260">
      <x:c r="J260" s="23"/>
    </x:row>
    <x:row r="261">
      <x:c r="J261" s="23"/>
    </x:row>
    <x:row r="262">
      <x:c r="J262" s="23"/>
    </x:row>
    <x:row r="263">
      <x:c r="J263" s="23"/>
    </x:row>
    <x:row r="264">
      <x:c r="J264" s="23"/>
    </x:row>
    <x:row r="265">
      <x:c r="J265" s="23"/>
    </x:row>
    <x:row r="266">
      <x:c r="J266" s="23"/>
    </x:row>
    <x:row r="267">
      <x:c r="J267" s="23"/>
    </x:row>
    <x:row r="268">
      <x:c r="J268" s="23"/>
    </x:row>
    <x:row r="269">
      <x:c r="J269" s="23"/>
    </x:row>
    <x:row r="270">
      <x:c r="J270" s="23"/>
    </x:row>
    <x:row r="271">
      <x:c r="J271" s="23"/>
    </x:row>
    <x:row r="272">
      <x:c r="J272" s="23"/>
    </x:row>
    <x:row r="273">
      <x:c r="J273" s="23"/>
    </x:row>
    <x:row r="274">
      <x:c r="J274" s="23"/>
    </x:row>
    <x:row r="275">
      <x:c r="J275" s="23"/>
    </x:row>
    <x:row r="276">
      <x:c r="J276" s="23"/>
    </x:row>
    <x:row r="277">
      <x:c r="J277" s="23"/>
    </x:row>
    <x:row r="278">
      <x:c r="J278" s="23"/>
    </x:row>
    <x:row r="279">
      <x:c r="J279" s="23"/>
    </x:row>
    <x:row r="280">
      <x:c r="J280" s="23"/>
    </x:row>
    <x:row r="281">
      <x:c r="J281" s="23"/>
    </x:row>
    <x:row r="282">
      <x:c r="J282" s="23"/>
    </x:row>
    <x:row r="283">
      <x:c r="J283" s="23"/>
    </x:row>
    <x:row r="284">
      <x:c r="J284" s="23"/>
    </x:row>
    <x:row r="285">
      <x:c r="J285" s="23"/>
    </x:row>
    <x:row r="286">
      <x:c r="J286" s="23"/>
    </x:row>
    <x:row r="287">
      <x:c r="J287" s="23"/>
    </x:row>
    <x:row r="288">
      <x:c r="J288" s="23"/>
    </x:row>
    <x:row r="289">
      <x:c r="J289" s="23"/>
    </x:row>
    <x:row r="290">
      <x:c r="J290" s="23"/>
    </x:row>
    <x:row r="291">
      <x:c r="J291" s="23"/>
    </x:row>
    <x:row r="292">
      <x:c r="J292" s="23"/>
    </x:row>
    <x:row r="293">
      <x:c r="J293" s="23"/>
    </x:row>
    <x:row r="294">
      <x:c r="J294" s="23"/>
    </x:row>
    <x:row r="295">
      <x:c r="J295" s="23"/>
    </x:row>
    <x:row r="296">
      <x:c r="J296" s="23"/>
    </x:row>
    <x:row r="297">
      <x:c r="J297" s="23"/>
    </x:row>
    <x:row r="298">
      <x:c r="J298" s="23"/>
    </x:row>
    <x:row r="299">
      <x:c r="J299" s="23"/>
    </x:row>
    <x:row r="300">
      <x:c r="J300" s="23"/>
    </x:row>
    <x:row r="301">
      <x:c r="J301" s="23"/>
    </x:row>
    <x:row r="302">
      <x:c r="J302" s="23"/>
    </x:row>
    <x:row r="303">
      <x:c r="J303" s="23"/>
    </x:row>
  </x:sheetData>
  <x:mergeCells>
    <x:mergeCell ref="A1:J1"/>
  </x:mergeCells>
  <x:dataValidations count="2">
    <x:dataValidation type="list" sqref="E4:E303">
      <x:formula1>"Low,Moderate,High,Critical"</x:formula1>
    </x:dataValidation>
    <x:dataValidation type="list" sqref="I4:I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49a6fe22cc49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Detection Logic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Logic ID</x:v>
      </x:c>
      <x:c r="B3" s="12" t="str">
        <x:v>Detection ID</x:v>
      </x:c>
      <x:c r="C3" s="12" t="str">
        <x:v>Logic Description</x:v>
      </x:c>
      <x:c r="D3" s="12" t="str">
        <x:v>Query / Repository Reference</x:v>
      </x:c>
      <x:c r="E3" s="12" t="str">
        <x:v>Lookback Minutes</x:v>
      </x:c>
      <x:c r="F3" s="12" t="str">
        <x:v>Threshold</x:v>
      </x:c>
      <x:c r="G3" s="12" t="str">
        <x:v>Suppression</x:v>
      </x:c>
      <x:c r="H3" s="12" t="str">
        <x:v>Required Fields</x:v>
      </x:c>
      <x:c r="I3" s="12" t="str">
        <x:v>Version</x:v>
      </x:c>
      <x:c r="J3" s="12" t="str">
        <x:v>Approval</x:v>
      </x:c>
    </x:row>
    <x:row r="4">
      <x:c r="A4" s="20" t="str">
        <x:v>LOG-001</x:v>
      </x:c>
      <x:c r="B4" s="20" t="str">
        <x:v>DET-001</x:v>
      </x:c>
      <x:c r="C4" s="20" t="str">
        <x:v>Privileged sign-ins from geographically inconsistent locations</x:v>
      </x:c>
      <x:c r="D4" s="20" t="str">
        <x:v>repo://detections/DET-001</x:v>
      </x:c>
      <x:c r="E4" s="20" t="n">
        <x:v>60</x:v>
      </x:c>
      <x:c r="F4" s="20" t="n">
        <x:v>1</x:v>
      </x:c>
      <x:c r="G4" s="20" t="str">
        <x:v>Known VPN egress</x:v>
      </x:c>
      <x:c r="H4" s="20" t="str">
        <x:v>user, time, IP, location</x:v>
      </x:c>
      <x:c r="I4" s="20" t="str">
        <x:v>1.3</x:v>
      </x:c>
      <x:c r="J4" s="20" t="str">
        <x:v>Approved</x:v>
      </x:c>
    </x:row>
    <x:row r="5">
      <x:c r="A5" s="20" t="str">
        <x:v>LOG-002</x:v>
      </x:c>
      <x:c r="B5" s="20" t="str">
        <x:v>DET-002</x:v>
      </x:c>
      <x:c r="C5" s="20" t="str">
        <x:v>PowerShell starts a network retrieval utility or encoded command</x:v>
      </x:c>
      <x:c r="D5" s="20" t="str">
        <x:v>repo://detections/DET-002</x:v>
      </x:c>
      <x:c r="E5" s="20" t="n">
        <x:v>15</x:v>
      </x:c>
      <x:c r="F5" s="20" t="n">
        <x:v>1</x:v>
      </x:c>
      <x:c r="G5" s="20" t="str">
        <x:v>Approved admin scripts</x:v>
      </x:c>
      <x:c r="H5" s="20" t="str">
        <x:v>process, command line, parent</x:v>
      </x:c>
      <x:c r="I5" s="20" t="str">
        <x:v>0.9</x:v>
      </x:c>
      <x:c r="J5" s="20" t="str">
        <x:v>Pending</x:v>
      </x:c>
    </x:row>
    <x:row r="6">
      <x:c r="A6" s="20" t="str">
        <x:v>LOG-003</x:v>
      </x:c>
      <x:c r="B6" s="20" t="str">
        <x:v>DET-003</x:v>
      </x:c>
      <x:c r="C6" s="20" t="str">
        <x:v>Access key used in a region not seen for the identity</x:v>
      </x:c>
      <x:c r="D6" s="20" t="str">
        <x:v>repo://detections/DET-003</x:v>
      </x:c>
      <x:c r="E6" s="20" t="n">
        <x:v>1440</x:v>
      </x:c>
      <x:c r="F6" s="20" t="n">
        <x:v>1</x:v>
      </x:c>
      <x:c r="G6" s="20" t="str">
        <x:v>Approved disaster-recovery region</x:v>
      </x:c>
      <x:c r="H6" s="20" t="str">
        <x:v>identity, key, region, source IP</x:v>
      </x:c>
      <x:c r="I6" s="20" t="str">
        <x:v>1.1</x:v>
      </x:c>
      <x:c r="J6" s="20" t="str">
        <x:v>Needs Review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925adc1fa0948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3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Tuning 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Tuning ID</x:v>
      </x:c>
      <x:c r="B3" s="12" t="str">
        <x:v>Detection ID</x:v>
      </x:c>
      <x:c r="C3" s="12" t="str">
        <x:v>Change Date</x:v>
      </x:c>
      <x:c r="D3" s="12" t="str">
        <x:v>Observed Problem</x:v>
      </x:c>
      <x:c r="E3" s="12" t="str">
        <x:v>Change</x:v>
      </x:c>
      <x:c r="F3" s="12" t="str">
        <x:v>Expected Effect</x:v>
      </x:c>
      <x:c r="G3" s="12" t="str">
        <x:v>Owner</x:v>
      </x:c>
      <x:c r="H3" s="12" t="str">
        <x:v>Validation Result</x:v>
      </x:c>
      <x:c r="I3" s="12" t="str">
        <x:v>Approved By</x:v>
      </x:c>
      <x:c r="J3" s="12" t="str">
        <x:v>Status</x:v>
      </x:c>
    </x:row>
    <x:row r="4">
      <x:c r="A4" s="20" t="str">
        <x:v>TUNE-001</x:v>
      </x:c>
      <x:c r="B4" s="20" t="str">
        <x:v>DET-001</x:v>
      </x:c>
      <x:c r="C4" s="22" t="n">
        <x:v>46208</x:v>
      </x:c>
      <x:c r="D4" s="20" t="str">
        <x:v>Corporate VPN caused false positives</x:v>
      </x:c>
      <x:c r="E4" s="20" t="str">
        <x:v>Added approved VPN egress suppression</x:v>
      </x:c>
      <x:c r="F4" s="20" t="str">
        <x:v>Reduce false positives</x:v>
      </x:c>
      <x:c r="G4" s="20" t="str">
        <x:v>Detection Engineer</x:v>
      </x:c>
      <x:c r="H4" s="20" t="str">
        <x:v>False positives reduced 25%</x:v>
      </x:c>
      <x:c r="I4" s="20" t="str">
        <x:v>Detection Lead</x:v>
      </x:c>
      <x:c r="J4" s="20" t="str">
        <x:v>Complete</x:v>
      </x:c>
    </x:row>
    <x:row r="5">
      <x:c r="A5" s="20" t="str">
        <x:v>TUNE-002</x:v>
      </x:c>
      <x:c r="B5" s="20" t="str">
        <x:v>DET-002</x:v>
      </x:c>
      <x:c r="C5" s="22" t="n">
        <x:v>46220</x:v>
      </x:c>
      <x:c r="D5" s="20" t="str">
        <x:v>Administrative scripts trigger alerts</x:v>
      </x:c>
      <x:c r="E5" s="20" t="str">
        <x:v>Add signed-script exception with audit logging</x:v>
      </x:c>
      <x:c r="F5" s="20" t="str">
        <x:v>Improve precision</x:v>
      </x:c>
      <x:c r="G5" s="20" t="str">
        <x:v>Detection Engineer</x:v>
      </x:c>
      <x:c r="H5" s="20" t="str">
        <x:v>Pending</x:v>
      </x:c>
      <x:c r="I5" s="20" t="str">
        <x:v>Detection Lead</x:v>
      </x:c>
      <x:c r="J5" s="20" t="str">
        <x:v>In Progress</x:v>
      </x:c>
    </x:row>
    <x:row r="6">
      <x:c r="A6" s="20"/>
      <x:c r="B6" s="20"/>
      <x:c r="C6" s="22"/>
      <x:c r="D6" s="20"/>
      <x:c r="E6" s="20"/>
      <x:c r="F6" s="20"/>
      <x:c r="G6" s="20"/>
      <x:c r="H6" s="20"/>
      <x:c r="I6" s="20"/>
      <x:c r="J6" s="20"/>
    </x:row>
    <x:row r="7">
      <x:c r="A7" s="20"/>
      <x:c r="B7" s="20"/>
      <x:c r="C7" s="22"/>
      <x:c r="D7" s="20"/>
      <x:c r="E7" s="20"/>
      <x:c r="F7" s="20"/>
      <x:c r="G7" s="20"/>
      <x:c r="H7" s="20"/>
      <x:c r="I7" s="20"/>
      <x:c r="J7" s="20"/>
    </x:row>
    <x:row r="8">
      <x:c r="A8" s="20"/>
      <x:c r="B8" s="20"/>
      <x:c r="C8" s="22"/>
      <x:c r="D8" s="20"/>
      <x:c r="E8" s="20"/>
      <x:c r="F8" s="20"/>
      <x:c r="G8" s="20"/>
      <x:c r="H8" s="20"/>
      <x:c r="I8" s="20"/>
      <x:c r="J8" s="20"/>
    </x:row>
    <x:row r="9">
      <x:c r="A9" s="20"/>
      <x:c r="B9" s="20"/>
      <x:c r="C9" s="22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2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2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2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2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2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2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2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2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2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2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2"/>
      <x:c r="D20" s="20"/>
      <x:c r="E20" s="20"/>
      <x:c r="F20" s="20"/>
      <x:c r="G20" s="20"/>
      <x:c r="H20" s="20"/>
      <x:c r="I20" s="20"/>
      <x:c r="J20" s="20"/>
    </x:row>
    <x:row r="21">
      <x:c r="C21" s="23"/>
    </x:row>
    <x:row r="22">
      <x:c r="C22" s="23"/>
    </x:row>
    <x:row r="23">
      <x:c r="C23" s="23"/>
    </x:row>
    <x:row r="24">
      <x:c r="C24" s="23"/>
    </x:row>
    <x:row r="25">
      <x:c r="C25" s="23"/>
    </x:row>
    <x:row r="26">
      <x:c r="C26" s="23"/>
    </x:row>
    <x:row r="27">
      <x:c r="C27" s="23"/>
    </x:row>
    <x:row r="28">
      <x:c r="C28" s="23"/>
    </x:row>
    <x:row r="29">
      <x:c r="C29" s="23"/>
    </x:row>
    <x:row r="30">
      <x:c r="C30" s="23"/>
    </x:row>
    <x:row r="31">
      <x:c r="C31" s="23"/>
    </x:row>
    <x:row r="32">
      <x:c r="C32" s="23"/>
    </x:row>
    <x:row r="33">
      <x:c r="C33" s="23"/>
    </x:row>
    <x:row r="34">
      <x:c r="C34" s="23"/>
    </x:row>
    <x:row r="35">
      <x:c r="C35" s="23"/>
    </x:row>
    <x:row r="36">
      <x:c r="C36" s="23"/>
    </x:row>
    <x:row r="37">
      <x:c r="C37" s="23"/>
    </x:row>
    <x:row r="38">
      <x:c r="C38" s="23"/>
    </x:row>
    <x:row r="39">
      <x:c r="C39" s="23"/>
    </x:row>
    <x:row r="40">
      <x:c r="C40" s="23"/>
    </x:row>
    <x:row r="41">
      <x:c r="C41" s="23"/>
    </x:row>
    <x:row r="42">
      <x:c r="C42" s="23"/>
    </x:row>
    <x:row r="43">
      <x:c r="C43" s="23"/>
    </x:row>
    <x:row r="44">
      <x:c r="C44" s="23"/>
    </x:row>
    <x:row r="45">
      <x:c r="C45" s="23"/>
    </x:row>
    <x:row r="46">
      <x:c r="C46" s="23"/>
    </x:row>
    <x:row r="47">
      <x:c r="C47" s="23"/>
    </x:row>
    <x:row r="48">
      <x:c r="C48" s="23"/>
    </x:row>
    <x:row r="49">
      <x:c r="C49" s="23"/>
    </x:row>
    <x:row r="50">
      <x:c r="C50" s="23"/>
    </x:row>
    <x:row r="51">
      <x:c r="C51" s="23"/>
    </x:row>
    <x:row r="52">
      <x:c r="C52" s="23"/>
    </x:row>
    <x:row r="53">
      <x:c r="C53" s="23"/>
    </x:row>
    <x:row r="54">
      <x:c r="C54" s="23"/>
    </x:row>
    <x:row r="55">
      <x:c r="C55" s="23"/>
    </x:row>
    <x:row r="56">
      <x:c r="C56" s="23"/>
    </x:row>
    <x:row r="57">
      <x:c r="C57" s="23"/>
    </x:row>
    <x:row r="58">
      <x:c r="C58" s="23"/>
    </x:row>
    <x:row r="59">
      <x:c r="C59" s="23"/>
    </x:row>
    <x:row r="60">
      <x:c r="C60" s="23"/>
    </x:row>
    <x:row r="61">
      <x:c r="C61" s="23"/>
    </x:row>
    <x:row r="62">
      <x:c r="C62" s="23"/>
    </x:row>
    <x:row r="63">
      <x:c r="C63" s="23"/>
    </x:row>
    <x:row r="64">
      <x:c r="C64" s="23"/>
    </x:row>
    <x:row r="65">
      <x:c r="C65" s="23"/>
    </x:row>
    <x:row r="66">
      <x:c r="C66" s="23"/>
    </x:row>
    <x:row r="67">
      <x:c r="C67" s="23"/>
    </x:row>
    <x:row r="68">
      <x:c r="C68" s="23"/>
    </x:row>
    <x:row r="69">
      <x:c r="C69" s="23"/>
    </x:row>
    <x:row r="70">
      <x:c r="C70" s="23"/>
    </x:row>
    <x:row r="71">
      <x:c r="C71" s="23"/>
    </x:row>
    <x:row r="72">
      <x:c r="C72" s="23"/>
    </x:row>
    <x:row r="73">
      <x:c r="C73" s="23"/>
    </x:row>
    <x:row r="74">
      <x:c r="C74" s="23"/>
    </x:row>
    <x:row r="75">
      <x:c r="C75" s="23"/>
    </x:row>
    <x:row r="76">
      <x:c r="C76" s="23"/>
    </x:row>
    <x:row r="77">
      <x:c r="C77" s="23"/>
    </x:row>
    <x:row r="78">
      <x:c r="C78" s="23"/>
    </x:row>
    <x:row r="79">
      <x:c r="C79" s="23"/>
    </x:row>
    <x:row r="80">
      <x:c r="C80" s="23"/>
    </x:row>
    <x:row r="81">
      <x:c r="C81" s="23"/>
    </x:row>
    <x:row r="82">
      <x:c r="C82" s="23"/>
    </x:row>
    <x:row r="83">
      <x:c r="C83" s="23"/>
    </x:row>
    <x:row r="84">
      <x:c r="C84" s="23"/>
    </x:row>
    <x:row r="85">
      <x:c r="C85" s="23"/>
    </x:row>
    <x:row r="86">
      <x:c r="C86" s="23"/>
    </x:row>
    <x:row r="87">
      <x:c r="C87" s="23"/>
    </x:row>
    <x:row r="88">
      <x:c r="C88" s="23"/>
    </x:row>
    <x:row r="89">
      <x:c r="C89" s="23"/>
    </x:row>
    <x:row r="90">
      <x:c r="C90" s="23"/>
    </x:row>
    <x:row r="91">
      <x:c r="C91" s="23"/>
    </x:row>
    <x:row r="92">
      <x:c r="C92" s="23"/>
    </x:row>
    <x:row r="93">
      <x:c r="C93" s="23"/>
    </x:row>
    <x:row r="94">
      <x:c r="C94" s="23"/>
    </x:row>
    <x:row r="95">
      <x:c r="C95" s="23"/>
    </x:row>
    <x:row r="96">
      <x:c r="C96" s="23"/>
    </x:row>
    <x:row r="97">
      <x:c r="C97" s="23"/>
    </x:row>
    <x:row r="98">
      <x:c r="C98" s="23"/>
    </x:row>
    <x:row r="99">
      <x:c r="C99" s="23"/>
    </x:row>
    <x:row r="100">
      <x:c r="C100" s="23"/>
    </x:row>
    <x:row r="101">
      <x:c r="C101" s="23"/>
    </x:row>
    <x:row r="102">
      <x:c r="C102" s="23"/>
    </x:row>
    <x:row r="103">
      <x:c r="C103" s="23"/>
    </x:row>
    <x:row r="104">
      <x:c r="C104" s="23"/>
    </x:row>
    <x:row r="105">
      <x:c r="C105" s="23"/>
    </x:row>
    <x:row r="106">
      <x:c r="C106" s="23"/>
    </x:row>
    <x:row r="107">
      <x:c r="C107" s="23"/>
    </x:row>
    <x:row r="108">
      <x:c r="C108" s="23"/>
    </x:row>
    <x:row r="109">
      <x:c r="C109" s="23"/>
    </x:row>
    <x:row r="110">
      <x:c r="C110" s="23"/>
    </x:row>
    <x:row r="111">
      <x:c r="C111" s="23"/>
    </x:row>
    <x:row r="112">
      <x:c r="C112" s="23"/>
    </x:row>
    <x:row r="113">
      <x:c r="C113" s="23"/>
    </x:row>
    <x:row r="114">
      <x:c r="C114" s="23"/>
    </x:row>
    <x:row r="115">
      <x:c r="C115" s="23"/>
    </x:row>
    <x:row r="116">
      <x:c r="C116" s="23"/>
    </x:row>
    <x:row r="117">
      <x:c r="C117" s="23"/>
    </x:row>
    <x:row r="118">
      <x:c r="C118" s="23"/>
    </x:row>
    <x:row r="119">
      <x:c r="C119" s="23"/>
    </x:row>
    <x:row r="120">
      <x:c r="C120" s="23"/>
    </x:row>
    <x:row r="121">
      <x:c r="C121" s="23"/>
    </x:row>
    <x:row r="122">
      <x:c r="C122" s="23"/>
    </x:row>
    <x:row r="123">
      <x:c r="C123" s="23"/>
    </x:row>
    <x:row r="124">
      <x:c r="C124" s="23"/>
    </x:row>
    <x:row r="125">
      <x:c r="C125" s="23"/>
    </x:row>
    <x:row r="126">
      <x:c r="C126" s="23"/>
    </x:row>
    <x:row r="127">
      <x:c r="C127" s="23"/>
    </x:row>
    <x:row r="128">
      <x:c r="C128" s="23"/>
    </x:row>
    <x:row r="129">
      <x:c r="C129" s="23"/>
    </x:row>
    <x:row r="130">
      <x:c r="C130" s="23"/>
    </x:row>
    <x:row r="131">
      <x:c r="C131" s="23"/>
    </x:row>
    <x:row r="132">
      <x:c r="C132" s="23"/>
    </x:row>
    <x:row r="133">
      <x:c r="C133" s="23"/>
    </x:row>
    <x:row r="134">
      <x:c r="C134" s="23"/>
    </x:row>
    <x:row r="135">
      <x:c r="C135" s="23"/>
    </x:row>
    <x:row r="136">
      <x:c r="C136" s="23"/>
    </x:row>
    <x:row r="137">
      <x:c r="C137" s="23"/>
    </x:row>
    <x:row r="138">
      <x:c r="C138" s="23"/>
    </x:row>
    <x:row r="139">
      <x:c r="C139" s="23"/>
    </x:row>
    <x:row r="140">
      <x:c r="C140" s="23"/>
    </x:row>
    <x:row r="141">
      <x:c r="C141" s="23"/>
    </x:row>
    <x:row r="142">
      <x:c r="C142" s="23"/>
    </x:row>
    <x:row r="143">
      <x:c r="C143" s="23"/>
    </x:row>
    <x:row r="144">
      <x:c r="C144" s="23"/>
    </x:row>
    <x:row r="145">
      <x:c r="C145" s="23"/>
    </x:row>
    <x:row r="146">
      <x:c r="C146" s="23"/>
    </x:row>
    <x:row r="147">
      <x:c r="C147" s="23"/>
    </x:row>
    <x:row r="148">
      <x:c r="C148" s="23"/>
    </x:row>
    <x:row r="149">
      <x:c r="C149" s="23"/>
    </x:row>
    <x:row r="150">
      <x:c r="C150" s="23"/>
    </x:row>
    <x:row r="151">
      <x:c r="C151" s="23"/>
    </x:row>
    <x:row r="152">
      <x:c r="C152" s="23"/>
    </x:row>
    <x:row r="153">
      <x:c r="C153" s="23"/>
    </x:row>
    <x:row r="154">
      <x:c r="C154" s="23"/>
    </x:row>
    <x:row r="155">
      <x:c r="C155" s="23"/>
    </x:row>
    <x:row r="156">
      <x:c r="C156" s="23"/>
    </x:row>
    <x:row r="157">
      <x:c r="C157" s="23"/>
    </x:row>
    <x:row r="158">
      <x:c r="C158" s="23"/>
    </x:row>
    <x:row r="159">
      <x:c r="C159" s="23"/>
    </x:row>
    <x:row r="160">
      <x:c r="C160" s="23"/>
    </x:row>
    <x:row r="161">
      <x:c r="C161" s="23"/>
    </x:row>
    <x:row r="162">
      <x:c r="C162" s="23"/>
    </x:row>
    <x:row r="163">
      <x:c r="C163" s="23"/>
    </x:row>
    <x:row r="164">
      <x:c r="C164" s="23"/>
    </x:row>
    <x:row r="165">
      <x:c r="C165" s="23"/>
    </x:row>
    <x:row r="166">
      <x:c r="C166" s="23"/>
    </x:row>
    <x:row r="167">
      <x:c r="C167" s="23"/>
    </x:row>
    <x:row r="168">
      <x:c r="C168" s="23"/>
    </x:row>
    <x:row r="169">
      <x:c r="C169" s="23"/>
    </x:row>
    <x:row r="170">
      <x:c r="C170" s="23"/>
    </x:row>
    <x:row r="171">
      <x:c r="C171" s="23"/>
    </x:row>
    <x:row r="172">
      <x:c r="C172" s="23"/>
    </x:row>
    <x:row r="173">
      <x:c r="C173" s="23"/>
    </x:row>
    <x:row r="174">
      <x:c r="C174" s="23"/>
    </x:row>
    <x:row r="175">
      <x:c r="C175" s="23"/>
    </x:row>
    <x:row r="176">
      <x:c r="C176" s="23"/>
    </x:row>
    <x:row r="177">
      <x:c r="C177" s="23"/>
    </x:row>
    <x:row r="178">
      <x:c r="C178" s="23"/>
    </x:row>
    <x:row r="179">
      <x:c r="C179" s="23"/>
    </x:row>
    <x:row r="180">
      <x:c r="C180" s="23"/>
    </x:row>
    <x:row r="181">
      <x:c r="C181" s="23"/>
    </x:row>
    <x:row r="182">
      <x:c r="C182" s="23"/>
    </x:row>
    <x:row r="183">
      <x:c r="C183" s="23"/>
    </x:row>
    <x:row r="184">
      <x:c r="C184" s="23"/>
    </x:row>
    <x:row r="185">
      <x:c r="C185" s="23"/>
    </x:row>
    <x:row r="186">
      <x:c r="C186" s="23"/>
    </x:row>
    <x:row r="187">
      <x:c r="C187" s="23"/>
    </x:row>
    <x:row r="188">
      <x:c r="C188" s="23"/>
    </x:row>
    <x:row r="189">
      <x:c r="C189" s="23"/>
    </x:row>
    <x:row r="190">
      <x:c r="C190" s="23"/>
    </x:row>
    <x:row r="191">
      <x:c r="C191" s="23"/>
    </x:row>
    <x:row r="192">
      <x:c r="C192" s="23"/>
    </x:row>
    <x:row r="193">
      <x:c r="C193" s="23"/>
    </x:row>
    <x:row r="194">
      <x:c r="C194" s="23"/>
    </x:row>
    <x:row r="195">
      <x:c r="C195" s="23"/>
    </x:row>
    <x:row r="196">
      <x:c r="C196" s="23"/>
    </x:row>
    <x:row r="197">
      <x:c r="C197" s="23"/>
    </x:row>
    <x:row r="198">
      <x:c r="C198" s="23"/>
    </x:row>
    <x:row r="199">
      <x:c r="C199" s="23"/>
    </x:row>
    <x:row r="200">
      <x:c r="C200" s="23"/>
    </x:row>
    <x:row r="201">
      <x:c r="C201" s="23"/>
    </x:row>
    <x:row r="202">
      <x:c r="C202" s="23"/>
    </x:row>
    <x:row r="203">
      <x:c r="C203" s="23"/>
    </x:row>
    <x:row r="204">
      <x:c r="C204" s="23"/>
    </x:row>
    <x:row r="205">
      <x:c r="C205" s="23"/>
    </x:row>
    <x:row r="206">
      <x:c r="C206" s="23"/>
    </x:row>
    <x:row r="207">
      <x:c r="C207" s="23"/>
    </x:row>
    <x:row r="208">
      <x:c r="C208" s="23"/>
    </x:row>
    <x:row r="209">
      <x:c r="C209" s="23"/>
    </x:row>
    <x:row r="210">
      <x:c r="C210" s="23"/>
    </x:row>
    <x:row r="211">
      <x:c r="C211" s="23"/>
    </x:row>
    <x:row r="212">
      <x:c r="C212" s="23"/>
    </x:row>
    <x:row r="213">
      <x:c r="C213" s="23"/>
    </x:row>
    <x:row r="214">
      <x:c r="C214" s="23"/>
    </x:row>
    <x:row r="215">
      <x:c r="C215" s="23"/>
    </x:row>
    <x:row r="216">
      <x:c r="C216" s="23"/>
    </x:row>
    <x:row r="217">
      <x:c r="C217" s="23"/>
    </x:row>
    <x:row r="218">
      <x:c r="C218" s="23"/>
    </x:row>
    <x:row r="219">
      <x:c r="C219" s="23"/>
    </x:row>
    <x:row r="220">
      <x:c r="C220" s="23"/>
    </x:row>
    <x:row r="221">
      <x:c r="C221" s="23"/>
    </x:row>
    <x:row r="222">
      <x:c r="C222" s="23"/>
    </x:row>
    <x:row r="223">
      <x:c r="C223" s="23"/>
    </x:row>
    <x:row r="224">
      <x:c r="C224" s="23"/>
    </x:row>
    <x:row r="225">
      <x:c r="C225" s="23"/>
    </x:row>
    <x:row r="226">
      <x:c r="C226" s="23"/>
    </x:row>
    <x:row r="227">
      <x:c r="C227" s="23"/>
    </x:row>
    <x:row r="228">
      <x:c r="C228" s="23"/>
    </x:row>
    <x:row r="229">
      <x:c r="C229" s="23"/>
    </x:row>
    <x:row r="230">
      <x:c r="C230" s="23"/>
    </x:row>
    <x:row r="231">
      <x:c r="C231" s="23"/>
    </x:row>
    <x:row r="232">
      <x:c r="C232" s="23"/>
    </x:row>
    <x:row r="233">
      <x:c r="C233" s="23"/>
    </x:row>
    <x:row r="234">
      <x:c r="C234" s="23"/>
    </x:row>
    <x:row r="235">
      <x:c r="C235" s="23"/>
    </x:row>
    <x:row r="236">
      <x:c r="C236" s="23"/>
    </x:row>
    <x:row r="237">
      <x:c r="C237" s="23"/>
    </x:row>
    <x:row r="238">
      <x:c r="C238" s="23"/>
    </x:row>
    <x:row r="239">
      <x:c r="C239" s="23"/>
    </x:row>
    <x:row r="240">
      <x:c r="C240" s="23"/>
    </x:row>
    <x:row r="241">
      <x:c r="C241" s="23"/>
    </x:row>
    <x:row r="242">
      <x:c r="C242" s="23"/>
    </x:row>
    <x:row r="243">
      <x:c r="C243" s="23"/>
    </x:row>
    <x:row r="244">
      <x:c r="C244" s="23"/>
    </x:row>
    <x:row r="245">
      <x:c r="C245" s="23"/>
    </x:row>
    <x:row r="246">
      <x:c r="C246" s="23"/>
    </x:row>
    <x:row r="247">
      <x:c r="C247" s="23"/>
    </x:row>
    <x:row r="248">
      <x:c r="C248" s="23"/>
    </x:row>
    <x:row r="249">
      <x:c r="C249" s="23"/>
    </x:row>
    <x:row r="250">
      <x:c r="C250" s="23"/>
    </x:row>
    <x:row r="251">
      <x:c r="C251" s="23"/>
    </x:row>
    <x:row r="252">
      <x:c r="C252" s="23"/>
    </x:row>
    <x:row r="253">
      <x:c r="C253" s="23"/>
    </x:row>
    <x:row r="254">
      <x:c r="C254" s="23"/>
    </x:row>
    <x:row r="255">
      <x:c r="C255" s="23"/>
    </x:row>
    <x:row r="256">
      <x:c r="C256" s="23"/>
    </x:row>
    <x:row r="257">
      <x:c r="C257" s="23"/>
    </x:row>
    <x:row r="258">
      <x:c r="C258" s="23"/>
    </x:row>
    <x:row r="259">
      <x:c r="C259" s="23"/>
    </x:row>
    <x:row r="260">
      <x:c r="C260" s="23"/>
    </x:row>
    <x:row r="261">
      <x:c r="C261" s="23"/>
    </x:row>
    <x:row r="262">
      <x:c r="C262" s="23"/>
    </x:row>
    <x:row r="263">
      <x:c r="C263" s="23"/>
    </x:row>
    <x:row r="264">
      <x:c r="C264" s="23"/>
    </x:row>
    <x:row r="265">
      <x:c r="C265" s="23"/>
    </x:row>
    <x:row r="266">
      <x:c r="C266" s="23"/>
    </x:row>
    <x:row r="267">
      <x:c r="C267" s="23"/>
    </x:row>
    <x:row r="268">
      <x:c r="C268" s="23"/>
    </x:row>
    <x:row r="269">
      <x:c r="C269" s="23"/>
    </x:row>
    <x:row r="270">
      <x:c r="C270" s="23"/>
    </x:row>
    <x:row r="271">
      <x:c r="C271" s="23"/>
    </x:row>
    <x:row r="272">
      <x:c r="C272" s="23"/>
    </x:row>
    <x:row r="273">
      <x:c r="C273" s="23"/>
    </x:row>
    <x:row r="274">
      <x:c r="C274" s="23"/>
    </x:row>
    <x:row r="275">
      <x:c r="C275" s="23"/>
    </x:row>
    <x:row r="276">
      <x:c r="C276" s="23"/>
    </x:row>
    <x:row r="277">
      <x:c r="C277" s="23"/>
    </x:row>
    <x:row r="278">
      <x:c r="C278" s="23"/>
    </x:row>
    <x:row r="279">
      <x:c r="C279" s="23"/>
    </x:row>
    <x:row r="280">
      <x:c r="C280" s="23"/>
    </x:row>
    <x:row r="281">
      <x:c r="C281" s="23"/>
    </x:row>
    <x:row r="282">
      <x:c r="C282" s="23"/>
    </x:row>
    <x:row r="283">
      <x:c r="C283" s="23"/>
    </x:row>
    <x:row r="284">
      <x:c r="C284" s="23"/>
    </x:row>
    <x:row r="285">
      <x:c r="C285" s="23"/>
    </x:row>
    <x:row r="286">
      <x:c r="C286" s="23"/>
    </x:row>
    <x:row r="287">
      <x:c r="C287" s="23"/>
    </x:row>
    <x:row r="288">
      <x:c r="C288" s="23"/>
    </x:row>
    <x:row r="289">
      <x:c r="C289" s="23"/>
    </x:row>
    <x:row r="290">
      <x:c r="C290" s="23"/>
    </x:row>
    <x:row r="291">
      <x:c r="C291" s="23"/>
    </x:row>
    <x:row r="292">
      <x:c r="C292" s="23"/>
    </x:row>
    <x:row r="293">
      <x:c r="C293" s="23"/>
    </x:row>
    <x:row r="294">
      <x:c r="C294" s="23"/>
    </x:row>
    <x:row r="295">
      <x:c r="C295" s="23"/>
    </x:row>
    <x:row r="296">
      <x:c r="C296" s="23"/>
    </x:row>
    <x:row r="297">
      <x:c r="C297" s="23"/>
    </x:row>
    <x:row r="298">
      <x:c r="C298" s="23"/>
    </x:row>
    <x:row r="299">
      <x:c r="C299" s="23"/>
    </x:row>
    <x:row r="300">
      <x:c r="C300" s="23"/>
    </x:row>
    <x:row r="301">
      <x:c r="C301" s="23"/>
    </x:row>
    <x:row r="302">
      <x:c r="C302" s="23"/>
    </x:row>
    <x:row r="303">
      <x:c r="C303" s="23"/>
    </x:row>
  </x:sheetData>
  <x:mergeCells>
    <x:mergeCell ref="A1:J1"/>
  </x:mergeCells>
  <x:dataValidations count="1">
    <x:dataValidation type="list" sqref="J4:J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e2e7b42c114a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  <x:col min="9" max="9" width="22" hidden="0" customWidth="1"/>
    <x:col min="10" max="10" width="16" hidden="0" customWidth="1"/>
  </x:cols>
  <x:sheetData>
    <x:row r="1">
      <x:c r="A1" s="4" t="str">
        <x:v>Validation Exercises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Exercise ID</x:v>
      </x:c>
      <x:c r="B3" s="12" t="str">
        <x:v>Detection ID</x:v>
      </x:c>
      <x:c r="C3" s="12" t="str">
        <x:v>Validation Type</x:v>
      </x:c>
      <x:c r="D3" s="12" t="str">
        <x:v>Test Procedure</x:v>
      </x:c>
      <x:c r="E3" s="12" t="str">
        <x:v>Expected Signal</x:v>
      </x:c>
      <x:c r="F3" s="12" t="str">
        <x:v>Test Date</x:v>
      </x:c>
      <x:c r="G3" s="12" t="str">
        <x:v>Result</x:v>
      </x:c>
      <x:c r="H3" s="12" t="str">
        <x:v>Evidence</x:v>
      </x:c>
      <x:c r="I3" s="12" t="str">
        <x:v>Owner</x:v>
      </x:c>
      <x:c r="J3" s="12" t="str">
        <x:v>Retest Date</x:v>
      </x:c>
    </x:row>
    <x:row r="4">
      <x:c r="A4" s="20" t="str">
        <x:v>VAL-001</x:v>
      </x:c>
      <x:c r="B4" s="20" t="str">
        <x:v>DET-001</x:v>
      </x:c>
      <x:c r="C4" s="20" t="str">
        <x:v>Purple Team</x:v>
      </x:c>
      <x:c r="D4" s="20" t="str">
        <x:v>Simulate privileged sign-in from controlled remote location</x:v>
      </x:c>
      <x:c r="E4" s="20" t="str">
        <x:v>High-severity alert and case</x:v>
      </x:c>
      <x:c r="F4" s="22" t="n">
        <x:v>46215</x:v>
      </x:c>
      <x:c r="G4" s="20" t="str">
        <x:v>Pass</x:v>
      </x:c>
      <x:c r="H4" s="20" t="str">
        <x:v>test://VAL-001</x:v>
      </x:c>
      <x:c r="I4" s="20" t="str">
        <x:v>Purple Team</x:v>
      </x:c>
      <x:c r="J4" s="22" t="str"/>
    </x:row>
    <x:row r="5">
      <x:c r="A5" s="20" t="str">
        <x:v>VAL-002</x:v>
      </x:c>
      <x:c r="B5" s="20" t="str">
        <x:v>DET-002</x:v>
      </x:c>
      <x:c r="C5" s="20" t="str">
        <x:v>Atomic Test</x:v>
      </x:c>
      <x:c r="D5" s="20" t="str">
        <x:v>Execute approved encoded PowerShell test</x:v>
      </x:c>
      <x:c r="E5" s="20" t="str">
        <x:v>Alert with process context</x:v>
      </x:c>
      <x:c r="F5" s="22" t="n">
        <x:v>46223</x:v>
      </x:c>
      <x:c r="G5" s="20" t="str">
        <x:v>Pending</x:v>
      </x:c>
      <x:c r="H5" s="20" t="str"/>
      <x:c r="I5" s="20" t="str">
        <x:v>Purple Team</x:v>
      </x:c>
      <x:c r="J5" s="22" t="n">
        <x:v>46230</x:v>
      </x:c>
    </x:row>
    <x:row r="6">
      <x:c r="A6" s="20" t="str">
        <x:v>VAL-003</x:v>
      </x:c>
      <x:c r="B6" s="20" t="str">
        <x:v>DET-003</x:v>
      </x:c>
      <x:c r="C6" s="20" t="str">
        <x:v>Tabletop / Replay</x:v>
      </x:c>
      <x:c r="D6" s="20" t="str">
        <x:v>Replay cloud audit event from new region</x:v>
      </x:c>
      <x:c r="E6" s="20" t="str">
        <x:v>Critical alert</x:v>
      </x:c>
      <x:c r="F6" s="22" t="n">
        <x:v>46225</x:v>
      </x:c>
      <x:c r="G6" s="20" t="str">
        <x:v>Pending</x:v>
      </x:c>
      <x:c r="H6" s="20" t="str"/>
      <x:c r="I6" s="20" t="str">
        <x:v>Cloud Security</x:v>
      </x:c>
      <x:c r="J6" s="22" t="n">
        <x:v>46232</x:v>
      </x:c>
    </x:row>
    <x:row r="7">
      <x:c r="A7" s="20"/>
      <x:c r="B7" s="20"/>
      <x:c r="C7" s="20"/>
      <x:c r="D7" s="20"/>
      <x:c r="E7" s="20"/>
      <x:c r="F7" s="22"/>
      <x:c r="G7" s="20"/>
      <x:c r="H7" s="20"/>
      <x:c r="I7" s="20"/>
      <x:c r="J7" s="22"/>
    </x:row>
    <x:row r="8">
      <x:c r="A8" s="20"/>
      <x:c r="B8" s="20"/>
      <x:c r="C8" s="20"/>
      <x:c r="D8" s="20"/>
      <x:c r="E8" s="20"/>
      <x:c r="F8" s="22"/>
      <x:c r="G8" s="20"/>
      <x:c r="H8" s="20"/>
      <x:c r="I8" s="20"/>
      <x:c r="J8" s="22"/>
    </x:row>
    <x:row r="9">
      <x:c r="A9" s="20"/>
      <x:c r="B9" s="20"/>
      <x:c r="C9" s="20"/>
      <x:c r="D9" s="20"/>
      <x:c r="E9" s="20"/>
      <x:c r="F9" s="22"/>
      <x:c r="G9" s="20"/>
      <x:c r="H9" s="20"/>
      <x:c r="I9" s="20"/>
      <x:c r="J9" s="22"/>
    </x:row>
    <x:row r="10">
      <x:c r="A10" s="20"/>
      <x:c r="B10" s="20"/>
      <x:c r="C10" s="20"/>
      <x:c r="D10" s="20"/>
      <x:c r="E10" s="20"/>
      <x:c r="F10" s="22"/>
      <x:c r="G10" s="20"/>
      <x:c r="H10" s="20"/>
      <x:c r="I10" s="20"/>
      <x:c r="J10" s="22"/>
    </x:row>
    <x:row r="11">
      <x:c r="A11" s="20"/>
      <x:c r="B11" s="20"/>
      <x:c r="C11" s="20"/>
      <x:c r="D11" s="20"/>
      <x:c r="E11" s="20"/>
      <x:c r="F11" s="22"/>
      <x:c r="G11" s="20"/>
      <x:c r="H11" s="20"/>
      <x:c r="I11" s="20"/>
      <x:c r="J11" s="22"/>
    </x:row>
    <x:row r="12">
      <x:c r="A12" s="20"/>
      <x:c r="B12" s="20"/>
      <x:c r="C12" s="20"/>
      <x:c r="D12" s="20"/>
      <x:c r="E12" s="20"/>
      <x:c r="F12" s="22"/>
      <x:c r="G12" s="20"/>
      <x:c r="H12" s="20"/>
      <x:c r="I12" s="20"/>
      <x:c r="J12" s="22"/>
    </x:row>
    <x:row r="13">
      <x:c r="A13" s="20"/>
      <x:c r="B13" s="20"/>
      <x:c r="C13" s="20"/>
      <x:c r="D13" s="20"/>
      <x:c r="E13" s="20"/>
      <x:c r="F13" s="22"/>
      <x:c r="G13" s="20"/>
      <x:c r="H13" s="20"/>
      <x:c r="I13" s="20"/>
      <x:c r="J13" s="22"/>
    </x:row>
    <x:row r="14">
      <x:c r="A14" s="20"/>
      <x:c r="B14" s="20"/>
      <x:c r="C14" s="20"/>
      <x:c r="D14" s="20"/>
      <x:c r="E14" s="20"/>
      <x:c r="F14" s="22"/>
      <x:c r="G14" s="20"/>
      <x:c r="H14" s="20"/>
      <x:c r="I14" s="20"/>
      <x:c r="J14" s="22"/>
    </x:row>
    <x:row r="15">
      <x:c r="A15" s="20"/>
      <x:c r="B15" s="20"/>
      <x:c r="C15" s="20"/>
      <x:c r="D15" s="20"/>
      <x:c r="E15" s="20"/>
      <x:c r="F15" s="22"/>
      <x:c r="G15" s="20"/>
      <x:c r="H15" s="20"/>
      <x:c r="I15" s="20"/>
      <x:c r="J15" s="22"/>
    </x:row>
    <x:row r="16">
      <x:c r="A16" s="20"/>
      <x:c r="B16" s="20"/>
      <x:c r="C16" s="20"/>
      <x:c r="D16" s="20"/>
      <x:c r="E16" s="20"/>
      <x:c r="F16" s="22"/>
      <x:c r="G16" s="20"/>
      <x:c r="H16" s="20"/>
      <x:c r="I16" s="20"/>
      <x:c r="J16" s="22"/>
    </x:row>
    <x:row r="17">
      <x:c r="A17" s="20"/>
      <x:c r="B17" s="20"/>
      <x:c r="C17" s="20"/>
      <x:c r="D17" s="20"/>
      <x:c r="E17" s="20"/>
      <x:c r="F17" s="22"/>
      <x:c r="G17" s="20"/>
      <x:c r="H17" s="20"/>
      <x:c r="I17" s="20"/>
      <x:c r="J17" s="22"/>
    </x:row>
    <x:row r="18">
      <x:c r="A18" s="20"/>
      <x:c r="B18" s="20"/>
      <x:c r="C18" s="20"/>
      <x:c r="D18" s="20"/>
      <x:c r="E18" s="20"/>
      <x:c r="F18" s="22"/>
      <x:c r="G18" s="20"/>
      <x:c r="H18" s="20"/>
      <x:c r="I18" s="20"/>
      <x:c r="J18" s="22"/>
    </x:row>
    <x:row r="19">
      <x:c r="A19" s="20"/>
      <x:c r="B19" s="20"/>
      <x:c r="C19" s="20"/>
      <x:c r="D19" s="20"/>
      <x:c r="E19" s="20"/>
      <x:c r="F19" s="22"/>
      <x:c r="G19" s="20"/>
      <x:c r="H19" s="20"/>
      <x:c r="I19" s="20"/>
      <x:c r="J19" s="22"/>
    </x:row>
    <x:row r="20">
      <x:c r="A20" s="20"/>
      <x:c r="B20" s="20"/>
      <x:c r="C20" s="20"/>
      <x:c r="D20" s="20"/>
      <x:c r="E20" s="20"/>
      <x:c r="F20" s="22"/>
      <x:c r="G20" s="20"/>
      <x:c r="H20" s="20"/>
      <x:c r="I20" s="20"/>
      <x:c r="J20" s="22"/>
    </x:row>
    <x:row r="21">
      <x:c r="F21" s="23"/>
      <x:c r="J21" s="23"/>
    </x:row>
    <x:row r="22">
      <x:c r="F22" s="23"/>
      <x:c r="J22" s="23"/>
    </x:row>
    <x:row r="23">
      <x:c r="F23" s="23"/>
      <x:c r="J23" s="23"/>
    </x:row>
    <x:row r="24">
      <x:c r="F24" s="23"/>
      <x:c r="J24" s="23"/>
    </x:row>
    <x:row r="25">
      <x:c r="F25" s="23"/>
      <x:c r="J25" s="23"/>
    </x:row>
    <x:row r="26">
      <x:c r="F26" s="23"/>
      <x:c r="J26" s="23"/>
    </x:row>
    <x:row r="27">
      <x:c r="F27" s="23"/>
      <x:c r="J27" s="23"/>
    </x:row>
    <x:row r="28">
      <x:c r="F28" s="23"/>
      <x:c r="J28" s="23"/>
    </x:row>
    <x:row r="29">
      <x:c r="F29" s="23"/>
      <x:c r="J29" s="23"/>
    </x:row>
    <x:row r="30">
      <x:c r="F30" s="23"/>
      <x:c r="J30" s="23"/>
    </x:row>
    <x:row r="31">
      <x:c r="F31" s="23"/>
      <x:c r="J31" s="23"/>
    </x:row>
    <x:row r="32">
      <x:c r="F32" s="23"/>
      <x:c r="J32" s="23"/>
    </x:row>
    <x:row r="33">
      <x:c r="F33" s="23"/>
      <x:c r="J33" s="23"/>
    </x:row>
    <x:row r="34">
      <x:c r="F34" s="23"/>
      <x:c r="J34" s="23"/>
    </x:row>
    <x:row r="35">
      <x:c r="F35" s="23"/>
      <x:c r="J35" s="23"/>
    </x:row>
    <x:row r="36">
      <x:c r="F36" s="23"/>
      <x:c r="J36" s="23"/>
    </x:row>
    <x:row r="37">
      <x:c r="F37" s="23"/>
      <x:c r="J37" s="23"/>
    </x:row>
    <x:row r="38">
      <x:c r="F38" s="23"/>
      <x:c r="J38" s="23"/>
    </x:row>
    <x:row r="39">
      <x:c r="F39" s="23"/>
      <x:c r="J39" s="23"/>
    </x:row>
    <x:row r="40">
      <x:c r="F40" s="23"/>
      <x:c r="J40" s="23"/>
    </x:row>
    <x:row r="41">
      <x:c r="F41" s="23"/>
      <x:c r="J41" s="23"/>
    </x:row>
    <x:row r="42">
      <x:c r="F42" s="23"/>
      <x:c r="J42" s="23"/>
    </x:row>
    <x:row r="43">
      <x:c r="F43" s="23"/>
      <x:c r="J43" s="23"/>
    </x:row>
    <x:row r="44">
      <x:c r="F44" s="23"/>
      <x:c r="J44" s="23"/>
    </x:row>
    <x:row r="45">
      <x:c r="F45" s="23"/>
      <x:c r="J45" s="23"/>
    </x:row>
    <x:row r="46">
      <x:c r="F46" s="23"/>
      <x:c r="J46" s="23"/>
    </x:row>
    <x:row r="47">
      <x:c r="F47" s="23"/>
      <x:c r="J47" s="23"/>
    </x:row>
    <x:row r="48">
      <x:c r="F48" s="23"/>
      <x:c r="J48" s="23"/>
    </x:row>
    <x:row r="49">
      <x:c r="F49" s="23"/>
      <x:c r="J49" s="23"/>
    </x:row>
    <x:row r="50">
      <x:c r="F50" s="23"/>
      <x:c r="J50" s="23"/>
    </x:row>
    <x:row r="51">
      <x:c r="F51" s="23"/>
      <x:c r="J51" s="23"/>
    </x:row>
    <x:row r="52">
      <x:c r="F52" s="23"/>
      <x:c r="J52" s="23"/>
    </x:row>
    <x:row r="53">
      <x:c r="F53" s="23"/>
      <x:c r="J53" s="23"/>
    </x:row>
    <x:row r="54">
      <x:c r="F54" s="23"/>
      <x:c r="J54" s="23"/>
    </x:row>
    <x:row r="55">
      <x:c r="F55" s="23"/>
      <x:c r="J55" s="23"/>
    </x:row>
    <x:row r="56">
      <x:c r="F56" s="23"/>
      <x:c r="J56" s="23"/>
    </x:row>
    <x:row r="57">
      <x:c r="F57" s="23"/>
      <x:c r="J57" s="23"/>
    </x:row>
    <x:row r="58">
      <x:c r="F58" s="23"/>
      <x:c r="J58" s="23"/>
    </x:row>
    <x:row r="59">
      <x:c r="F59" s="23"/>
      <x:c r="J59" s="23"/>
    </x:row>
    <x:row r="60">
      <x:c r="F60" s="23"/>
      <x:c r="J60" s="23"/>
    </x:row>
    <x:row r="61">
      <x:c r="F61" s="23"/>
      <x:c r="J61" s="23"/>
    </x:row>
    <x:row r="62">
      <x:c r="F62" s="23"/>
      <x:c r="J62" s="23"/>
    </x:row>
    <x:row r="63">
      <x:c r="F63" s="23"/>
      <x:c r="J63" s="23"/>
    </x:row>
    <x:row r="64">
      <x:c r="F64" s="23"/>
      <x:c r="J64" s="23"/>
    </x:row>
    <x:row r="65">
      <x:c r="F65" s="23"/>
      <x:c r="J65" s="23"/>
    </x:row>
    <x:row r="66">
      <x:c r="F66" s="23"/>
      <x:c r="J66" s="23"/>
    </x:row>
    <x:row r="67">
      <x:c r="F67" s="23"/>
      <x:c r="J67" s="23"/>
    </x:row>
    <x:row r="68">
      <x:c r="F68" s="23"/>
      <x:c r="J68" s="23"/>
    </x:row>
    <x:row r="69">
      <x:c r="F69" s="23"/>
      <x:c r="J69" s="23"/>
    </x:row>
    <x:row r="70">
      <x:c r="F70" s="23"/>
      <x:c r="J70" s="23"/>
    </x:row>
    <x:row r="71">
      <x:c r="F71" s="23"/>
      <x:c r="J71" s="23"/>
    </x:row>
    <x:row r="72">
      <x:c r="F72" s="23"/>
      <x:c r="J72" s="23"/>
    </x:row>
    <x:row r="73">
      <x:c r="F73" s="23"/>
      <x:c r="J73" s="23"/>
    </x:row>
    <x:row r="74">
      <x:c r="F74" s="23"/>
      <x:c r="J74" s="23"/>
    </x:row>
    <x:row r="75">
      <x:c r="F75" s="23"/>
      <x:c r="J75" s="23"/>
    </x:row>
    <x:row r="76">
      <x:c r="F76" s="23"/>
      <x:c r="J76" s="23"/>
    </x:row>
    <x:row r="77">
      <x:c r="F77" s="23"/>
      <x:c r="J77" s="23"/>
    </x:row>
    <x:row r="78">
      <x:c r="F78" s="23"/>
      <x:c r="J78" s="23"/>
    </x:row>
    <x:row r="79">
      <x:c r="F79" s="23"/>
      <x:c r="J79" s="23"/>
    </x:row>
    <x:row r="80">
      <x:c r="F80" s="23"/>
      <x:c r="J80" s="23"/>
    </x:row>
    <x:row r="81">
      <x:c r="F81" s="23"/>
      <x:c r="J81" s="23"/>
    </x:row>
    <x:row r="82">
      <x:c r="F82" s="23"/>
      <x:c r="J82" s="23"/>
    </x:row>
    <x:row r="83">
      <x:c r="F83" s="23"/>
      <x:c r="J83" s="23"/>
    </x:row>
    <x:row r="84">
      <x:c r="F84" s="23"/>
      <x:c r="J84" s="23"/>
    </x:row>
    <x:row r="85">
      <x:c r="F85" s="23"/>
      <x:c r="J85" s="23"/>
    </x:row>
    <x:row r="86">
      <x:c r="F86" s="23"/>
      <x:c r="J86" s="23"/>
    </x:row>
    <x:row r="87">
      <x:c r="F87" s="23"/>
      <x:c r="J87" s="23"/>
    </x:row>
    <x:row r="88">
      <x:c r="F88" s="23"/>
      <x:c r="J88" s="23"/>
    </x:row>
    <x:row r="89">
      <x:c r="F89" s="23"/>
      <x:c r="J89" s="23"/>
    </x:row>
    <x:row r="90">
      <x:c r="F90" s="23"/>
      <x:c r="J90" s="23"/>
    </x:row>
    <x:row r="91">
      <x:c r="F91" s="23"/>
      <x:c r="J91" s="23"/>
    </x:row>
    <x:row r="92">
      <x:c r="F92" s="23"/>
      <x:c r="J92" s="23"/>
    </x:row>
    <x:row r="93">
      <x:c r="F93" s="23"/>
      <x:c r="J93" s="23"/>
    </x:row>
    <x:row r="94">
      <x:c r="F94" s="23"/>
      <x:c r="J94" s="23"/>
    </x:row>
    <x:row r="95">
      <x:c r="F95" s="23"/>
      <x:c r="J95" s="23"/>
    </x:row>
    <x:row r="96">
      <x:c r="F96" s="23"/>
      <x:c r="J96" s="23"/>
    </x:row>
    <x:row r="97">
      <x:c r="F97" s="23"/>
      <x:c r="J97" s="23"/>
    </x:row>
    <x:row r="98">
      <x:c r="F98" s="23"/>
      <x:c r="J98" s="23"/>
    </x:row>
    <x:row r="99">
      <x:c r="F99" s="23"/>
      <x:c r="J99" s="23"/>
    </x:row>
    <x:row r="100">
      <x:c r="F100" s="23"/>
      <x:c r="J100" s="23"/>
    </x:row>
    <x:row r="101">
      <x:c r="F101" s="23"/>
      <x:c r="J101" s="23"/>
    </x:row>
    <x:row r="102">
      <x:c r="F102" s="23"/>
      <x:c r="J102" s="23"/>
    </x:row>
    <x:row r="103">
      <x:c r="F103" s="23"/>
      <x:c r="J103" s="23"/>
    </x:row>
    <x:row r="104">
      <x:c r="F104" s="23"/>
      <x:c r="J104" s="23"/>
    </x:row>
    <x:row r="105">
      <x:c r="F105" s="23"/>
      <x:c r="J105" s="23"/>
    </x:row>
    <x:row r="106">
      <x:c r="F106" s="23"/>
      <x:c r="J106" s="23"/>
    </x:row>
    <x:row r="107">
      <x:c r="F107" s="23"/>
      <x:c r="J107" s="23"/>
    </x:row>
    <x:row r="108">
      <x:c r="F108" s="23"/>
      <x:c r="J108" s="23"/>
    </x:row>
    <x:row r="109">
      <x:c r="F109" s="23"/>
      <x:c r="J109" s="23"/>
    </x:row>
    <x:row r="110">
      <x:c r="F110" s="23"/>
      <x:c r="J110" s="23"/>
    </x:row>
    <x:row r="111">
      <x:c r="F111" s="23"/>
      <x:c r="J111" s="23"/>
    </x:row>
    <x:row r="112">
      <x:c r="F112" s="23"/>
      <x:c r="J112" s="23"/>
    </x:row>
    <x:row r="113">
      <x:c r="F113" s="23"/>
      <x:c r="J113" s="23"/>
    </x:row>
    <x:row r="114">
      <x:c r="F114" s="23"/>
      <x:c r="J114" s="23"/>
    </x:row>
    <x:row r="115">
      <x:c r="F115" s="23"/>
      <x:c r="J115" s="23"/>
    </x:row>
    <x:row r="116">
      <x:c r="F116" s="23"/>
      <x:c r="J116" s="23"/>
    </x:row>
    <x:row r="117">
      <x:c r="F117" s="23"/>
      <x:c r="J117" s="23"/>
    </x:row>
    <x:row r="118">
      <x:c r="F118" s="23"/>
      <x:c r="J118" s="23"/>
    </x:row>
    <x:row r="119">
      <x:c r="F119" s="23"/>
      <x:c r="J119" s="23"/>
    </x:row>
    <x:row r="120">
      <x:c r="F120" s="23"/>
      <x:c r="J120" s="23"/>
    </x:row>
    <x:row r="121">
      <x:c r="F121" s="23"/>
      <x:c r="J121" s="23"/>
    </x:row>
    <x:row r="122">
      <x:c r="F122" s="23"/>
      <x:c r="J122" s="23"/>
    </x:row>
    <x:row r="123">
      <x:c r="F123" s="23"/>
      <x:c r="J123" s="23"/>
    </x:row>
    <x:row r="124">
      <x:c r="F124" s="23"/>
      <x:c r="J124" s="23"/>
    </x:row>
    <x:row r="125">
      <x:c r="F125" s="23"/>
      <x:c r="J125" s="23"/>
    </x:row>
    <x:row r="126">
      <x:c r="F126" s="23"/>
      <x:c r="J126" s="23"/>
    </x:row>
    <x:row r="127">
      <x:c r="F127" s="23"/>
      <x:c r="J127" s="23"/>
    </x:row>
    <x:row r="128">
      <x:c r="F128" s="23"/>
      <x:c r="J128" s="23"/>
    </x:row>
    <x:row r="129">
      <x:c r="F129" s="23"/>
      <x:c r="J129" s="23"/>
    </x:row>
    <x:row r="130">
      <x:c r="F130" s="23"/>
      <x:c r="J130" s="23"/>
    </x:row>
    <x:row r="131">
      <x:c r="F131" s="23"/>
      <x:c r="J131" s="23"/>
    </x:row>
    <x:row r="132">
      <x:c r="F132" s="23"/>
      <x:c r="J132" s="23"/>
    </x:row>
    <x:row r="133">
      <x:c r="F133" s="23"/>
      <x:c r="J133" s="23"/>
    </x:row>
    <x:row r="134">
      <x:c r="F134" s="23"/>
      <x:c r="J134" s="23"/>
    </x:row>
    <x:row r="135">
      <x:c r="F135" s="23"/>
      <x:c r="J135" s="23"/>
    </x:row>
    <x:row r="136">
      <x:c r="F136" s="23"/>
      <x:c r="J136" s="23"/>
    </x:row>
    <x:row r="137">
      <x:c r="F137" s="23"/>
      <x:c r="J137" s="23"/>
    </x:row>
    <x:row r="138">
      <x:c r="F138" s="23"/>
      <x:c r="J138" s="23"/>
    </x:row>
    <x:row r="139">
      <x:c r="F139" s="23"/>
      <x:c r="J139" s="23"/>
    </x:row>
    <x:row r="140">
      <x:c r="F140" s="23"/>
      <x:c r="J140" s="23"/>
    </x:row>
    <x:row r="141">
      <x:c r="F141" s="23"/>
      <x:c r="J141" s="23"/>
    </x:row>
    <x:row r="142">
      <x:c r="F142" s="23"/>
      <x:c r="J142" s="23"/>
    </x:row>
    <x:row r="143">
      <x:c r="F143" s="23"/>
      <x:c r="J143" s="23"/>
    </x:row>
    <x:row r="144">
      <x:c r="F144" s="23"/>
      <x:c r="J144" s="23"/>
    </x:row>
    <x:row r="145">
      <x:c r="F145" s="23"/>
      <x:c r="J145" s="23"/>
    </x:row>
    <x:row r="146">
      <x:c r="F146" s="23"/>
      <x:c r="J146" s="23"/>
    </x:row>
    <x:row r="147">
      <x:c r="F147" s="23"/>
      <x:c r="J147" s="23"/>
    </x:row>
    <x:row r="148">
      <x:c r="F148" s="23"/>
      <x:c r="J148" s="23"/>
    </x:row>
    <x:row r="149">
      <x:c r="F149" s="23"/>
      <x:c r="J149" s="23"/>
    </x:row>
    <x:row r="150">
      <x:c r="F150" s="23"/>
      <x:c r="J150" s="23"/>
    </x:row>
    <x:row r="151">
      <x:c r="F151" s="23"/>
      <x:c r="J151" s="23"/>
    </x:row>
    <x:row r="152">
      <x:c r="F152" s="23"/>
      <x:c r="J152" s="23"/>
    </x:row>
    <x:row r="153">
      <x:c r="F153" s="23"/>
      <x:c r="J153" s="23"/>
    </x:row>
    <x:row r="154">
      <x:c r="F154" s="23"/>
      <x:c r="J154" s="23"/>
    </x:row>
    <x:row r="155">
      <x:c r="F155" s="23"/>
      <x:c r="J155" s="23"/>
    </x:row>
    <x:row r="156">
      <x:c r="F156" s="23"/>
      <x:c r="J156" s="23"/>
    </x:row>
    <x:row r="157">
      <x:c r="F157" s="23"/>
      <x:c r="J157" s="23"/>
    </x:row>
    <x:row r="158">
      <x:c r="F158" s="23"/>
      <x:c r="J158" s="23"/>
    </x:row>
    <x:row r="159">
      <x:c r="F159" s="23"/>
      <x:c r="J159" s="23"/>
    </x:row>
    <x:row r="160">
      <x:c r="F160" s="23"/>
      <x:c r="J160" s="23"/>
    </x:row>
    <x:row r="161">
      <x:c r="F161" s="23"/>
      <x:c r="J161" s="23"/>
    </x:row>
    <x:row r="162">
      <x:c r="F162" s="23"/>
      <x:c r="J162" s="23"/>
    </x:row>
    <x:row r="163">
      <x:c r="F163" s="23"/>
      <x:c r="J163" s="23"/>
    </x:row>
    <x:row r="164">
      <x:c r="F164" s="23"/>
      <x:c r="J164" s="23"/>
    </x:row>
    <x:row r="165">
      <x:c r="F165" s="23"/>
      <x:c r="J165" s="23"/>
    </x:row>
    <x:row r="166">
      <x:c r="F166" s="23"/>
      <x:c r="J166" s="23"/>
    </x:row>
    <x:row r="167">
      <x:c r="F167" s="23"/>
      <x:c r="J167" s="23"/>
    </x:row>
    <x:row r="168">
      <x:c r="F168" s="23"/>
      <x:c r="J168" s="23"/>
    </x:row>
    <x:row r="169">
      <x:c r="F169" s="23"/>
      <x:c r="J169" s="23"/>
    </x:row>
    <x:row r="170">
      <x:c r="F170" s="23"/>
      <x:c r="J170" s="23"/>
    </x:row>
    <x:row r="171">
      <x:c r="F171" s="23"/>
      <x:c r="J171" s="23"/>
    </x:row>
    <x:row r="172">
      <x:c r="F172" s="23"/>
      <x:c r="J172" s="23"/>
    </x:row>
    <x:row r="173">
      <x:c r="F173" s="23"/>
      <x:c r="J173" s="23"/>
    </x:row>
    <x:row r="174">
      <x:c r="F174" s="23"/>
      <x:c r="J174" s="23"/>
    </x:row>
    <x:row r="175">
      <x:c r="F175" s="23"/>
      <x:c r="J175" s="23"/>
    </x:row>
    <x:row r="176">
      <x:c r="F176" s="23"/>
      <x:c r="J176" s="23"/>
    </x:row>
    <x:row r="177">
      <x:c r="F177" s="23"/>
      <x:c r="J177" s="23"/>
    </x:row>
    <x:row r="178">
      <x:c r="F178" s="23"/>
      <x:c r="J178" s="23"/>
    </x:row>
    <x:row r="179">
      <x:c r="F179" s="23"/>
      <x:c r="J179" s="23"/>
    </x:row>
    <x:row r="180">
      <x:c r="F180" s="23"/>
      <x:c r="J180" s="23"/>
    </x:row>
    <x:row r="181">
      <x:c r="F181" s="23"/>
      <x:c r="J181" s="23"/>
    </x:row>
    <x:row r="182">
      <x:c r="F182" s="23"/>
      <x:c r="J182" s="23"/>
    </x:row>
    <x:row r="183">
      <x:c r="F183" s="23"/>
      <x:c r="J183" s="23"/>
    </x:row>
    <x:row r="184">
      <x:c r="F184" s="23"/>
      <x:c r="J184" s="23"/>
    </x:row>
    <x:row r="185">
      <x:c r="F185" s="23"/>
      <x:c r="J185" s="23"/>
    </x:row>
    <x:row r="186">
      <x:c r="F186" s="23"/>
      <x:c r="J186" s="23"/>
    </x:row>
    <x:row r="187">
      <x:c r="F187" s="23"/>
      <x:c r="J187" s="23"/>
    </x:row>
    <x:row r="188">
      <x:c r="F188" s="23"/>
      <x:c r="J188" s="23"/>
    </x:row>
    <x:row r="189">
      <x:c r="F189" s="23"/>
      <x:c r="J189" s="23"/>
    </x:row>
    <x:row r="190">
      <x:c r="F190" s="23"/>
      <x:c r="J190" s="23"/>
    </x:row>
    <x:row r="191">
      <x:c r="F191" s="23"/>
      <x:c r="J191" s="23"/>
    </x:row>
    <x:row r="192">
      <x:c r="F192" s="23"/>
      <x:c r="J192" s="23"/>
    </x:row>
    <x:row r="193">
      <x:c r="F193" s="23"/>
      <x:c r="J193" s="23"/>
    </x:row>
    <x:row r="194">
      <x:c r="F194" s="23"/>
      <x:c r="J194" s="23"/>
    </x:row>
    <x:row r="195">
      <x:c r="F195" s="23"/>
      <x:c r="J195" s="23"/>
    </x:row>
    <x:row r="196">
      <x:c r="F196" s="23"/>
      <x:c r="J196" s="23"/>
    </x:row>
    <x:row r="197">
      <x:c r="F197" s="23"/>
      <x:c r="J197" s="23"/>
    </x:row>
    <x:row r="198">
      <x:c r="F198" s="23"/>
      <x:c r="J198" s="23"/>
    </x:row>
    <x:row r="199">
      <x:c r="F199" s="23"/>
      <x:c r="J199" s="23"/>
    </x:row>
    <x:row r="200">
      <x:c r="F200" s="23"/>
      <x:c r="J200" s="23"/>
    </x:row>
    <x:row r="201">
      <x:c r="F201" s="23"/>
      <x:c r="J201" s="23"/>
    </x:row>
    <x:row r="202">
      <x:c r="F202" s="23"/>
      <x:c r="J202" s="23"/>
    </x:row>
    <x:row r="203">
      <x:c r="F203" s="23"/>
      <x:c r="J203" s="23"/>
    </x:row>
    <x:row r="204">
      <x:c r="F204" s="23"/>
      <x:c r="J204" s="23"/>
    </x:row>
    <x:row r="205">
      <x:c r="F205" s="23"/>
      <x:c r="J205" s="23"/>
    </x:row>
    <x:row r="206">
      <x:c r="F206" s="23"/>
      <x:c r="J206" s="23"/>
    </x:row>
    <x:row r="207">
      <x:c r="F207" s="23"/>
      <x:c r="J207" s="23"/>
    </x:row>
    <x:row r="208">
      <x:c r="F208" s="23"/>
      <x:c r="J208" s="23"/>
    </x:row>
    <x:row r="209">
      <x:c r="F209" s="23"/>
      <x:c r="J209" s="23"/>
    </x:row>
    <x:row r="210">
      <x:c r="F210" s="23"/>
      <x:c r="J210" s="23"/>
    </x:row>
    <x:row r="211">
      <x:c r="F211" s="23"/>
      <x:c r="J211" s="23"/>
    </x:row>
    <x:row r="212">
      <x:c r="F212" s="23"/>
      <x:c r="J212" s="23"/>
    </x:row>
    <x:row r="213">
      <x:c r="F213" s="23"/>
      <x:c r="J213" s="23"/>
    </x:row>
    <x:row r="214">
      <x:c r="F214" s="23"/>
      <x:c r="J214" s="23"/>
    </x:row>
    <x:row r="215">
      <x:c r="F215" s="23"/>
      <x:c r="J215" s="23"/>
    </x:row>
    <x:row r="216">
      <x:c r="F216" s="23"/>
      <x:c r="J216" s="23"/>
    </x:row>
    <x:row r="217">
      <x:c r="F217" s="23"/>
      <x:c r="J217" s="23"/>
    </x:row>
    <x:row r="218">
      <x:c r="F218" s="23"/>
      <x:c r="J218" s="23"/>
    </x:row>
    <x:row r="219">
      <x:c r="F219" s="23"/>
      <x:c r="J219" s="23"/>
    </x:row>
    <x:row r="220">
      <x:c r="F220" s="23"/>
      <x:c r="J220" s="23"/>
    </x:row>
    <x:row r="221">
      <x:c r="F221" s="23"/>
      <x:c r="J221" s="23"/>
    </x:row>
    <x:row r="222">
      <x:c r="F222" s="23"/>
      <x:c r="J222" s="23"/>
    </x:row>
    <x:row r="223">
      <x:c r="F223" s="23"/>
      <x:c r="J223" s="23"/>
    </x:row>
    <x:row r="224">
      <x:c r="F224" s="23"/>
      <x:c r="J224" s="23"/>
    </x:row>
    <x:row r="225">
      <x:c r="F225" s="23"/>
      <x:c r="J225" s="23"/>
    </x:row>
    <x:row r="226">
      <x:c r="F226" s="23"/>
      <x:c r="J226" s="23"/>
    </x:row>
    <x:row r="227">
      <x:c r="F227" s="23"/>
      <x:c r="J227" s="23"/>
    </x:row>
    <x:row r="228">
      <x:c r="F228" s="23"/>
      <x:c r="J228" s="23"/>
    </x:row>
    <x:row r="229">
      <x:c r="F229" s="23"/>
      <x:c r="J229" s="23"/>
    </x:row>
    <x:row r="230">
      <x:c r="F230" s="23"/>
      <x:c r="J230" s="23"/>
    </x:row>
    <x:row r="231">
      <x:c r="F231" s="23"/>
      <x:c r="J231" s="23"/>
    </x:row>
    <x:row r="232">
      <x:c r="F232" s="23"/>
      <x:c r="J232" s="23"/>
    </x:row>
    <x:row r="233">
      <x:c r="F233" s="23"/>
      <x:c r="J233" s="23"/>
    </x:row>
    <x:row r="234">
      <x:c r="F234" s="23"/>
      <x:c r="J234" s="23"/>
    </x:row>
    <x:row r="235">
      <x:c r="F235" s="23"/>
      <x:c r="J235" s="23"/>
    </x:row>
    <x:row r="236">
      <x:c r="F236" s="23"/>
      <x:c r="J236" s="23"/>
    </x:row>
    <x:row r="237">
      <x:c r="F237" s="23"/>
      <x:c r="J237" s="23"/>
    </x:row>
    <x:row r="238">
      <x:c r="F238" s="23"/>
      <x:c r="J238" s="23"/>
    </x:row>
    <x:row r="239">
      <x:c r="F239" s="23"/>
      <x:c r="J239" s="23"/>
    </x:row>
    <x:row r="240">
      <x:c r="F240" s="23"/>
      <x:c r="J240" s="23"/>
    </x:row>
    <x:row r="241">
      <x:c r="F241" s="23"/>
      <x:c r="J241" s="23"/>
    </x:row>
    <x:row r="242">
      <x:c r="F242" s="23"/>
      <x:c r="J242" s="23"/>
    </x:row>
    <x:row r="243">
      <x:c r="F243" s="23"/>
      <x:c r="J243" s="23"/>
    </x:row>
    <x:row r="244">
      <x:c r="F244" s="23"/>
      <x:c r="J244" s="23"/>
    </x:row>
    <x:row r="245">
      <x:c r="F245" s="23"/>
      <x:c r="J245" s="23"/>
    </x:row>
    <x:row r="246">
      <x:c r="F246" s="23"/>
      <x:c r="J246" s="23"/>
    </x:row>
    <x:row r="247">
      <x:c r="F247" s="23"/>
      <x:c r="J247" s="23"/>
    </x:row>
    <x:row r="248">
      <x:c r="F248" s="23"/>
      <x:c r="J248" s="23"/>
    </x:row>
    <x:row r="249">
      <x:c r="F249" s="23"/>
      <x:c r="J249" s="23"/>
    </x:row>
    <x:row r="250">
      <x:c r="F250" s="23"/>
      <x:c r="J250" s="23"/>
    </x:row>
    <x:row r="251">
      <x:c r="F251" s="23"/>
      <x:c r="J251" s="23"/>
    </x:row>
    <x:row r="252">
      <x:c r="F252" s="23"/>
      <x:c r="J252" s="23"/>
    </x:row>
    <x:row r="253">
      <x:c r="F253" s="23"/>
      <x:c r="J253" s="23"/>
    </x:row>
    <x:row r="254">
      <x:c r="F254" s="23"/>
      <x:c r="J254" s="23"/>
    </x:row>
    <x:row r="255">
      <x:c r="F255" s="23"/>
      <x:c r="J255" s="23"/>
    </x:row>
    <x:row r="256">
      <x:c r="F256" s="23"/>
      <x:c r="J256" s="23"/>
    </x:row>
    <x:row r="257">
      <x:c r="F257" s="23"/>
      <x:c r="J257" s="23"/>
    </x:row>
    <x:row r="258">
      <x:c r="F258" s="23"/>
      <x:c r="J258" s="23"/>
    </x:row>
    <x:row r="259">
      <x:c r="F259" s="23"/>
      <x:c r="J259" s="23"/>
    </x:row>
    <x:row r="260">
      <x:c r="F260" s="23"/>
      <x:c r="J260" s="23"/>
    </x:row>
    <x:row r="261">
      <x:c r="F261" s="23"/>
      <x:c r="J261" s="23"/>
    </x:row>
    <x:row r="262">
      <x:c r="F262" s="23"/>
      <x:c r="J262" s="23"/>
    </x:row>
    <x:row r="263">
      <x:c r="F263" s="23"/>
      <x:c r="J263" s="23"/>
    </x:row>
    <x:row r="264">
      <x:c r="F264" s="23"/>
      <x:c r="J264" s="23"/>
    </x:row>
    <x:row r="265">
      <x:c r="F265" s="23"/>
      <x:c r="J265" s="23"/>
    </x:row>
    <x:row r="266">
      <x:c r="F266" s="23"/>
      <x:c r="J266" s="23"/>
    </x:row>
    <x:row r="267">
      <x:c r="F267" s="23"/>
      <x:c r="J267" s="23"/>
    </x:row>
    <x:row r="268">
      <x:c r="F268" s="23"/>
      <x:c r="J268" s="23"/>
    </x:row>
    <x:row r="269">
      <x:c r="F269" s="23"/>
      <x:c r="J269" s="23"/>
    </x:row>
    <x:row r="270">
      <x:c r="F270" s="23"/>
      <x:c r="J270" s="23"/>
    </x:row>
    <x:row r="271">
      <x:c r="F271" s="23"/>
      <x:c r="J271" s="23"/>
    </x:row>
    <x:row r="272">
      <x:c r="F272" s="23"/>
      <x:c r="J272" s="23"/>
    </x:row>
    <x:row r="273">
      <x:c r="F273" s="23"/>
      <x:c r="J273" s="23"/>
    </x:row>
    <x:row r="274">
      <x:c r="F274" s="23"/>
      <x:c r="J274" s="23"/>
    </x:row>
    <x:row r="275">
      <x:c r="F275" s="23"/>
      <x:c r="J275" s="23"/>
    </x:row>
    <x:row r="276">
      <x:c r="F276" s="23"/>
      <x:c r="J276" s="23"/>
    </x:row>
    <x:row r="277">
      <x:c r="F277" s="23"/>
      <x:c r="J277" s="23"/>
    </x:row>
    <x:row r="278">
      <x:c r="F278" s="23"/>
      <x:c r="J278" s="23"/>
    </x:row>
    <x:row r="279">
      <x:c r="F279" s="23"/>
      <x:c r="J279" s="23"/>
    </x:row>
    <x:row r="280">
      <x:c r="F280" s="23"/>
      <x:c r="J280" s="23"/>
    </x:row>
    <x:row r="281">
      <x:c r="F281" s="23"/>
      <x:c r="J281" s="23"/>
    </x:row>
    <x:row r="282">
      <x:c r="F282" s="23"/>
      <x:c r="J282" s="23"/>
    </x:row>
    <x:row r="283">
      <x:c r="F283" s="23"/>
      <x:c r="J283" s="23"/>
    </x:row>
    <x:row r="284">
      <x:c r="F284" s="23"/>
      <x:c r="J284" s="23"/>
    </x:row>
    <x:row r="285">
      <x:c r="F285" s="23"/>
      <x:c r="J285" s="23"/>
    </x:row>
    <x:row r="286">
      <x:c r="F286" s="23"/>
      <x:c r="J286" s="23"/>
    </x:row>
    <x:row r="287">
      <x:c r="F287" s="23"/>
      <x:c r="J287" s="23"/>
    </x:row>
    <x:row r="288">
      <x:c r="F288" s="23"/>
      <x:c r="J288" s="23"/>
    </x:row>
    <x:row r="289">
      <x:c r="F289" s="23"/>
      <x:c r="J289" s="23"/>
    </x:row>
    <x:row r="290">
      <x:c r="F290" s="23"/>
      <x:c r="J290" s="23"/>
    </x:row>
    <x:row r="291">
      <x:c r="F291" s="23"/>
      <x:c r="J291" s="23"/>
    </x:row>
    <x:row r="292">
      <x:c r="F292" s="23"/>
      <x:c r="J292" s="23"/>
    </x:row>
    <x:row r="293">
      <x:c r="F293" s="23"/>
      <x:c r="J293" s="23"/>
    </x:row>
    <x:row r="294">
      <x:c r="F294" s="23"/>
      <x:c r="J294" s="23"/>
    </x:row>
    <x:row r="295">
      <x:c r="F295" s="23"/>
      <x:c r="J295" s="23"/>
    </x:row>
    <x:row r="296">
      <x:c r="F296" s="23"/>
      <x:c r="J296" s="23"/>
    </x:row>
    <x:row r="297">
      <x:c r="F297" s="23"/>
      <x:c r="J297" s="23"/>
    </x:row>
    <x:row r="298">
      <x:c r="F298" s="23"/>
      <x:c r="J298" s="23"/>
    </x:row>
    <x:row r="299">
      <x:c r="F299" s="23"/>
      <x:c r="J299" s="23"/>
    </x:row>
    <x:row r="300">
      <x:c r="F300" s="23"/>
      <x:c r="J300" s="23"/>
    </x:row>
    <x:row r="301">
      <x:c r="F301" s="23"/>
      <x:c r="J301" s="23"/>
    </x:row>
    <x:row r="302">
      <x:c r="F302" s="23"/>
      <x:c r="J302" s="23"/>
    </x:row>
    <x:row r="303">
      <x:c r="F303" s="23"/>
      <x:c r="J303" s="23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e8039ae8f3447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</x:cols>
  <x:sheetData>
    <x:row r="1">
      <x:c r="A1" s="4" t="str">
        <x:v>Coverage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Coverage ID</x:v>
      </x:c>
      <x:c r="B3" s="12" t="str">
        <x:v>Tactic</x:v>
      </x:c>
      <x:c r="C3" s="12" t="str">
        <x:v>Technique</x:v>
      </x:c>
      <x:c r="D3" s="12" t="str">
        <x:v>Technique ID</x:v>
      </x:c>
      <x:c r="E3" s="12" t="str">
        <x:v>Priority</x:v>
      </x:c>
      <x:c r="F3" s="12" t="str">
        <x:v>Detection Count</x:v>
      </x:c>
      <x:c r="G3" s="12" t="str">
        <x:v>Validated Count</x:v>
      </x:c>
      <x:c r="H3" s="12" t="str">
        <x:v>Coverage %</x:v>
      </x:c>
      <x:c r="I3" s="12" t="str">
        <x:v>Primary Owner</x:v>
      </x:c>
      <x:c r="J3" s="12" t="str">
        <x:v>Gap</x:v>
      </x:c>
    </x:row>
    <x:row r="4">
      <x:c r="A4" s="20" t="str">
        <x:v>COV-001</x:v>
      </x:c>
      <x:c r="B4" s="20" t="str">
        <x:v>Initial Access</x:v>
      </x:c>
      <x:c r="C4" s="20" t="str">
        <x:v>Phishing</x:v>
      </x:c>
      <x:c r="D4" s="20" t="str">
        <x:v>T1566</x:v>
      </x:c>
      <x:c r="E4" s="20" t="str">
        <x:v>Critical</x:v>
      </x:c>
      <x:c r="F4" s="20" t="n">
        <x:v>2</x:v>
      </x:c>
      <x:c r="G4" s="20" t="n">
        <x:v>1</x:v>
      </x:c>
      <x:c r="H4" s="20" t="n">
        <x:f>IFERROR(G4/F4*100,0)</x:f>
        <x:v>50</x:v>
      </x:c>
      <x:c r="I4" s="20" t="str">
        <x:v>Email Security</x:v>
      </x:c>
      <x:c r="J4" s="20" t="str">
        <x:v>Attachment behavior</x:v>
      </x:c>
    </x:row>
    <x:row r="5">
      <x:c r="A5" s="20" t="str">
        <x:v>COV-002</x:v>
      </x:c>
      <x:c r="B5" s="20" t="str">
        <x:v>Execution</x:v>
      </x:c>
      <x:c r="C5" s="20" t="str">
        <x:v>PowerShell</x:v>
      </x:c>
      <x:c r="D5" s="20" t="str">
        <x:v>T1059.001</x:v>
      </x:c>
      <x:c r="E5" s="20" t="str">
        <x:v>High</x:v>
      </x:c>
      <x:c r="F5" s="20" t="n">
        <x:v>3</x:v>
      </x:c>
      <x:c r="G5" s="20" t="n">
        <x:v>2</x:v>
      </x:c>
      <x:c r="H5" s="20" t="n">
        <x:f>IFERROR(G5/F5*100,0)</x:f>
        <x:v>66.66666666666666</x:v>
      </x:c>
      <x:c r="I5" s="20" t="str">
        <x:v>Detection Engineering</x:v>
      </x:c>
      <x:c r="J5" s="20" t="str">
        <x:v>Cloud-hosted runners</x:v>
      </x:c>
    </x:row>
    <x:row r="6">
      <x:c r="A6" s="20" t="str">
        <x:v>COV-003</x:v>
      </x:c>
      <x:c r="B6" s="20" t="str">
        <x:v>Valid Accounts</x:v>
      </x:c>
      <x:c r="C6" s="20" t="str">
        <x:v>Cloud Accounts</x:v>
      </x:c>
      <x:c r="D6" s="20" t="str">
        <x:v>T1078.004</x:v>
      </x:c>
      <x:c r="E6" s="20" t="str">
        <x:v>Critical</x:v>
      </x:c>
      <x:c r="F6" s="20" t="n">
        <x:v>2</x:v>
      </x:c>
      <x:c r="G6" s="20" t="n">
        <x:v>0</x:v>
      </x:c>
      <x:c r="H6" s="20" t="n">
        <x:f>IFERROR(G6/F6*100,0)</x:f>
        <x:v>0</x:v>
      </x:c>
      <x:c r="I6" s="20" t="str">
        <x:v>Cloud Security</x:v>
      </x:c>
      <x:c r="J6" s="20" t="str">
        <x:v>Validation overdue</x:v>
      </x:c>
    </x:row>
    <x:row r="7">
      <x:c r="A7" s="20"/>
      <x:c r="B7" s="20"/>
      <x:c r="C7" s="20"/>
      <x:c r="D7" s="20"/>
      <x:c r="E7" s="20"/>
      <x:c r="F7" s="20"/>
      <x:c r="G7" s="20"/>
      <x:c r="H7" s="20" t="n">
        <x:f>IFERROR(G7/F7*100,0)</x:f>
        <x:v>0</x:v>
      </x:c>
      <x:c r="I7" s="20"/>
      <x:c r="J7" s="20"/>
    </x:row>
    <x:row r="8">
      <x:c r="A8" s="20"/>
      <x:c r="B8" s="20"/>
      <x:c r="C8" s="20"/>
      <x:c r="D8" s="20"/>
      <x:c r="E8" s="20"/>
      <x:c r="F8" s="20"/>
      <x:c r="G8" s="20"/>
      <x:c r="H8" s="20" t="n">
        <x:f>IFERROR(G8/F8*100,0)</x:f>
        <x:v>0</x:v>
      </x:c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 t="n">
        <x:f>IFERROR(G9/F9*100,0)</x:f>
        <x:v>0</x:v>
      </x:c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 t="n">
        <x:f>IFERROR(G10/F10*100,0)</x:f>
        <x:v>0</x:v>
      </x:c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 t="n">
        <x:f>IFERROR(G11/F11*100,0)</x:f>
        <x:v>0</x:v>
      </x:c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 t="n">
        <x:f>IFERROR(G12/F12*100,0)</x:f>
        <x:v>0</x:v>
      </x:c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 t="n">
        <x:f>IFERROR(G13/F13*100,0)</x:f>
        <x:v>0</x:v>
      </x:c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 t="n">
        <x:f>IFERROR(G14/F14*100,0)</x:f>
        <x:v>0</x:v>
      </x:c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 t="n">
        <x:f>IFERROR(G15/F15*100,0)</x:f>
        <x:v>0</x:v>
      </x:c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 t="n">
        <x:f>IFERROR(G16/F16*100,0)</x:f>
        <x:v>0</x:v>
      </x:c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 t="n">
        <x:f>IFERROR(G17/F17*100,0)</x:f>
        <x:v>0</x:v>
      </x:c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 t="n">
        <x:f>IFERROR(G18/F18*100,0)</x:f>
        <x:v>0</x:v>
      </x:c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 t="n">
        <x:f>IFERROR(G19/F19*100,0)</x:f>
        <x:v>0</x:v>
      </x:c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 t="n">
        <x:f>IFERROR(G20/F20*100,0)</x:f>
        <x:v>0</x:v>
      </x:c>
      <x:c r="I20" s="20"/>
      <x:c r="J20" s="20"/>
    </x:row>
    <x:row r="21">
      <x:c r="H21" t="n">
        <x:f>IFERROR(G21/F21*100,0)</x:f>
        <x:v>0</x:v>
      </x:c>
    </x:row>
    <x:row r="22">
      <x:c r="H22" t="n">
        <x:f>IFERROR(G22/F22*100,0)</x:f>
        <x:v>0</x:v>
      </x:c>
    </x:row>
    <x:row r="23">
      <x:c r="H23" t="n">
        <x:f>IFERROR(G23/F23*100,0)</x:f>
        <x:v>0</x:v>
      </x:c>
    </x:row>
    <x:row r="24">
      <x:c r="H24" t="n">
        <x:f>IFERROR(G24/F24*100,0)</x:f>
        <x:v>0</x:v>
      </x:c>
    </x:row>
    <x:row r="25">
      <x:c r="H25" t="n">
        <x:f>IFERROR(G25/F25*100,0)</x:f>
        <x:v>0</x:v>
      </x:c>
    </x:row>
    <x:row r="26">
      <x:c r="H26" t="n">
        <x:f>IFERROR(G26/F26*100,0)</x:f>
        <x:v>0</x:v>
      </x:c>
    </x:row>
    <x:row r="27">
      <x:c r="H27" t="n">
        <x:f>IFERROR(G27/F27*100,0)</x:f>
        <x:v>0</x:v>
      </x:c>
    </x:row>
    <x:row r="28">
      <x:c r="H28" t="n">
        <x:f>IFERROR(G28/F28*100,0)</x:f>
        <x:v>0</x:v>
      </x:c>
    </x:row>
    <x:row r="29">
      <x:c r="H29" t="n">
        <x:f>IFERROR(G29/F29*100,0)</x:f>
        <x:v>0</x:v>
      </x:c>
    </x:row>
    <x:row r="30">
      <x:c r="H30" t="n">
        <x:f>IFERROR(G30/F30*100,0)</x:f>
        <x:v>0</x:v>
      </x:c>
    </x:row>
    <x:row r="31">
      <x:c r="H31" t="n">
        <x:f>IFERROR(G31/F31*100,0)</x:f>
        <x:v>0</x:v>
      </x:c>
    </x:row>
    <x:row r="32">
      <x:c r="H32" t="n">
        <x:f>IFERROR(G32/F32*100,0)</x:f>
        <x:v>0</x:v>
      </x:c>
    </x:row>
    <x:row r="33">
      <x:c r="H33" t="n">
        <x:f>IFERROR(G33/F33*100,0)</x:f>
        <x:v>0</x:v>
      </x:c>
    </x:row>
    <x:row r="34">
      <x:c r="H34" t="n">
        <x:f>IFERROR(G34/F34*100,0)</x:f>
        <x:v>0</x:v>
      </x:c>
    </x:row>
    <x:row r="35">
      <x:c r="H35" t="n">
        <x:f>IFERROR(G35/F35*100,0)</x:f>
        <x:v>0</x:v>
      </x:c>
    </x:row>
    <x:row r="36">
      <x:c r="H36" t="n">
        <x:f>IFERROR(G36/F36*100,0)</x:f>
        <x:v>0</x:v>
      </x:c>
    </x:row>
    <x:row r="37">
      <x:c r="H37" t="n">
        <x:f>IFERROR(G37/F37*100,0)</x:f>
        <x:v>0</x:v>
      </x:c>
    </x:row>
    <x:row r="38">
      <x:c r="H38" t="n">
        <x:f>IFERROR(G38/F38*100,0)</x:f>
        <x:v>0</x:v>
      </x:c>
    </x:row>
    <x:row r="39">
      <x:c r="H39" t="n">
        <x:f>IFERROR(G39/F39*100,0)</x:f>
        <x:v>0</x:v>
      </x:c>
    </x:row>
    <x:row r="40">
      <x:c r="H40" t="n">
        <x:f>IFERROR(G40/F40*100,0)</x:f>
        <x:v>0</x:v>
      </x:c>
    </x:row>
    <x:row r="41">
      <x:c r="H41" t="n">
        <x:f>IFERROR(G41/F41*100,0)</x:f>
        <x:v>0</x:v>
      </x:c>
    </x:row>
    <x:row r="42">
      <x:c r="H42" t="n">
        <x:f>IFERROR(G42/F42*100,0)</x:f>
        <x:v>0</x:v>
      </x:c>
    </x:row>
    <x:row r="43">
      <x:c r="H43" t="n">
        <x:f>IFERROR(G43/F43*100,0)</x:f>
        <x:v>0</x:v>
      </x:c>
    </x:row>
    <x:row r="44">
      <x:c r="H44" t="n">
        <x:f>IFERROR(G44/F44*100,0)</x:f>
        <x:v>0</x:v>
      </x:c>
    </x:row>
    <x:row r="45">
      <x:c r="H45" t="n">
        <x:f>IFERROR(G45/F45*100,0)</x:f>
        <x:v>0</x:v>
      </x:c>
    </x:row>
    <x:row r="46">
      <x:c r="H46" t="n">
        <x:f>IFERROR(G46/F46*100,0)</x:f>
        <x:v>0</x:v>
      </x:c>
    </x:row>
    <x:row r="47">
      <x:c r="H47" t="n">
        <x:f>IFERROR(G47/F47*100,0)</x:f>
        <x:v>0</x:v>
      </x:c>
    </x:row>
    <x:row r="48">
      <x:c r="H48" t="n">
        <x:f>IFERROR(G48/F48*100,0)</x:f>
        <x:v>0</x:v>
      </x:c>
    </x:row>
    <x:row r="49">
      <x:c r="H49" t="n">
        <x:f>IFERROR(G49/F49*100,0)</x:f>
        <x:v>0</x:v>
      </x:c>
    </x:row>
    <x:row r="50">
      <x:c r="H50" t="n">
        <x:f>IFERROR(G50/F50*100,0)</x:f>
        <x:v>0</x:v>
      </x:c>
    </x:row>
    <x:row r="51">
      <x:c r="H51" t="n">
        <x:f>IFERROR(G51/F51*100,0)</x:f>
        <x:v>0</x:v>
      </x:c>
    </x:row>
    <x:row r="52">
      <x:c r="H52" t="n">
        <x:f>IFERROR(G52/F52*100,0)</x:f>
        <x:v>0</x:v>
      </x:c>
    </x:row>
    <x:row r="53">
      <x:c r="H53" t="n">
        <x:f>IFERROR(G53/F53*100,0)</x:f>
        <x:v>0</x:v>
      </x:c>
    </x:row>
    <x:row r="54">
      <x:c r="H54" t="n">
        <x:f>IFERROR(G54/F54*100,0)</x:f>
        <x:v>0</x:v>
      </x:c>
    </x:row>
    <x:row r="55">
      <x:c r="H55" t="n">
        <x:f>IFERROR(G55/F55*100,0)</x:f>
        <x:v>0</x:v>
      </x:c>
    </x:row>
    <x:row r="56">
      <x:c r="H56" t="n">
        <x:f>IFERROR(G56/F56*100,0)</x:f>
        <x:v>0</x:v>
      </x:c>
    </x:row>
    <x:row r="57">
      <x:c r="H57" t="n">
        <x:f>IFERROR(G57/F57*100,0)</x:f>
        <x:v>0</x:v>
      </x:c>
    </x:row>
    <x:row r="58">
      <x:c r="H58" t="n">
        <x:f>IFERROR(G58/F58*100,0)</x:f>
        <x:v>0</x:v>
      </x:c>
    </x:row>
    <x:row r="59">
      <x:c r="H59" t="n">
        <x:f>IFERROR(G59/F59*100,0)</x:f>
        <x:v>0</x:v>
      </x:c>
    </x:row>
    <x:row r="60">
      <x:c r="H60" t="n">
        <x:f>IFERROR(G60/F60*100,0)</x:f>
        <x:v>0</x:v>
      </x:c>
    </x:row>
    <x:row r="61">
      <x:c r="H61" t="n">
        <x:f>IFERROR(G61/F61*100,0)</x:f>
        <x:v>0</x:v>
      </x:c>
    </x:row>
    <x:row r="62">
      <x:c r="H62" t="n">
        <x:f>IFERROR(G62/F62*100,0)</x:f>
        <x:v>0</x:v>
      </x:c>
    </x:row>
    <x:row r="63">
      <x:c r="H63" t="n">
        <x:f>IFERROR(G63/F63*100,0)</x:f>
        <x:v>0</x:v>
      </x:c>
    </x:row>
    <x:row r="64">
      <x:c r="H64" t="n">
        <x:f>IFERROR(G64/F64*100,0)</x:f>
        <x:v>0</x:v>
      </x:c>
    </x:row>
    <x:row r="65">
      <x:c r="H65" t="n">
        <x:f>IFERROR(G65/F65*100,0)</x:f>
        <x:v>0</x:v>
      </x:c>
    </x:row>
    <x:row r="66">
      <x:c r="H66" t="n">
        <x:f>IFERROR(G66/F66*100,0)</x:f>
        <x:v>0</x:v>
      </x:c>
    </x:row>
    <x:row r="67">
      <x:c r="H67" t="n">
        <x:f>IFERROR(G67/F67*100,0)</x:f>
        <x:v>0</x:v>
      </x:c>
    </x:row>
    <x:row r="68">
      <x:c r="H68" t="n">
        <x:f>IFERROR(G68/F68*100,0)</x:f>
        <x:v>0</x:v>
      </x:c>
    </x:row>
    <x:row r="69">
      <x:c r="H69" t="n">
        <x:f>IFERROR(G69/F69*100,0)</x:f>
        <x:v>0</x:v>
      </x:c>
    </x:row>
    <x:row r="70">
      <x:c r="H70" t="n">
        <x:f>IFERROR(G70/F70*100,0)</x:f>
        <x:v>0</x:v>
      </x:c>
    </x:row>
    <x:row r="71">
      <x:c r="H71" t="n">
        <x:f>IFERROR(G71/F71*100,0)</x:f>
        <x:v>0</x:v>
      </x:c>
    </x:row>
    <x:row r="72">
      <x:c r="H72" t="n">
        <x:f>IFERROR(G72/F72*100,0)</x:f>
        <x:v>0</x:v>
      </x:c>
    </x:row>
    <x:row r="73">
      <x:c r="H73" t="n">
        <x:f>IFERROR(G73/F73*100,0)</x:f>
        <x:v>0</x:v>
      </x:c>
    </x:row>
    <x:row r="74">
      <x:c r="H74" t="n">
        <x:f>IFERROR(G74/F74*100,0)</x:f>
        <x:v>0</x:v>
      </x:c>
    </x:row>
    <x:row r="75">
      <x:c r="H75" t="n">
        <x:f>IFERROR(G75/F75*100,0)</x:f>
        <x:v>0</x:v>
      </x:c>
    </x:row>
    <x:row r="76">
      <x:c r="H76" t="n">
        <x:f>IFERROR(G76/F76*100,0)</x:f>
        <x:v>0</x:v>
      </x:c>
    </x:row>
    <x:row r="77">
      <x:c r="H77" t="n">
        <x:f>IFERROR(G77/F77*100,0)</x:f>
        <x:v>0</x:v>
      </x:c>
    </x:row>
    <x:row r="78">
      <x:c r="H78" t="n">
        <x:f>IFERROR(G78/F78*100,0)</x:f>
        <x:v>0</x:v>
      </x:c>
    </x:row>
    <x:row r="79">
      <x:c r="H79" t="n">
        <x:f>IFERROR(G79/F79*100,0)</x:f>
        <x:v>0</x:v>
      </x:c>
    </x:row>
    <x:row r="80">
      <x:c r="H80" t="n">
        <x:f>IFERROR(G80/F80*100,0)</x:f>
        <x:v>0</x:v>
      </x:c>
    </x:row>
    <x:row r="81">
      <x:c r="H81" t="n">
        <x:f>IFERROR(G81/F81*100,0)</x:f>
        <x:v>0</x:v>
      </x:c>
    </x:row>
    <x:row r="82">
      <x:c r="H82" t="n">
        <x:f>IFERROR(G82/F82*100,0)</x:f>
        <x:v>0</x:v>
      </x:c>
    </x:row>
    <x:row r="83">
      <x:c r="H83" t="n">
        <x:f>IFERROR(G83/F83*100,0)</x:f>
        <x:v>0</x:v>
      </x:c>
    </x:row>
    <x:row r="84">
      <x:c r="H84" t="n">
        <x:f>IFERROR(G84/F84*100,0)</x:f>
        <x:v>0</x:v>
      </x:c>
    </x:row>
    <x:row r="85">
      <x:c r="H85" t="n">
        <x:f>IFERROR(G85/F85*100,0)</x:f>
        <x:v>0</x:v>
      </x:c>
    </x:row>
    <x:row r="86">
      <x:c r="H86" t="n">
        <x:f>IFERROR(G86/F86*100,0)</x:f>
        <x:v>0</x:v>
      </x:c>
    </x:row>
    <x:row r="87">
      <x:c r="H87" t="n">
        <x:f>IFERROR(G87/F87*100,0)</x:f>
        <x:v>0</x:v>
      </x:c>
    </x:row>
    <x:row r="88">
      <x:c r="H88" t="n">
        <x:f>IFERROR(G88/F88*100,0)</x:f>
        <x:v>0</x:v>
      </x:c>
    </x:row>
    <x:row r="89">
      <x:c r="H89" t="n">
        <x:f>IFERROR(G89/F89*100,0)</x:f>
        <x:v>0</x:v>
      </x:c>
    </x:row>
    <x:row r="90">
      <x:c r="H90" t="n">
        <x:f>IFERROR(G90/F90*100,0)</x:f>
        <x:v>0</x:v>
      </x:c>
    </x:row>
    <x:row r="91">
      <x:c r="H91" t="n">
        <x:f>IFERROR(G91/F91*100,0)</x:f>
        <x:v>0</x:v>
      </x:c>
    </x:row>
    <x:row r="92">
      <x:c r="H92" t="n">
        <x:f>IFERROR(G92/F92*100,0)</x:f>
        <x:v>0</x:v>
      </x:c>
    </x:row>
    <x:row r="93">
      <x:c r="H93" t="n">
        <x:f>IFERROR(G93/F93*100,0)</x:f>
        <x:v>0</x:v>
      </x:c>
    </x:row>
    <x:row r="94">
      <x:c r="H94" t="n">
        <x:f>IFERROR(G94/F94*100,0)</x:f>
        <x:v>0</x:v>
      </x:c>
    </x:row>
    <x:row r="95">
      <x:c r="H95" t="n">
        <x:f>IFERROR(G95/F95*100,0)</x:f>
        <x:v>0</x:v>
      </x:c>
    </x:row>
    <x:row r="96">
      <x:c r="H96" t="n">
        <x:f>IFERROR(G96/F96*100,0)</x:f>
        <x:v>0</x:v>
      </x:c>
    </x:row>
    <x:row r="97">
      <x:c r="H97" t="n">
        <x:f>IFERROR(G97/F97*100,0)</x:f>
        <x:v>0</x:v>
      </x:c>
    </x:row>
    <x:row r="98">
      <x:c r="H98" t="n">
        <x:f>IFERROR(G98/F98*100,0)</x:f>
        <x:v>0</x:v>
      </x:c>
    </x:row>
    <x:row r="99">
      <x:c r="H99" t="n">
        <x:f>IFERROR(G99/F99*100,0)</x:f>
        <x:v>0</x:v>
      </x:c>
    </x:row>
    <x:row r="100">
      <x:c r="H100" t="n">
        <x:f>IFERROR(G100/F100*100,0)</x:f>
        <x:v>0</x:v>
      </x:c>
    </x:row>
    <x:row r="101">
      <x:c r="H101" t="n">
        <x:f>IFERROR(G101/F101*100,0)</x:f>
        <x:v>0</x:v>
      </x:c>
    </x:row>
    <x:row r="102">
      <x:c r="H102" t="n">
        <x:f>IFERROR(G102/F102*100,0)</x:f>
        <x:v>0</x:v>
      </x:c>
    </x:row>
    <x:row r="103">
      <x:c r="H103" t="n">
        <x:f>IFERROR(G103/F103*100,0)</x:f>
        <x:v>0</x:v>
      </x:c>
    </x:row>
    <x:row r="104">
      <x:c r="H104" t="n">
        <x:f>IFERROR(G104/F104*100,0)</x:f>
        <x:v>0</x:v>
      </x:c>
    </x:row>
    <x:row r="105">
      <x:c r="H105" t="n">
        <x:f>IFERROR(G105/F105*100,0)</x:f>
        <x:v>0</x:v>
      </x:c>
    </x:row>
    <x:row r="106">
      <x:c r="H106" t="n">
        <x:f>IFERROR(G106/F106*100,0)</x:f>
        <x:v>0</x:v>
      </x:c>
    </x:row>
    <x:row r="107">
      <x:c r="H107" t="n">
        <x:f>IFERROR(G107/F107*100,0)</x:f>
        <x:v>0</x:v>
      </x:c>
    </x:row>
    <x:row r="108">
      <x:c r="H108" t="n">
        <x:f>IFERROR(G108/F108*100,0)</x:f>
        <x:v>0</x:v>
      </x:c>
    </x:row>
    <x:row r="109">
      <x:c r="H109" t="n">
        <x:f>IFERROR(G109/F109*100,0)</x:f>
        <x:v>0</x:v>
      </x:c>
    </x:row>
    <x:row r="110">
      <x:c r="H110" t="n">
        <x:f>IFERROR(G110/F110*100,0)</x:f>
        <x:v>0</x:v>
      </x:c>
    </x:row>
    <x:row r="111">
      <x:c r="H111" t="n">
        <x:f>IFERROR(G111/F111*100,0)</x:f>
        <x:v>0</x:v>
      </x:c>
    </x:row>
    <x:row r="112">
      <x:c r="H112" t="n">
        <x:f>IFERROR(G112/F112*100,0)</x:f>
        <x:v>0</x:v>
      </x:c>
    </x:row>
    <x:row r="113">
      <x:c r="H113" t="n">
        <x:f>IFERROR(G113/F113*100,0)</x:f>
        <x:v>0</x:v>
      </x:c>
    </x:row>
    <x:row r="114">
      <x:c r="H114" t="n">
        <x:f>IFERROR(G114/F114*100,0)</x:f>
        <x:v>0</x:v>
      </x:c>
    </x:row>
    <x:row r="115">
      <x:c r="H115" t="n">
        <x:f>IFERROR(G115/F115*100,0)</x:f>
        <x:v>0</x:v>
      </x:c>
    </x:row>
    <x:row r="116">
      <x:c r="H116" t="n">
        <x:f>IFERROR(G116/F116*100,0)</x:f>
        <x:v>0</x:v>
      </x:c>
    </x:row>
    <x:row r="117">
      <x:c r="H117" t="n">
        <x:f>IFERROR(G117/F117*100,0)</x:f>
        <x:v>0</x:v>
      </x:c>
    </x:row>
    <x:row r="118">
      <x:c r="H118" t="n">
        <x:f>IFERROR(G118/F118*100,0)</x:f>
        <x:v>0</x:v>
      </x:c>
    </x:row>
    <x:row r="119">
      <x:c r="H119" t="n">
        <x:f>IFERROR(G119/F119*100,0)</x:f>
        <x:v>0</x:v>
      </x:c>
    </x:row>
    <x:row r="120">
      <x:c r="H120" t="n">
        <x:f>IFERROR(G120/F120*100,0)</x:f>
        <x:v>0</x:v>
      </x:c>
    </x:row>
    <x:row r="121">
      <x:c r="H121" t="n">
        <x:f>IFERROR(G121/F121*100,0)</x:f>
        <x:v>0</x:v>
      </x:c>
    </x:row>
    <x:row r="122">
      <x:c r="H122" t="n">
        <x:f>IFERROR(G122/F122*100,0)</x:f>
        <x:v>0</x:v>
      </x:c>
    </x:row>
    <x:row r="123">
      <x:c r="H123" t="n">
        <x:f>IFERROR(G123/F123*100,0)</x:f>
        <x:v>0</x:v>
      </x:c>
    </x:row>
    <x:row r="124">
      <x:c r="H124" t="n">
        <x:f>IFERROR(G124/F124*100,0)</x:f>
        <x:v>0</x:v>
      </x:c>
    </x:row>
    <x:row r="125">
      <x:c r="H125" t="n">
        <x:f>IFERROR(G125/F125*100,0)</x:f>
        <x:v>0</x:v>
      </x:c>
    </x:row>
    <x:row r="126">
      <x:c r="H126" t="n">
        <x:f>IFERROR(G126/F126*100,0)</x:f>
        <x:v>0</x:v>
      </x:c>
    </x:row>
    <x:row r="127">
      <x:c r="H127" t="n">
        <x:f>IFERROR(G127/F127*100,0)</x:f>
        <x:v>0</x:v>
      </x:c>
    </x:row>
    <x:row r="128">
      <x:c r="H128" t="n">
        <x:f>IFERROR(G128/F128*100,0)</x:f>
        <x:v>0</x:v>
      </x:c>
    </x:row>
    <x:row r="129">
      <x:c r="H129" t="n">
        <x:f>IFERROR(G129/F129*100,0)</x:f>
        <x:v>0</x:v>
      </x:c>
    </x:row>
    <x:row r="130">
      <x:c r="H130" t="n">
        <x:f>IFERROR(G130/F130*100,0)</x:f>
        <x:v>0</x:v>
      </x:c>
    </x:row>
    <x:row r="131">
      <x:c r="H131" t="n">
        <x:f>IFERROR(G131/F131*100,0)</x:f>
        <x:v>0</x:v>
      </x:c>
    </x:row>
    <x:row r="132">
      <x:c r="H132" t="n">
        <x:f>IFERROR(G132/F132*100,0)</x:f>
        <x:v>0</x:v>
      </x:c>
    </x:row>
    <x:row r="133">
      <x:c r="H133" t="n">
        <x:f>IFERROR(G133/F133*100,0)</x:f>
        <x:v>0</x:v>
      </x:c>
    </x:row>
    <x:row r="134">
      <x:c r="H134" t="n">
        <x:f>IFERROR(G134/F134*100,0)</x:f>
        <x:v>0</x:v>
      </x:c>
    </x:row>
    <x:row r="135">
      <x:c r="H135" t="n">
        <x:f>IFERROR(G135/F135*100,0)</x:f>
        <x:v>0</x:v>
      </x:c>
    </x:row>
    <x:row r="136">
      <x:c r="H136" t="n">
        <x:f>IFERROR(G136/F136*100,0)</x:f>
        <x:v>0</x:v>
      </x:c>
    </x:row>
    <x:row r="137">
      <x:c r="H137" t="n">
        <x:f>IFERROR(G137/F137*100,0)</x:f>
        <x:v>0</x:v>
      </x:c>
    </x:row>
    <x:row r="138">
      <x:c r="H138" t="n">
        <x:f>IFERROR(G138/F138*100,0)</x:f>
        <x:v>0</x:v>
      </x:c>
    </x:row>
    <x:row r="139">
      <x:c r="H139" t="n">
        <x:f>IFERROR(G139/F139*100,0)</x:f>
        <x:v>0</x:v>
      </x:c>
    </x:row>
    <x:row r="140">
      <x:c r="H140" t="n">
        <x:f>IFERROR(G140/F140*100,0)</x:f>
        <x:v>0</x:v>
      </x:c>
    </x:row>
    <x:row r="141">
      <x:c r="H141" t="n">
        <x:f>IFERROR(G141/F141*100,0)</x:f>
        <x:v>0</x:v>
      </x:c>
    </x:row>
    <x:row r="142">
      <x:c r="H142" t="n">
        <x:f>IFERROR(G142/F142*100,0)</x:f>
        <x:v>0</x:v>
      </x:c>
    </x:row>
    <x:row r="143">
      <x:c r="H143" t="n">
        <x:f>IFERROR(G143/F143*100,0)</x:f>
        <x:v>0</x:v>
      </x:c>
    </x:row>
    <x:row r="144">
      <x:c r="H144" t="n">
        <x:f>IFERROR(G144/F144*100,0)</x:f>
        <x:v>0</x:v>
      </x:c>
    </x:row>
    <x:row r="145">
      <x:c r="H145" t="n">
        <x:f>IFERROR(G145/F145*100,0)</x:f>
        <x:v>0</x:v>
      </x:c>
    </x:row>
    <x:row r="146">
      <x:c r="H146" t="n">
        <x:f>IFERROR(G146/F146*100,0)</x:f>
        <x:v>0</x:v>
      </x:c>
    </x:row>
    <x:row r="147">
      <x:c r="H147" t="n">
        <x:f>IFERROR(G147/F147*100,0)</x:f>
        <x:v>0</x:v>
      </x:c>
    </x:row>
    <x:row r="148">
      <x:c r="H148" t="n">
        <x:f>IFERROR(G148/F148*100,0)</x:f>
        <x:v>0</x:v>
      </x:c>
    </x:row>
    <x:row r="149">
      <x:c r="H149" t="n">
        <x:f>IFERROR(G149/F149*100,0)</x:f>
        <x:v>0</x:v>
      </x:c>
    </x:row>
    <x:row r="150">
      <x:c r="H150" t="n">
        <x:f>IFERROR(G150/F150*100,0)</x:f>
        <x:v>0</x:v>
      </x:c>
    </x:row>
    <x:row r="151">
      <x:c r="H151" t="n">
        <x:f>IFERROR(G151/F151*100,0)</x:f>
        <x:v>0</x:v>
      </x:c>
    </x:row>
    <x:row r="152">
      <x:c r="H152" t="n">
        <x:f>IFERROR(G152/F152*100,0)</x:f>
        <x:v>0</x:v>
      </x:c>
    </x:row>
    <x:row r="153">
      <x:c r="H153" t="n">
        <x:f>IFERROR(G153/F153*100,0)</x:f>
        <x:v>0</x:v>
      </x:c>
    </x:row>
    <x:row r="154">
      <x:c r="H154" t="n">
        <x:f>IFERROR(G154/F154*100,0)</x:f>
        <x:v>0</x:v>
      </x:c>
    </x:row>
    <x:row r="155">
      <x:c r="H155" t="n">
        <x:f>IFERROR(G155/F155*100,0)</x:f>
        <x:v>0</x:v>
      </x:c>
    </x:row>
    <x:row r="156">
      <x:c r="H156" t="n">
        <x:f>IFERROR(G156/F156*100,0)</x:f>
        <x:v>0</x:v>
      </x:c>
    </x:row>
    <x:row r="157">
      <x:c r="H157" t="n">
        <x:f>IFERROR(G157/F157*100,0)</x:f>
        <x:v>0</x:v>
      </x:c>
    </x:row>
    <x:row r="158">
      <x:c r="H158" t="n">
        <x:f>IFERROR(G158/F158*100,0)</x:f>
        <x:v>0</x:v>
      </x:c>
    </x:row>
    <x:row r="159">
      <x:c r="H159" t="n">
        <x:f>IFERROR(G159/F159*100,0)</x:f>
        <x:v>0</x:v>
      </x:c>
    </x:row>
    <x:row r="160">
      <x:c r="H160" t="n">
        <x:f>IFERROR(G160/F160*100,0)</x:f>
        <x:v>0</x:v>
      </x:c>
    </x:row>
    <x:row r="161">
      <x:c r="H161" t="n">
        <x:f>IFERROR(G161/F161*100,0)</x:f>
        <x:v>0</x:v>
      </x:c>
    </x:row>
    <x:row r="162">
      <x:c r="H162" t="n">
        <x:f>IFERROR(G162/F162*100,0)</x:f>
        <x:v>0</x:v>
      </x:c>
    </x:row>
    <x:row r="163">
      <x:c r="H163" t="n">
        <x:f>IFERROR(G163/F163*100,0)</x:f>
        <x:v>0</x:v>
      </x:c>
    </x:row>
    <x:row r="164">
      <x:c r="H164" t="n">
        <x:f>IFERROR(G164/F164*100,0)</x:f>
        <x:v>0</x:v>
      </x:c>
    </x:row>
    <x:row r="165">
      <x:c r="H165" t="n">
        <x:f>IFERROR(G165/F165*100,0)</x:f>
        <x:v>0</x:v>
      </x:c>
    </x:row>
    <x:row r="166">
      <x:c r="H166" t="n">
        <x:f>IFERROR(G166/F166*100,0)</x:f>
        <x:v>0</x:v>
      </x:c>
    </x:row>
    <x:row r="167">
      <x:c r="H167" t="n">
        <x:f>IFERROR(G167/F167*100,0)</x:f>
        <x:v>0</x:v>
      </x:c>
    </x:row>
    <x:row r="168">
      <x:c r="H168" t="n">
        <x:f>IFERROR(G168/F168*100,0)</x:f>
        <x:v>0</x:v>
      </x:c>
    </x:row>
    <x:row r="169">
      <x:c r="H169" t="n">
        <x:f>IFERROR(G169/F169*100,0)</x:f>
        <x:v>0</x:v>
      </x:c>
    </x:row>
    <x:row r="170">
      <x:c r="H170" t="n">
        <x:f>IFERROR(G170/F170*100,0)</x:f>
        <x:v>0</x:v>
      </x:c>
    </x:row>
    <x:row r="171">
      <x:c r="H171" t="n">
        <x:f>IFERROR(G171/F171*100,0)</x:f>
        <x:v>0</x:v>
      </x:c>
    </x:row>
    <x:row r="172">
      <x:c r="H172" t="n">
        <x:f>IFERROR(G172/F172*100,0)</x:f>
        <x:v>0</x:v>
      </x:c>
    </x:row>
    <x:row r="173">
      <x:c r="H173" t="n">
        <x:f>IFERROR(G173/F173*100,0)</x:f>
        <x:v>0</x:v>
      </x:c>
    </x:row>
    <x:row r="174">
      <x:c r="H174" t="n">
        <x:f>IFERROR(G174/F174*100,0)</x:f>
        <x:v>0</x:v>
      </x:c>
    </x:row>
    <x:row r="175">
      <x:c r="H175" t="n">
        <x:f>IFERROR(G175/F175*100,0)</x:f>
        <x:v>0</x:v>
      </x:c>
    </x:row>
    <x:row r="176">
      <x:c r="H176" t="n">
        <x:f>IFERROR(G176/F176*100,0)</x:f>
        <x:v>0</x:v>
      </x:c>
    </x:row>
    <x:row r="177">
      <x:c r="H177" t="n">
        <x:f>IFERROR(G177/F177*100,0)</x:f>
        <x:v>0</x:v>
      </x:c>
    </x:row>
    <x:row r="178">
      <x:c r="H178" t="n">
        <x:f>IFERROR(G178/F178*100,0)</x:f>
        <x:v>0</x:v>
      </x:c>
    </x:row>
    <x:row r="179">
      <x:c r="H179" t="n">
        <x:f>IFERROR(G179/F179*100,0)</x:f>
        <x:v>0</x:v>
      </x:c>
    </x:row>
    <x:row r="180">
      <x:c r="H180" t="n">
        <x:f>IFERROR(G180/F180*100,0)</x:f>
        <x:v>0</x:v>
      </x:c>
    </x:row>
    <x:row r="181">
      <x:c r="H181" t="n">
        <x:f>IFERROR(G181/F181*100,0)</x:f>
        <x:v>0</x:v>
      </x:c>
    </x:row>
    <x:row r="182">
      <x:c r="H182" t="n">
        <x:f>IFERROR(G182/F182*100,0)</x:f>
        <x:v>0</x:v>
      </x:c>
    </x:row>
    <x:row r="183">
      <x:c r="H183" t="n">
        <x:f>IFERROR(G183/F183*100,0)</x:f>
        <x:v>0</x:v>
      </x:c>
    </x:row>
    <x:row r="184">
      <x:c r="H184" t="n">
        <x:f>IFERROR(G184/F184*100,0)</x:f>
        <x:v>0</x:v>
      </x:c>
    </x:row>
    <x:row r="185">
      <x:c r="H185" t="n">
        <x:f>IFERROR(G185/F185*100,0)</x:f>
        <x:v>0</x:v>
      </x:c>
    </x:row>
    <x:row r="186">
      <x:c r="H186" t="n">
        <x:f>IFERROR(G186/F186*100,0)</x:f>
        <x:v>0</x:v>
      </x:c>
    </x:row>
    <x:row r="187">
      <x:c r="H187" t="n">
        <x:f>IFERROR(G187/F187*100,0)</x:f>
        <x:v>0</x:v>
      </x:c>
    </x:row>
    <x:row r="188">
      <x:c r="H188" t="n">
        <x:f>IFERROR(G188/F188*100,0)</x:f>
        <x:v>0</x:v>
      </x:c>
    </x:row>
    <x:row r="189">
      <x:c r="H189" t="n">
        <x:f>IFERROR(G189/F189*100,0)</x:f>
        <x:v>0</x:v>
      </x:c>
    </x:row>
    <x:row r="190">
      <x:c r="H190" t="n">
        <x:f>IFERROR(G190/F190*100,0)</x:f>
        <x:v>0</x:v>
      </x:c>
    </x:row>
    <x:row r="191">
      <x:c r="H191" t="n">
        <x:f>IFERROR(G191/F191*100,0)</x:f>
        <x:v>0</x:v>
      </x:c>
    </x:row>
    <x:row r="192">
      <x:c r="H192" t="n">
        <x:f>IFERROR(G192/F192*100,0)</x:f>
        <x:v>0</x:v>
      </x:c>
    </x:row>
    <x:row r="193">
      <x:c r="H193" t="n">
        <x:f>IFERROR(G193/F193*100,0)</x:f>
        <x:v>0</x:v>
      </x:c>
    </x:row>
    <x:row r="194">
      <x:c r="H194" t="n">
        <x:f>IFERROR(G194/F194*100,0)</x:f>
        <x:v>0</x:v>
      </x:c>
    </x:row>
    <x:row r="195">
      <x:c r="H195" t="n">
        <x:f>IFERROR(G195/F195*100,0)</x:f>
        <x:v>0</x:v>
      </x:c>
    </x:row>
    <x:row r="196">
      <x:c r="H196" t="n">
        <x:f>IFERROR(G196/F196*100,0)</x:f>
        <x:v>0</x:v>
      </x:c>
    </x:row>
    <x:row r="197">
      <x:c r="H197" t="n">
        <x:f>IFERROR(G197/F197*100,0)</x:f>
        <x:v>0</x:v>
      </x:c>
    </x:row>
    <x:row r="198">
      <x:c r="H198" t="n">
        <x:f>IFERROR(G198/F198*100,0)</x:f>
        <x:v>0</x:v>
      </x:c>
    </x:row>
    <x:row r="199">
      <x:c r="H199" t="n">
        <x:f>IFERROR(G199/F199*100,0)</x:f>
        <x:v>0</x:v>
      </x:c>
    </x:row>
    <x:row r="200">
      <x:c r="H200" t="n">
        <x:f>IFERROR(G200/F200*100,0)</x:f>
        <x:v>0</x:v>
      </x:c>
    </x:row>
    <x:row r="201">
      <x:c r="H201" t="n">
        <x:f>IFERROR(G201/F201*100,0)</x:f>
        <x:v>0</x:v>
      </x:c>
    </x:row>
    <x:row r="202">
      <x:c r="H202" t="n">
        <x:f>IFERROR(G202/F202*100,0)</x:f>
        <x:v>0</x:v>
      </x:c>
    </x:row>
    <x:row r="203">
      <x:c r="H203" t="n">
        <x:f>IFERROR(G203/F203*100,0)</x:f>
        <x:v>0</x:v>
      </x:c>
    </x:row>
    <x:row r="204">
      <x:c r="H204" t="n">
        <x:f>IFERROR(G204/F204*100,0)</x:f>
        <x:v>0</x:v>
      </x:c>
    </x:row>
    <x:row r="205">
      <x:c r="H205" t="n">
        <x:f>IFERROR(G205/F205*100,0)</x:f>
        <x:v>0</x:v>
      </x:c>
    </x:row>
    <x:row r="206">
      <x:c r="H206" t="n">
        <x:f>IFERROR(G206/F206*100,0)</x:f>
        <x:v>0</x:v>
      </x:c>
    </x:row>
    <x:row r="207">
      <x:c r="H207" t="n">
        <x:f>IFERROR(G207/F207*100,0)</x:f>
        <x:v>0</x:v>
      </x:c>
    </x:row>
    <x:row r="208">
      <x:c r="H208" t="n">
        <x:f>IFERROR(G208/F208*100,0)</x:f>
        <x:v>0</x:v>
      </x:c>
    </x:row>
    <x:row r="209">
      <x:c r="H209" t="n">
        <x:f>IFERROR(G209/F209*100,0)</x:f>
        <x:v>0</x:v>
      </x:c>
    </x:row>
    <x:row r="210">
      <x:c r="H210" t="n">
        <x:f>IFERROR(G210/F210*100,0)</x:f>
        <x:v>0</x:v>
      </x:c>
    </x:row>
    <x:row r="211">
      <x:c r="H211" t="n">
        <x:f>IFERROR(G211/F211*100,0)</x:f>
        <x:v>0</x:v>
      </x:c>
    </x:row>
    <x:row r="212">
      <x:c r="H212" t="n">
        <x:f>IFERROR(G212/F212*100,0)</x:f>
        <x:v>0</x:v>
      </x:c>
    </x:row>
    <x:row r="213">
      <x:c r="H213" t="n">
        <x:f>IFERROR(G213/F213*100,0)</x:f>
        <x:v>0</x:v>
      </x:c>
    </x:row>
    <x:row r="214">
      <x:c r="H214" t="n">
        <x:f>IFERROR(G214/F214*100,0)</x:f>
        <x:v>0</x:v>
      </x:c>
    </x:row>
    <x:row r="215">
      <x:c r="H215" t="n">
        <x:f>IFERROR(G215/F215*100,0)</x:f>
        <x:v>0</x:v>
      </x:c>
    </x:row>
    <x:row r="216">
      <x:c r="H216" t="n">
        <x:f>IFERROR(G216/F216*100,0)</x:f>
        <x:v>0</x:v>
      </x:c>
    </x:row>
    <x:row r="217">
      <x:c r="H217" t="n">
        <x:f>IFERROR(G217/F217*100,0)</x:f>
        <x:v>0</x:v>
      </x:c>
    </x:row>
    <x:row r="218">
      <x:c r="H218" t="n">
        <x:f>IFERROR(G218/F218*100,0)</x:f>
        <x:v>0</x:v>
      </x:c>
    </x:row>
    <x:row r="219">
      <x:c r="H219" t="n">
        <x:f>IFERROR(G219/F219*100,0)</x:f>
        <x:v>0</x:v>
      </x:c>
    </x:row>
    <x:row r="220">
      <x:c r="H220" t="n">
        <x:f>IFERROR(G220/F220*100,0)</x:f>
        <x:v>0</x:v>
      </x:c>
    </x:row>
    <x:row r="221">
      <x:c r="H221" t="n">
        <x:f>IFERROR(G221/F221*100,0)</x:f>
        <x:v>0</x:v>
      </x:c>
    </x:row>
    <x:row r="222">
      <x:c r="H222" t="n">
        <x:f>IFERROR(G222/F222*100,0)</x:f>
        <x:v>0</x:v>
      </x:c>
    </x:row>
    <x:row r="223">
      <x:c r="H223" t="n">
        <x:f>IFERROR(G223/F223*100,0)</x:f>
        <x:v>0</x:v>
      </x:c>
    </x:row>
    <x:row r="224">
      <x:c r="H224" t="n">
        <x:f>IFERROR(G224/F224*100,0)</x:f>
        <x:v>0</x:v>
      </x:c>
    </x:row>
    <x:row r="225">
      <x:c r="H225" t="n">
        <x:f>IFERROR(G225/F225*100,0)</x:f>
        <x:v>0</x:v>
      </x:c>
    </x:row>
    <x:row r="226">
      <x:c r="H226" t="n">
        <x:f>IFERROR(G226/F226*100,0)</x:f>
        <x:v>0</x:v>
      </x:c>
    </x:row>
    <x:row r="227">
      <x:c r="H227" t="n">
        <x:f>IFERROR(G227/F227*100,0)</x:f>
        <x:v>0</x:v>
      </x:c>
    </x:row>
    <x:row r="228">
      <x:c r="H228" t="n">
        <x:f>IFERROR(G228/F228*100,0)</x:f>
        <x:v>0</x:v>
      </x:c>
    </x:row>
    <x:row r="229">
      <x:c r="H229" t="n">
        <x:f>IFERROR(G229/F229*100,0)</x:f>
        <x:v>0</x:v>
      </x:c>
    </x:row>
    <x:row r="230">
      <x:c r="H230" t="n">
        <x:f>IFERROR(G230/F230*100,0)</x:f>
        <x:v>0</x:v>
      </x:c>
    </x:row>
    <x:row r="231">
      <x:c r="H231" t="n">
        <x:f>IFERROR(G231/F231*100,0)</x:f>
        <x:v>0</x:v>
      </x:c>
    </x:row>
    <x:row r="232">
      <x:c r="H232" t="n">
        <x:f>IFERROR(G232/F232*100,0)</x:f>
        <x:v>0</x:v>
      </x:c>
    </x:row>
    <x:row r="233">
      <x:c r="H233" t="n">
        <x:f>IFERROR(G233/F233*100,0)</x:f>
        <x:v>0</x:v>
      </x:c>
    </x:row>
    <x:row r="234">
      <x:c r="H234" t="n">
        <x:f>IFERROR(G234/F234*100,0)</x:f>
        <x:v>0</x:v>
      </x:c>
    </x:row>
    <x:row r="235">
      <x:c r="H235" t="n">
        <x:f>IFERROR(G235/F235*100,0)</x:f>
        <x:v>0</x:v>
      </x:c>
    </x:row>
    <x:row r="236">
      <x:c r="H236" t="n">
        <x:f>IFERROR(G236/F236*100,0)</x:f>
        <x:v>0</x:v>
      </x:c>
    </x:row>
    <x:row r="237">
      <x:c r="H237" t="n">
        <x:f>IFERROR(G237/F237*100,0)</x:f>
        <x:v>0</x:v>
      </x:c>
    </x:row>
    <x:row r="238">
      <x:c r="H238" t="n">
        <x:f>IFERROR(G238/F238*100,0)</x:f>
        <x:v>0</x:v>
      </x:c>
    </x:row>
    <x:row r="239">
      <x:c r="H239" t="n">
        <x:f>IFERROR(G239/F239*100,0)</x:f>
        <x:v>0</x:v>
      </x:c>
    </x:row>
    <x:row r="240">
      <x:c r="H240" t="n">
        <x:f>IFERROR(G240/F240*100,0)</x:f>
        <x:v>0</x:v>
      </x:c>
    </x:row>
    <x:row r="241">
      <x:c r="H241" t="n">
        <x:f>IFERROR(G241/F241*100,0)</x:f>
        <x:v>0</x:v>
      </x:c>
    </x:row>
    <x:row r="242">
      <x:c r="H242" t="n">
        <x:f>IFERROR(G242/F242*100,0)</x:f>
        <x:v>0</x:v>
      </x:c>
    </x:row>
    <x:row r="243">
      <x:c r="H243" t="n">
        <x:f>IFERROR(G243/F243*100,0)</x:f>
        <x:v>0</x:v>
      </x:c>
    </x:row>
    <x:row r="244">
      <x:c r="H244" t="n">
        <x:f>IFERROR(G244/F244*100,0)</x:f>
        <x:v>0</x:v>
      </x:c>
    </x:row>
    <x:row r="245">
      <x:c r="H245" t="n">
        <x:f>IFERROR(G245/F245*100,0)</x:f>
        <x:v>0</x:v>
      </x:c>
    </x:row>
    <x:row r="246">
      <x:c r="H246" t="n">
        <x:f>IFERROR(G246/F246*100,0)</x:f>
        <x:v>0</x:v>
      </x:c>
    </x:row>
    <x:row r="247">
      <x:c r="H247" t="n">
        <x:f>IFERROR(G247/F247*100,0)</x:f>
        <x:v>0</x:v>
      </x:c>
    </x:row>
    <x:row r="248">
      <x:c r="H248" t="n">
        <x:f>IFERROR(G248/F248*100,0)</x:f>
        <x:v>0</x:v>
      </x:c>
    </x:row>
    <x:row r="249">
      <x:c r="H249" t="n">
        <x:f>IFERROR(G249/F249*100,0)</x:f>
        <x:v>0</x:v>
      </x:c>
    </x:row>
    <x:row r="250">
      <x:c r="H250" t="n">
        <x:f>IFERROR(G250/F250*100,0)</x:f>
        <x:v>0</x:v>
      </x:c>
    </x:row>
    <x:row r="251">
      <x:c r="H251" t="n">
        <x:f>IFERROR(G251/F251*100,0)</x:f>
        <x:v>0</x:v>
      </x:c>
    </x:row>
    <x:row r="252">
      <x:c r="H252" t="n">
        <x:f>IFERROR(G252/F252*100,0)</x:f>
        <x:v>0</x:v>
      </x:c>
    </x:row>
    <x:row r="253">
      <x:c r="H253" t="n">
        <x:f>IFERROR(G253/F253*100,0)</x:f>
        <x:v>0</x:v>
      </x:c>
    </x:row>
    <x:row r="254">
      <x:c r="H254" t="n">
        <x:f>IFERROR(G254/F254*100,0)</x:f>
        <x:v>0</x:v>
      </x:c>
    </x:row>
    <x:row r="255">
      <x:c r="H255" t="n">
        <x:f>IFERROR(G255/F255*100,0)</x:f>
        <x:v>0</x:v>
      </x:c>
    </x:row>
    <x:row r="256">
      <x:c r="H256" t="n">
        <x:f>IFERROR(G256/F256*100,0)</x:f>
        <x:v>0</x:v>
      </x:c>
    </x:row>
    <x:row r="257">
      <x:c r="H257" t="n">
        <x:f>IFERROR(G257/F257*100,0)</x:f>
        <x:v>0</x:v>
      </x:c>
    </x:row>
    <x:row r="258">
      <x:c r="H258" t="n">
        <x:f>IFERROR(G258/F258*100,0)</x:f>
        <x:v>0</x:v>
      </x:c>
    </x:row>
    <x:row r="259">
      <x:c r="H259" t="n">
        <x:f>IFERROR(G259/F259*100,0)</x:f>
        <x:v>0</x:v>
      </x:c>
    </x:row>
    <x:row r="260">
      <x:c r="H260" t="n">
        <x:f>IFERROR(G260/F260*100,0)</x:f>
        <x:v>0</x:v>
      </x:c>
    </x:row>
    <x:row r="261">
      <x:c r="H261" t="n">
        <x:f>IFERROR(G261/F261*100,0)</x:f>
        <x:v>0</x:v>
      </x:c>
    </x:row>
    <x:row r="262">
      <x:c r="H262" t="n">
        <x:f>IFERROR(G262/F262*100,0)</x:f>
        <x:v>0</x:v>
      </x:c>
    </x:row>
    <x:row r="263">
      <x:c r="H263" t="n">
        <x:f>IFERROR(G263/F263*100,0)</x:f>
        <x:v>0</x:v>
      </x:c>
    </x:row>
    <x:row r="264">
      <x:c r="H264" t="n">
        <x:f>IFERROR(G264/F264*100,0)</x:f>
        <x:v>0</x:v>
      </x:c>
    </x:row>
    <x:row r="265">
      <x:c r="H265" t="n">
        <x:f>IFERROR(G265/F265*100,0)</x:f>
        <x:v>0</x:v>
      </x:c>
    </x:row>
    <x:row r="266">
      <x:c r="H266" t="n">
        <x:f>IFERROR(G266/F266*100,0)</x:f>
        <x:v>0</x:v>
      </x:c>
    </x:row>
    <x:row r="267">
      <x:c r="H267" t="n">
        <x:f>IFERROR(G267/F267*100,0)</x:f>
        <x:v>0</x:v>
      </x:c>
    </x:row>
    <x:row r="268">
      <x:c r="H268" t="n">
        <x:f>IFERROR(G268/F268*100,0)</x:f>
        <x:v>0</x:v>
      </x:c>
    </x:row>
    <x:row r="269">
      <x:c r="H269" t="n">
        <x:f>IFERROR(G269/F269*100,0)</x:f>
        <x:v>0</x:v>
      </x:c>
    </x:row>
    <x:row r="270">
      <x:c r="H270" t="n">
        <x:f>IFERROR(G270/F270*100,0)</x:f>
        <x:v>0</x:v>
      </x:c>
    </x:row>
    <x:row r="271">
      <x:c r="H271" t="n">
        <x:f>IFERROR(G271/F271*100,0)</x:f>
        <x:v>0</x:v>
      </x:c>
    </x:row>
    <x:row r="272">
      <x:c r="H272" t="n">
        <x:f>IFERROR(G272/F272*100,0)</x:f>
        <x:v>0</x:v>
      </x:c>
    </x:row>
    <x:row r="273">
      <x:c r="H273" t="n">
        <x:f>IFERROR(G273/F273*100,0)</x:f>
        <x:v>0</x:v>
      </x:c>
    </x:row>
    <x:row r="274">
      <x:c r="H274" t="n">
        <x:f>IFERROR(G274/F274*100,0)</x:f>
        <x:v>0</x:v>
      </x:c>
    </x:row>
    <x:row r="275">
      <x:c r="H275" t="n">
        <x:f>IFERROR(G275/F275*100,0)</x:f>
        <x:v>0</x:v>
      </x:c>
    </x:row>
    <x:row r="276">
      <x:c r="H276" t="n">
        <x:f>IFERROR(G276/F276*100,0)</x:f>
        <x:v>0</x:v>
      </x:c>
    </x:row>
    <x:row r="277">
      <x:c r="H277" t="n">
        <x:f>IFERROR(G277/F277*100,0)</x:f>
        <x:v>0</x:v>
      </x:c>
    </x:row>
    <x:row r="278">
      <x:c r="H278" t="n">
        <x:f>IFERROR(G278/F278*100,0)</x:f>
        <x:v>0</x:v>
      </x:c>
    </x:row>
    <x:row r="279">
      <x:c r="H279" t="n">
        <x:f>IFERROR(G279/F279*100,0)</x:f>
        <x:v>0</x:v>
      </x:c>
    </x:row>
    <x:row r="280">
      <x:c r="H280" t="n">
        <x:f>IFERROR(G280/F280*100,0)</x:f>
        <x:v>0</x:v>
      </x:c>
    </x:row>
    <x:row r="281">
      <x:c r="H281" t="n">
        <x:f>IFERROR(G281/F281*100,0)</x:f>
        <x:v>0</x:v>
      </x:c>
    </x:row>
    <x:row r="282">
      <x:c r="H282" t="n">
        <x:f>IFERROR(G282/F282*100,0)</x:f>
        <x:v>0</x:v>
      </x:c>
    </x:row>
    <x:row r="283">
      <x:c r="H283" t="n">
        <x:f>IFERROR(G283/F283*100,0)</x:f>
        <x:v>0</x:v>
      </x:c>
    </x:row>
    <x:row r="284">
      <x:c r="H284" t="n">
        <x:f>IFERROR(G284/F284*100,0)</x:f>
        <x:v>0</x:v>
      </x:c>
    </x:row>
    <x:row r="285">
      <x:c r="H285" t="n">
        <x:f>IFERROR(G285/F285*100,0)</x:f>
        <x:v>0</x:v>
      </x:c>
    </x:row>
    <x:row r="286">
      <x:c r="H286" t="n">
        <x:f>IFERROR(G286/F286*100,0)</x:f>
        <x:v>0</x:v>
      </x:c>
    </x:row>
    <x:row r="287">
      <x:c r="H287" t="n">
        <x:f>IFERROR(G287/F287*100,0)</x:f>
        <x:v>0</x:v>
      </x:c>
    </x:row>
    <x:row r="288">
      <x:c r="H288" t="n">
        <x:f>IFERROR(G288/F288*100,0)</x:f>
        <x:v>0</x:v>
      </x:c>
    </x:row>
    <x:row r="289">
      <x:c r="H289" t="n">
        <x:f>IFERROR(G289/F289*100,0)</x:f>
        <x:v>0</x:v>
      </x:c>
    </x:row>
    <x:row r="290">
      <x:c r="H290" t="n">
        <x:f>IFERROR(G290/F290*100,0)</x:f>
        <x:v>0</x:v>
      </x:c>
    </x:row>
    <x:row r="291">
      <x:c r="H291" t="n">
        <x:f>IFERROR(G291/F291*100,0)</x:f>
        <x:v>0</x:v>
      </x:c>
    </x:row>
    <x:row r="292">
      <x:c r="H292" t="n">
        <x:f>IFERROR(G292/F292*100,0)</x:f>
        <x:v>0</x:v>
      </x:c>
    </x:row>
    <x:row r="293">
      <x:c r="H293" t="n">
        <x:f>IFERROR(G293/F293*100,0)</x:f>
        <x:v>0</x:v>
      </x:c>
    </x:row>
    <x:row r="294">
      <x:c r="H294" t="n">
        <x:f>IFERROR(G294/F294*100,0)</x:f>
        <x:v>0</x:v>
      </x:c>
    </x:row>
    <x:row r="295">
      <x:c r="H295" t="n">
        <x:f>IFERROR(G295/F295*100,0)</x:f>
        <x:v>0</x:v>
      </x:c>
    </x:row>
    <x:row r="296">
      <x:c r="H296" t="n">
        <x:f>IFERROR(G296/F296*100,0)</x:f>
        <x:v>0</x:v>
      </x:c>
    </x:row>
    <x:row r="297">
      <x:c r="H297" t="n">
        <x:f>IFERROR(G297/F297*100,0)</x:f>
        <x:v>0</x:v>
      </x:c>
    </x:row>
    <x:row r="298">
      <x:c r="H298" t="n">
        <x:f>IFERROR(G298/F298*100,0)</x:f>
        <x:v>0</x:v>
      </x:c>
    </x:row>
    <x:row r="299">
      <x:c r="H299" t="n">
        <x:f>IFERROR(G299/F299*100,0)</x:f>
        <x:v>0</x:v>
      </x:c>
    </x:row>
    <x:row r="300">
      <x:c r="H300" t="n">
        <x:f>IFERROR(G300/F300*100,0)</x:f>
        <x:v>0</x:v>
      </x:c>
    </x:row>
    <x:row r="301">
      <x:c r="H301" t="n">
        <x:f>IFERROR(G301/F301*100,0)</x:f>
        <x:v>0</x:v>
      </x:c>
    </x:row>
    <x:row r="302">
      <x:c r="H302" t="n">
        <x:f>IFERROR(G302/F302*100,0)</x:f>
        <x:v>0</x:v>
      </x:c>
    </x:row>
    <x:row r="303">
      <x:c r="H303" t="n">
        <x:f>IFERROR(G303/F303*100,0)</x:f>
        <x:v>0</x:v>
      </x:c>
    </x:row>
  </x:sheetData>
  <x:mergeCells>
    <x:mergeCell ref="A1:J1"/>
  </x:mergeCells>
  <x:conditionalFormatting sqref="A4:A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{7C5DCCEF-3BB6-AACD-E5E1-680E2763DB78}</x14:id>
        </x:ext>
      </x:extLst>
    </x:cfRule>
  </x:conditionalFormatting>
  <x:conditionalFormatting sqref="H4:H303">
    <x:cfRule type="dataBar" priority="2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{E177A72F-2C66-F3BF-0108-20123D74EDF7}</x14:id>
        </x:ext>
      </x:extLst>
    </x:cfRule>
  </x:conditionalFormatting>
  <x:dataValidations count="1">
    <x:dataValidation type="list" sqref="E4:E303">
      <x:formula1>"Low,Moderate,High,Critical"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436eaeb6b645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C5DCCEF-3BB6-AACD-E5E1-680E2763DB78}">
            <x14:dataBar gradient="1">
              <x14:cfvo type="min"/>
              <x14:cfvo type="max"/>
              <x14:fillColor rgb="FFB91C1C"/>
            </x14:dataBar>
          </x14:cfRule>
          <xm:sqref>A4:A303</xm:sqref>
        </x14:conditionalFormatting>
        <x14:conditionalFormatting>
          <x14:cfRule type="dataBar" priority="2" id="{E177A72F-2C66-F3BF-0108-20123D74EDF7}">
            <x14:dataBar gradient="1">
              <x14:cfvo type="min"/>
              <x14:cfvo type="max"/>
              <x14:fillColor rgb="FFB91C1C"/>
            </x14:dataBar>
          </x14:cfRule>
          <xm:sqref>H4:H303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Performance Metrics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Month</x:v>
      </x:c>
      <x:c r="B3" s="12" t="str">
        <x:v>Alerts</x:v>
      </x:c>
      <x:c r="C3" s="12" t="str">
        <x:v>True Positives</x:v>
      </x:c>
      <x:c r="D3" s="12" t="str">
        <x:v>False Positives</x:v>
      </x:c>
      <x:c r="E3" s="12" t="str">
        <x:v>Precision %</x:v>
      </x:c>
      <x:c r="F3" s="12" t="str">
        <x:v>Median Triage Minutes</x:v>
      </x:c>
      <x:c r="G3" s="12" t="str">
        <x:v>Detections Validated</x:v>
      </x:c>
      <x:c r="H3" s="12" t="str">
        <x:v>Overdue Reviews</x:v>
      </x:c>
    </x:row>
    <x:row r="4">
      <x:c r="A4" s="20" t="str">
        <x:v>2026-05</x:v>
      </x:c>
      <x:c r="B4" s="20" t="n">
        <x:v>420</x:v>
      </x:c>
      <x:c r="C4" s="20" t="n">
        <x:v>98</x:v>
      </x:c>
      <x:c r="D4" s="20" t="n">
        <x:v>322</x:v>
      </x:c>
      <x:c r="E4" s="20" t="n">
        <x:f>IFERROR(C4/(C4+D4)*100,0)</x:f>
        <x:v>23.333333333333332</x:v>
      </x:c>
      <x:c r="F4" s="20" t="n">
        <x:v>24</x:v>
      </x:c>
      <x:c r="G4" s="20" t="n">
        <x:v>8</x:v>
      </x:c>
      <x:c r="H4" s="20" t="n">
        <x:v>6</x:v>
      </x:c>
    </x:row>
    <x:row r="5">
      <x:c r="A5" s="20" t="str">
        <x:v>2026-06</x:v>
      </x:c>
      <x:c r="B5" s="20" t="n">
        <x:v>390</x:v>
      </x:c>
      <x:c r="C5" s="20" t="n">
        <x:v>110</x:v>
      </x:c>
      <x:c r="D5" s="20" t="n">
        <x:v>280</x:v>
      </x:c>
      <x:c r="E5" s="20" t="n">
        <x:f>IFERROR(C5/(C5+D5)*100,0)</x:f>
        <x:v>28.205128205128204</x:v>
      </x:c>
      <x:c r="F5" s="20" t="n">
        <x:v>20</x:v>
      </x:c>
      <x:c r="G5" s="20" t="n">
        <x:v>10</x:v>
      </x:c>
      <x:c r="H5" s="20" t="n">
        <x:v>5</x:v>
      </x:c>
    </x:row>
    <x:row r="6">
      <x:c r="A6" s="20" t="str">
        <x:v>2026-07</x:v>
      </x:c>
      <x:c r="B6" s="20" t="n">
        <x:v>240</x:v>
      </x:c>
      <x:c r="C6" s="20" t="n">
        <x:v>82</x:v>
      </x:c>
      <x:c r="D6" s="20" t="n">
        <x:v>158</x:v>
      </x:c>
      <x:c r="E6" s="20" t="n">
        <x:f>IFERROR(C6/(C6+D6)*100,0)</x:f>
        <x:v>34.166666666666664</x:v>
      </x:c>
      <x:c r="F6" s="20" t="n">
        <x:v>17</x:v>
      </x:c>
      <x:c r="G6" s="20" t="n">
        <x:v>7</x:v>
      </x:c>
      <x:c r="H6" s="20" t="n">
        <x:v>4</x:v>
      </x:c>
    </x:row>
    <x:row r="7">
      <x:c r="A7" s="20"/>
      <x:c r="B7" s="20"/>
      <x:c r="C7" s="20"/>
      <x:c r="D7" s="20"/>
      <x:c r="E7" s="20" t="n">
        <x:f>IFERROR(C7/(C7+D7)*100,0)</x:f>
        <x:v>0</x:v>
      </x:c>
      <x:c r="F7" s="20"/>
      <x:c r="G7" s="20"/>
      <x:c r="H7" s="20"/>
    </x:row>
    <x:row r="8">
      <x:c r="A8" s="20"/>
      <x:c r="B8" s="20"/>
      <x:c r="C8" s="20"/>
      <x:c r="D8" s="20"/>
      <x:c r="E8" s="20" t="n">
        <x:f>IFERROR(C8/(C8+D8)*100,0)</x:f>
        <x:v>0</x:v>
      </x:c>
      <x:c r="F8" s="20"/>
      <x:c r="G8" s="20"/>
      <x:c r="H8" s="20"/>
    </x:row>
    <x:row r="9">
      <x:c r="A9" s="20"/>
      <x:c r="B9" s="20"/>
      <x:c r="C9" s="20"/>
      <x:c r="D9" s="20"/>
      <x:c r="E9" s="20" t="n">
        <x:f>IFERROR(C9/(C9+D9)*100,0)</x:f>
        <x:v>0</x:v>
      </x:c>
      <x:c r="F9" s="20"/>
      <x:c r="G9" s="20"/>
      <x:c r="H9" s="20"/>
    </x:row>
    <x:row r="10">
      <x:c r="A10" s="20"/>
      <x:c r="B10" s="20"/>
      <x:c r="C10" s="20"/>
      <x:c r="D10" s="20"/>
      <x:c r="E10" s="20" t="n">
        <x:f>IFERROR(C10/(C10+D10)*100,0)</x:f>
        <x:v>0</x:v>
      </x:c>
      <x:c r="F10" s="20"/>
      <x:c r="G10" s="20"/>
      <x:c r="H10" s="20"/>
    </x:row>
    <x:row r="11">
      <x:c r="A11" s="20"/>
      <x:c r="B11" s="20"/>
      <x:c r="C11" s="20"/>
      <x:c r="D11" s="20"/>
      <x:c r="E11" s="20" t="n">
        <x:f>IFERROR(C11/(C11+D11)*100,0)</x:f>
        <x:v>0</x:v>
      </x:c>
      <x:c r="F11" s="20"/>
      <x:c r="G11" s="20"/>
      <x:c r="H11" s="20"/>
    </x:row>
    <x:row r="12">
      <x:c r="A12" s="20"/>
      <x:c r="B12" s="20"/>
      <x:c r="C12" s="20"/>
      <x:c r="D12" s="20"/>
      <x:c r="E12" s="20" t="n">
        <x:f>IFERROR(C12/(C12+D12)*100,0)</x:f>
        <x:v>0</x:v>
      </x:c>
      <x:c r="F12" s="20"/>
      <x:c r="G12" s="20"/>
      <x:c r="H12" s="20"/>
    </x:row>
    <x:row r="13">
      <x:c r="A13" s="20"/>
      <x:c r="B13" s="20"/>
      <x:c r="C13" s="20"/>
      <x:c r="D13" s="20"/>
      <x:c r="E13" s="20" t="n">
        <x:f>IFERROR(C13/(C13+D13)*100,0)</x:f>
        <x:v>0</x:v>
      </x:c>
      <x:c r="F13" s="20"/>
      <x:c r="G13" s="20"/>
      <x:c r="H13" s="20"/>
    </x:row>
    <x:row r="14">
      <x:c r="A14" s="20"/>
      <x:c r="B14" s="20"/>
      <x:c r="C14" s="20"/>
      <x:c r="D14" s="20"/>
      <x:c r="E14" s="20" t="n">
        <x:f>IFERROR(C14/(C14+D14)*100,0)</x:f>
        <x:v>0</x:v>
      </x:c>
      <x:c r="F14" s="20"/>
      <x:c r="G14" s="20"/>
      <x:c r="H14" s="20"/>
    </x:row>
    <x:row r="15">
      <x:c r="A15" s="20"/>
      <x:c r="B15" s="20"/>
      <x:c r="C15" s="20"/>
      <x:c r="D15" s="20"/>
      <x:c r="E15" s="20" t="n">
        <x:f>IFERROR(C15/(C15+D15)*100,0)</x:f>
        <x:v>0</x:v>
      </x:c>
      <x:c r="F15" s="20"/>
      <x:c r="G15" s="20"/>
      <x:c r="H15" s="20"/>
    </x:row>
    <x:row r="16">
      <x:c r="A16" s="20"/>
      <x:c r="B16" s="20"/>
      <x:c r="C16" s="20"/>
      <x:c r="D16" s="20"/>
      <x:c r="E16" s="20" t="n">
        <x:f>IFERROR(C16/(C16+D16)*100,0)</x:f>
        <x:v>0</x:v>
      </x:c>
      <x:c r="F16" s="20"/>
      <x:c r="G16" s="20"/>
      <x:c r="H16" s="20"/>
    </x:row>
    <x:row r="17">
      <x:c r="A17" s="20"/>
      <x:c r="B17" s="20"/>
      <x:c r="C17" s="20"/>
      <x:c r="D17" s="20"/>
      <x:c r="E17" s="20" t="n">
        <x:f>IFERROR(C17/(C17+D17)*100,0)</x:f>
        <x:v>0</x:v>
      </x:c>
      <x:c r="F17" s="20"/>
      <x:c r="G17" s="20"/>
      <x:c r="H17" s="20"/>
    </x:row>
    <x:row r="18">
      <x:c r="A18" s="20"/>
      <x:c r="B18" s="20"/>
      <x:c r="C18" s="20"/>
      <x:c r="D18" s="20"/>
      <x:c r="E18" s="20" t="n">
        <x:f>IFERROR(C18/(C18+D18)*100,0)</x:f>
        <x:v>0</x:v>
      </x:c>
      <x:c r="F18" s="20"/>
      <x:c r="G18" s="20"/>
      <x:c r="H18" s="20"/>
    </x:row>
    <x:row r="19">
      <x:c r="A19" s="20"/>
      <x:c r="B19" s="20"/>
      <x:c r="C19" s="20"/>
      <x:c r="D19" s="20"/>
      <x:c r="E19" s="20" t="n">
        <x:f>IFERROR(C19/(C19+D19)*100,0)</x:f>
        <x:v>0</x:v>
      </x:c>
      <x:c r="F19" s="20"/>
      <x:c r="G19" s="20"/>
      <x:c r="H19" s="20"/>
    </x:row>
    <x:row r="20">
      <x:c r="A20" s="20"/>
      <x:c r="B20" s="20"/>
      <x:c r="C20" s="20"/>
      <x:c r="D20" s="20"/>
      <x:c r="E20" s="20" t="n">
        <x:f>IFERROR(C20/(C20+D20)*100,0)</x:f>
        <x:v>0</x:v>
      </x:c>
      <x:c r="F20" s="20"/>
      <x:c r="G20" s="20"/>
      <x:c r="H20" s="20"/>
    </x:row>
    <x:row r="21">
      <x:c r="E21" t="n">
        <x:f>IFERROR(C21/(C21+D21)*100,0)</x:f>
        <x:v>0</x:v>
      </x:c>
    </x:row>
    <x:row r="22">
      <x:c r="E22" t="n">
        <x:f>IFERROR(C22/(C22+D22)*100,0)</x:f>
        <x:v>0</x:v>
      </x:c>
    </x:row>
    <x:row r="23">
      <x:c r="E23" t="n">
        <x:f>IFERROR(C23/(C23+D23)*100,0)</x:f>
        <x:v>0</x:v>
      </x:c>
    </x:row>
    <x:row r="24">
      <x:c r="E24" t="n">
        <x:f>IFERROR(C24/(C24+D24)*100,0)</x:f>
        <x:v>0</x:v>
      </x:c>
    </x:row>
    <x:row r="25">
      <x:c r="E25" t="n">
        <x:f>IFERROR(C25/(C25+D25)*100,0)</x:f>
        <x:v>0</x:v>
      </x:c>
    </x:row>
    <x:row r="26">
      <x:c r="E26" t="n">
        <x:f>IFERROR(C26/(C26+D26)*100,0)</x:f>
        <x:v>0</x:v>
      </x:c>
    </x:row>
    <x:row r="27">
      <x:c r="E27" t="n">
        <x:f>IFERROR(C27/(C27+D27)*100,0)</x:f>
        <x:v>0</x:v>
      </x:c>
    </x:row>
    <x:row r="28">
      <x:c r="E28" t="n">
        <x:f>IFERROR(C28/(C28+D28)*100,0)</x:f>
        <x:v>0</x:v>
      </x:c>
    </x:row>
    <x:row r="29">
      <x:c r="E29" t="n">
        <x:f>IFERROR(C29/(C29+D29)*100,0)</x:f>
        <x:v>0</x:v>
      </x:c>
    </x:row>
    <x:row r="30">
      <x:c r="E30" t="n">
        <x:f>IFERROR(C30/(C30+D30)*100,0)</x:f>
        <x:v>0</x:v>
      </x:c>
    </x:row>
    <x:row r="31">
      <x:c r="E31" t="n">
        <x:f>IFERROR(C31/(C31+D31)*100,0)</x:f>
        <x:v>0</x:v>
      </x:c>
    </x:row>
    <x:row r="32">
      <x:c r="E32" t="n">
        <x:f>IFERROR(C32/(C32+D32)*100,0)</x:f>
        <x:v>0</x:v>
      </x:c>
    </x:row>
    <x:row r="33">
      <x:c r="E33" t="n">
        <x:f>IFERROR(C33/(C33+D33)*100,0)</x:f>
        <x:v>0</x:v>
      </x:c>
    </x:row>
    <x:row r="34">
      <x:c r="E34" t="n">
        <x:f>IFERROR(C34/(C34+D34)*100,0)</x:f>
        <x:v>0</x:v>
      </x:c>
    </x:row>
    <x:row r="35">
      <x:c r="E35" t="n">
        <x:f>IFERROR(C35/(C35+D35)*100,0)</x:f>
        <x:v>0</x:v>
      </x:c>
    </x:row>
    <x:row r="36">
      <x:c r="E36" t="n">
        <x:f>IFERROR(C36/(C36+D36)*100,0)</x:f>
        <x:v>0</x:v>
      </x:c>
    </x:row>
    <x:row r="37">
      <x:c r="E37" t="n">
        <x:f>IFERROR(C37/(C37+D37)*100,0)</x:f>
        <x:v>0</x:v>
      </x:c>
    </x:row>
    <x:row r="38">
      <x:c r="E38" t="n">
        <x:f>IFERROR(C38/(C38+D38)*100,0)</x:f>
        <x:v>0</x:v>
      </x:c>
    </x:row>
    <x:row r="39">
      <x:c r="E39" t="n">
        <x:f>IFERROR(C39/(C39+D39)*100,0)</x:f>
        <x:v>0</x:v>
      </x:c>
    </x:row>
    <x:row r="40">
      <x:c r="E40" t="n">
        <x:f>IFERROR(C40/(C40+D40)*100,0)</x:f>
        <x:v>0</x:v>
      </x:c>
    </x:row>
    <x:row r="41">
      <x:c r="E41" t="n">
        <x:f>IFERROR(C41/(C41+D41)*100,0)</x:f>
        <x:v>0</x:v>
      </x:c>
    </x:row>
    <x:row r="42">
      <x:c r="E42" t="n">
        <x:f>IFERROR(C42/(C42+D42)*100,0)</x:f>
        <x:v>0</x:v>
      </x:c>
    </x:row>
    <x:row r="43">
      <x:c r="E43" t="n">
        <x:f>IFERROR(C43/(C43+D43)*100,0)</x:f>
        <x:v>0</x:v>
      </x:c>
    </x:row>
    <x:row r="44">
      <x:c r="E44" t="n">
        <x:f>IFERROR(C44/(C44+D44)*100,0)</x:f>
        <x:v>0</x:v>
      </x:c>
    </x:row>
    <x:row r="45">
      <x:c r="E45" t="n">
        <x:f>IFERROR(C45/(C45+D45)*100,0)</x:f>
        <x:v>0</x:v>
      </x:c>
    </x:row>
    <x:row r="46">
      <x:c r="E46" t="n">
        <x:f>IFERROR(C46/(C46+D46)*100,0)</x:f>
        <x:v>0</x:v>
      </x:c>
    </x:row>
    <x:row r="47">
      <x:c r="E47" t="n">
        <x:f>IFERROR(C47/(C47+D47)*100,0)</x:f>
        <x:v>0</x:v>
      </x:c>
    </x:row>
    <x:row r="48">
      <x:c r="E48" t="n">
        <x:f>IFERROR(C48/(C48+D48)*100,0)</x:f>
        <x:v>0</x:v>
      </x:c>
    </x:row>
    <x:row r="49">
      <x:c r="E49" t="n">
        <x:f>IFERROR(C49/(C49+D49)*100,0)</x:f>
        <x:v>0</x:v>
      </x:c>
    </x:row>
    <x:row r="50">
      <x:c r="E50" t="n">
        <x:f>IFERROR(C50/(C50+D50)*100,0)</x:f>
        <x:v>0</x:v>
      </x:c>
    </x:row>
    <x:row r="51">
      <x:c r="E51" t="n">
        <x:f>IFERROR(C51/(C51+D51)*100,0)</x:f>
        <x:v>0</x:v>
      </x:c>
    </x:row>
    <x:row r="52">
      <x:c r="E52" t="n">
        <x:f>IFERROR(C52/(C52+D52)*100,0)</x:f>
        <x:v>0</x:v>
      </x:c>
    </x:row>
    <x:row r="53">
      <x:c r="E53" t="n">
        <x:f>IFERROR(C53/(C53+D53)*100,0)</x:f>
        <x:v>0</x:v>
      </x:c>
    </x:row>
    <x:row r="54">
      <x:c r="E54" t="n">
        <x:f>IFERROR(C54/(C54+D54)*100,0)</x:f>
        <x:v>0</x:v>
      </x:c>
    </x:row>
    <x:row r="55">
      <x:c r="E55" t="n">
        <x:f>IFERROR(C55/(C55+D55)*100,0)</x:f>
        <x:v>0</x:v>
      </x:c>
    </x:row>
    <x:row r="56">
      <x:c r="E56" t="n">
        <x:f>IFERROR(C56/(C56+D56)*100,0)</x:f>
        <x:v>0</x:v>
      </x:c>
    </x:row>
    <x:row r="57">
      <x:c r="E57" t="n">
        <x:f>IFERROR(C57/(C57+D57)*100,0)</x:f>
        <x:v>0</x:v>
      </x:c>
    </x:row>
    <x:row r="58">
      <x:c r="E58" t="n">
        <x:f>IFERROR(C58/(C58+D58)*100,0)</x:f>
        <x:v>0</x:v>
      </x:c>
    </x:row>
    <x:row r="59">
      <x:c r="E59" t="n">
        <x:f>IFERROR(C59/(C59+D59)*100,0)</x:f>
        <x:v>0</x:v>
      </x:c>
    </x:row>
    <x:row r="60">
      <x:c r="E60" t="n">
        <x:f>IFERROR(C60/(C60+D60)*100,0)</x:f>
        <x:v>0</x:v>
      </x:c>
    </x:row>
    <x:row r="61">
      <x:c r="E61" t="n">
        <x:f>IFERROR(C61/(C61+D61)*100,0)</x:f>
        <x:v>0</x:v>
      </x:c>
    </x:row>
    <x:row r="62">
      <x:c r="E62" t="n">
        <x:f>IFERROR(C62/(C62+D62)*100,0)</x:f>
        <x:v>0</x:v>
      </x:c>
    </x:row>
    <x:row r="63">
      <x:c r="E63" t="n">
        <x:f>IFERROR(C63/(C63+D63)*100,0)</x:f>
        <x:v>0</x:v>
      </x:c>
    </x:row>
    <x:row r="64">
      <x:c r="E64" t="n">
        <x:f>IFERROR(C64/(C64+D64)*100,0)</x:f>
        <x:v>0</x:v>
      </x:c>
    </x:row>
    <x:row r="65">
      <x:c r="E65" t="n">
        <x:f>IFERROR(C65/(C65+D65)*100,0)</x:f>
        <x:v>0</x:v>
      </x:c>
    </x:row>
    <x:row r="66">
      <x:c r="E66" t="n">
        <x:f>IFERROR(C66/(C66+D66)*100,0)</x:f>
        <x:v>0</x:v>
      </x:c>
    </x:row>
    <x:row r="67">
      <x:c r="E67" t="n">
        <x:f>IFERROR(C67/(C67+D67)*100,0)</x:f>
        <x:v>0</x:v>
      </x:c>
    </x:row>
    <x:row r="68">
      <x:c r="E68" t="n">
        <x:f>IFERROR(C68/(C68+D68)*100,0)</x:f>
        <x:v>0</x:v>
      </x:c>
    </x:row>
    <x:row r="69">
      <x:c r="E69" t="n">
        <x:f>IFERROR(C69/(C69+D69)*100,0)</x:f>
        <x:v>0</x:v>
      </x:c>
    </x:row>
    <x:row r="70">
      <x:c r="E70" t="n">
        <x:f>IFERROR(C70/(C70+D70)*100,0)</x:f>
        <x:v>0</x:v>
      </x:c>
    </x:row>
    <x:row r="71">
      <x:c r="E71" t="n">
        <x:f>IFERROR(C71/(C71+D71)*100,0)</x:f>
        <x:v>0</x:v>
      </x:c>
    </x:row>
    <x:row r="72">
      <x:c r="E72" t="n">
        <x:f>IFERROR(C72/(C72+D72)*100,0)</x:f>
        <x:v>0</x:v>
      </x:c>
    </x:row>
    <x:row r="73">
      <x:c r="E73" t="n">
        <x:f>IFERROR(C73/(C73+D73)*100,0)</x:f>
        <x:v>0</x:v>
      </x:c>
    </x:row>
    <x:row r="74">
      <x:c r="E74" t="n">
        <x:f>IFERROR(C74/(C74+D74)*100,0)</x:f>
        <x:v>0</x:v>
      </x:c>
    </x:row>
    <x:row r="75">
      <x:c r="E75" t="n">
        <x:f>IFERROR(C75/(C75+D75)*100,0)</x:f>
        <x:v>0</x:v>
      </x:c>
    </x:row>
    <x:row r="76">
      <x:c r="E76" t="n">
        <x:f>IFERROR(C76/(C76+D76)*100,0)</x:f>
        <x:v>0</x:v>
      </x:c>
    </x:row>
    <x:row r="77">
      <x:c r="E77" t="n">
        <x:f>IFERROR(C77/(C77+D77)*100,0)</x:f>
        <x:v>0</x:v>
      </x:c>
    </x:row>
    <x:row r="78">
      <x:c r="E78" t="n">
        <x:f>IFERROR(C78/(C78+D78)*100,0)</x:f>
        <x:v>0</x:v>
      </x:c>
    </x:row>
    <x:row r="79">
      <x:c r="E79" t="n">
        <x:f>IFERROR(C79/(C79+D79)*100,0)</x:f>
        <x:v>0</x:v>
      </x:c>
    </x:row>
    <x:row r="80">
      <x:c r="E80" t="n">
        <x:f>IFERROR(C80/(C80+D80)*100,0)</x:f>
        <x:v>0</x:v>
      </x:c>
    </x:row>
    <x:row r="81">
      <x:c r="E81" t="n">
        <x:f>IFERROR(C81/(C81+D81)*100,0)</x:f>
        <x:v>0</x:v>
      </x:c>
    </x:row>
    <x:row r="82">
      <x:c r="E82" t="n">
        <x:f>IFERROR(C82/(C82+D82)*100,0)</x:f>
        <x:v>0</x:v>
      </x:c>
    </x:row>
    <x:row r="83">
      <x:c r="E83" t="n">
        <x:f>IFERROR(C83/(C83+D83)*100,0)</x:f>
        <x:v>0</x:v>
      </x:c>
    </x:row>
    <x:row r="84">
      <x:c r="E84" t="n">
        <x:f>IFERROR(C84/(C84+D84)*100,0)</x:f>
        <x:v>0</x:v>
      </x:c>
    </x:row>
    <x:row r="85">
      <x:c r="E85" t="n">
        <x:f>IFERROR(C85/(C85+D85)*100,0)</x:f>
        <x:v>0</x:v>
      </x:c>
    </x:row>
    <x:row r="86">
      <x:c r="E86" t="n">
        <x:f>IFERROR(C86/(C86+D86)*100,0)</x:f>
        <x:v>0</x:v>
      </x:c>
    </x:row>
    <x:row r="87">
      <x:c r="E87" t="n">
        <x:f>IFERROR(C87/(C87+D87)*100,0)</x:f>
        <x:v>0</x:v>
      </x:c>
    </x:row>
    <x:row r="88">
      <x:c r="E88" t="n">
        <x:f>IFERROR(C88/(C88+D88)*100,0)</x:f>
        <x:v>0</x:v>
      </x:c>
    </x:row>
    <x:row r="89">
      <x:c r="E89" t="n">
        <x:f>IFERROR(C89/(C89+D89)*100,0)</x:f>
        <x:v>0</x:v>
      </x:c>
    </x:row>
    <x:row r="90">
      <x:c r="E90" t="n">
        <x:f>IFERROR(C90/(C90+D90)*100,0)</x:f>
        <x:v>0</x:v>
      </x:c>
    </x:row>
    <x:row r="91">
      <x:c r="E91" t="n">
        <x:f>IFERROR(C91/(C91+D91)*100,0)</x:f>
        <x:v>0</x:v>
      </x:c>
    </x:row>
    <x:row r="92">
      <x:c r="E92" t="n">
        <x:f>IFERROR(C92/(C92+D92)*100,0)</x:f>
        <x:v>0</x:v>
      </x:c>
    </x:row>
    <x:row r="93">
      <x:c r="E93" t="n">
        <x:f>IFERROR(C93/(C93+D93)*100,0)</x:f>
        <x:v>0</x:v>
      </x:c>
    </x:row>
    <x:row r="94">
      <x:c r="E94" t="n">
        <x:f>IFERROR(C94/(C94+D94)*100,0)</x:f>
        <x:v>0</x:v>
      </x:c>
    </x:row>
    <x:row r="95">
      <x:c r="E95" t="n">
        <x:f>IFERROR(C95/(C95+D95)*100,0)</x:f>
        <x:v>0</x:v>
      </x:c>
    </x:row>
    <x:row r="96">
      <x:c r="E96" t="n">
        <x:f>IFERROR(C96/(C96+D96)*100,0)</x:f>
        <x:v>0</x:v>
      </x:c>
    </x:row>
    <x:row r="97">
      <x:c r="E97" t="n">
        <x:f>IFERROR(C97/(C97+D97)*100,0)</x:f>
        <x:v>0</x:v>
      </x:c>
    </x:row>
    <x:row r="98">
      <x:c r="E98" t="n">
        <x:f>IFERROR(C98/(C98+D98)*100,0)</x:f>
        <x:v>0</x:v>
      </x:c>
    </x:row>
    <x:row r="99">
      <x:c r="E99" t="n">
        <x:f>IFERROR(C99/(C99+D99)*100,0)</x:f>
        <x:v>0</x:v>
      </x:c>
    </x:row>
    <x:row r="100">
      <x:c r="E100" t="n">
        <x:f>IFERROR(C100/(C100+D100)*100,0)</x:f>
        <x:v>0</x:v>
      </x:c>
    </x:row>
    <x:row r="101">
      <x:c r="E101" t="n">
        <x:f>IFERROR(C101/(C101+D101)*100,0)</x:f>
        <x:v>0</x:v>
      </x:c>
    </x:row>
    <x:row r="102">
      <x:c r="E102" t="n">
        <x:f>IFERROR(C102/(C102+D102)*100,0)</x:f>
        <x:v>0</x:v>
      </x:c>
    </x:row>
    <x:row r="103">
      <x:c r="E103" t="n">
        <x:f>IFERROR(C103/(C103+D103)*100,0)</x:f>
        <x:v>0</x:v>
      </x:c>
    </x:row>
    <x:row r="104">
      <x:c r="E104" t="n">
        <x:f>IFERROR(C104/(C104+D104)*100,0)</x:f>
        <x:v>0</x:v>
      </x:c>
    </x:row>
    <x:row r="105">
      <x:c r="E105" t="n">
        <x:f>IFERROR(C105/(C105+D105)*100,0)</x:f>
        <x:v>0</x:v>
      </x:c>
    </x:row>
    <x:row r="106">
      <x:c r="E106" t="n">
        <x:f>IFERROR(C106/(C106+D106)*100,0)</x:f>
        <x:v>0</x:v>
      </x:c>
    </x:row>
    <x:row r="107">
      <x:c r="E107" t="n">
        <x:f>IFERROR(C107/(C107+D107)*100,0)</x:f>
        <x:v>0</x:v>
      </x:c>
    </x:row>
    <x:row r="108">
      <x:c r="E108" t="n">
        <x:f>IFERROR(C108/(C108+D108)*100,0)</x:f>
        <x:v>0</x:v>
      </x:c>
    </x:row>
    <x:row r="109">
      <x:c r="E109" t="n">
        <x:f>IFERROR(C109/(C109+D109)*100,0)</x:f>
        <x:v>0</x:v>
      </x:c>
    </x:row>
    <x:row r="110">
      <x:c r="E110" t="n">
        <x:f>IFERROR(C110/(C110+D110)*100,0)</x:f>
        <x:v>0</x:v>
      </x:c>
    </x:row>
    <x:row r="111">
      <x:c r="E111" t="n">
        <x:f>IFERROR(C111/(C111+D111)*100,0)</x:f>
        <x:v>0</x:v>
      </x:c>
    </x:row>
    <x:row r="112">
      <x:c r="E112" t="n">
        <x:f>IFERROR(C112/(C112+D112)*100,0)</x:f>
        <x:v>0</x:v>
      </x:c>
    </x:row>
    <x:row r="113">
      <x:c r="E113" t="n">
        <x:f>IFERROR(C113/(C113+D113)*100,0)</x:f>
        <x:v>0</x:v>
      </x:c>
    </x:row>
    <x:row r="114">
      <x:c r="E114" t="n">
        <x:f>IFERROR(C114/(C114+D114)*100,0)</x:f>
        <x:v>0</x:v>
      </x:c>
    </x:row>
    <x:row r="115">
      <x:c r="E115" t="n">
        <x:f>IFERROR(C115/(C115+D115)*100,0)</x:f>
        <x:v>0</x:v>
      </x:c>
    </x:row>
    <x:row r="116">
      <x:c r="E116" t="n">
        <x:f>IFERROR(C116/(C116+D116)*100,0)</x:f>
        <x:v>0</x:v>
      </x:c>
    </x:row>
    <x:row r="117">
      <x:c r="E117" t="n">
        <x:f>IFERROR(C117/(C117+D117)*100,0)</x:f>
        <x:v>0</x:v>
      </x:c>
    </x:row>
    <x:row r="118">
      <x:c r="E118" t="n">
        <x:f>IFERROR(C118/(C118+D118)*100,0)</x:f>
        <x:v>0</x:v>
      </x:c>
    </x:row>
    <x:row r="119">
      <x:c r="E119" t="n">
        <x:f>IFERROR(C119/(C119+D119)*100,0)</x:f>
        <x:v>0</x:v>
      </x:c>
    </x:row>
    <x:row r="120">
      <x:c r="E120" t="n">
        <x:f>IFERROR(C120/(C120+D120)*100,0)</x:f>
        <x:v>0</x:v>
      </x:c>
    </x:row>
    <x:row r="121">
      <x:c r="E121" t="n">
        <x:f>IFERROR(C121/(C121+D121)*100,0)</x:f>
        <x:v>0</x:v>
      </x:c>
    </x:row>
    <x:row r="122">
      <x:c r="E122" t="n">
        <x:f>IFERROR(C122/(C122+D122)*100,0)</x:f>
        <x:v>0</x:v>
      </x:c>
    </x:row>
    <x:row r="123">
      <x:c r="E123" t="n">
        <x:f>IFERROR(C123/(C123+D123)*100,0)</x:f>
        <x:v>0</x:v>
      </x:c>
    </x:row>
    <x:row r="124">
      <x:c r="E124" t="n">
        <x:f>IFERROR(C124/(C124+D124)*100,0)</x:f>
        <x:v>0</x:v>
      </x:c>
    </x:row>
    <x:row r="125">
      <x:c r="E125" t="n">
        <x:f>IFERROR(C125/(C125+D125)*100,0)</x:f>
        <x:v>0</x:v>
      </x:c>
    </x:row>
    <x:row r="126">
      <x:c r="E126" t="n">
        <x:f>IFERROR(C126/(C126+D126)*100,0)</x:f>
        <x:v>0</x:v>
      </x:c>
    </x:row>
    <x:row r="127">
      <x:c r="E127" t="n">
        <x:f>IFERROR(C127/(C127+D127)*100,0)</x:f>
        <x:v>0</x:v>
      </x:c>
    </x:row>
    <x:row r="128">
      <x:c r="E128" t="n">
        <x:f>IFERROR(C128/(C128+D128)*100,0)</x:f>
        <x:v>0</x:v>
      </x:c>
    </x:row>
    <x:row r="129">
      <x:c r="E129" t="n">
        <x:f>IFERROR(C129/(C129+D129)*100,0)</x:f>
        <x:v>0</x:v>
      </x:c>
    </x:row>
    <x:row r="130">
      <x:c r="E130" t="n">
        <x:f>IFERROR(C130/(C130+D130)*100,0)</x:f>
        <x:v>0</x:v>
      </x:c>
    </x:row>
    <x:row r="131">
      <x:c r="E131" t="n">
        <x:f>IFERROR(C131/(C131+D131)*100,0)</x:f>
        <x:v>0</x:v>
      </x:c>
    </x:row>
    <x:row r="132">
      <x:c r="E132" t="n">
        <x:f>IFERROR(C132/(C132+D132)*100,0)</x:f>
        <x:v>0</x:v>
      </x:c>
    </x:row>
    <x:row r="133">
      <x:c r="E133" t="n">
        <x:f>IFERROR(C133/(C133+D133)*100,0)</x:f>
        <x:v>0</x:v>
      </x:c>
    </x:row>
    <x:row r="134">
      <x:c r="E134" t="n">
        <x:f>IFERROR(C134/(C134+D134)*100,0)</x:f>
        <x:v>0</x:v>
      </x:c>
    </x:row>
    <x:row r="135">
      <x:c r="E135" t="n">
        <x:f>IFERROR(C135/(C135+D135)*100,0)</x:f>
        <x:v>0</x:v>
      </x:c>
    </x:row>
    <x:row r="136">
      <x:c r="E136" t="n">
        <x:f>IFERROR(C136/(C136+D136)*100,0)</x:f>
        <x:v>0</x:v>
      </x:c>
    </x:row>
    <x:row r="137">
      <x:c r="E137" t="n">
        <x:f>IFERROR(C137/(C137+D137)*100,0)</x:f>
        <x:v>0</x:v>
      </x:c>
    </x:row>
    <x:row r="138">
      <x:c r="E138" t="n">
        <x:f>IFERROR(C138/(C138+D138)*100,0)</x:f>
        <x:v>0</x:v>
      </x:c>
    </x:row>
    <x:row r="139">
      <x:c r="E139" t="n">
        <x:f>IFERROR(C139/(C139+D139)*100,0)</x:f>
        <x:v>0</x:v>
      </x:c>
    </x:row>
    <x:row r="140">
      <x:c r="E140" t="n">
        <x:f>IFERROR(C140/(C140+D140)*100,0)</x:f>
        <x:v>0</x:v>
      </x:c>
    </x:row>
    <x:row r="141">
      <x:c r="E141" t="n">
        <x:f>IFERROR(C141/(C141+D141)*100,0)</x:f>
        <x:v>0</x:v>
      </x:c>
    </x:row>
    <x:row r="142">
      <x:c r="E142" t="n">
        <x:f>IFERROR(C142/(C142+D142)*100,0)</x:f>
        <x:v>0</x:v>
      </x:c>
    </x:row>
    <x:row r="143">
      <x:c r="E143" t="n">
        <x:f>IFERROR(C143/(C143+D143)*100,0)</x:f>
        <x:v>0</x:v>
      </x:c>
    </x:row>
    <x:row r="144">
      <x:c r="E144" t="n">
        <x:f>IFERROR(C144/(C144+D144)*100,0)</x:f>
        <x:v>0</x:v>
      </x:c>
    </x:row>
    <x:row r="145">
      <x:c r="E145" t="n">
        <x:f>IFERROR(C145/(C145+D145)*100,0)</x:f>
        <x:v>0</x:v>
      </x:c>
    </x:row>
    <x:row r="146">
      <x:c r="E146" t="n">
        <x:f>IFERROR(C146/(C146+D146)*100,0)</x:f>
        <x:v>0</x:v>
      </x:c>
    </x:row>
    <x:row r="147">
      <x:c r="E147" t="n">
        <x:f>IFERROR(C147/(C147+D147)*100,0)</x:f>
        <x:v>0</x:v>
      </x:c>
    </x:row>
    <x:row r="148">
      <x:c r="E148" t="n">
        <x:f>IFERROR(C148/(C148+D148)*100,0)</x:f>
        <x:v>0</x:v>
      </x:c>
    </x:row>
    <x:row r="149">
      <x:c r="E149" t="n">
        <x:f>IFERROR(C149/(C149+D149)*100,0)</x:f>
        <x:v>0</x:v>
      </x:c>
    </x:row>
    <x:row r="150">
      <x:c r="E150" t="n">
        <x:f>IFERROR(C150/(C150+D150)*100,0)</x:f>
        <x:v>0</x:v>
      </x:c>
    </x:row>
    <x:row r="151">
      <x:c r="E151" t="n">
        <x:f>IFERROR(C151/(C151+D151)*100,0)</x:f>
        <x:v>0</x:v>
      </x:c>
    </x:row>
    <x:row r="152">
      <x:c r="E152" t="n">
        <x:f>IFERROR(C152/(C152+D152)*100,0)</x:f>
        <x:v>0</x:v>
      </x:c>
    </x:row>
    <x:row r="153">
      <x:c r="E153" t="n">
        <x:f>IFERROR(C153/(C153+D153)*100,0)</x:f>
        <x:v>0</x:v>
      </x:c>
    </x:row>
    <x:row r="154">
      <x:c r="E154" t="n">
        <x:f>IFERROR(C154/(C154+D154)*100,0)</x:f>
        <x:v>0</x:v>
      </x:c>
    </x:row>
    <x:row r="155">
      <x:c r="E155" t="n">
        <x:f>IFERROR(C155/(C155+D155)*100,0)</x:f>
        <x:v>0</x:v>
      </x:c>
    </x:row>
    <x:row r="156">
      <x:c r="E156" t="n">
        <x:f>IFERROR(C156/(C156+D156)*100,0)</x:f>
        <x:v>0</x:v>
      </x:c>
    </x:row>
    <x:row r="157">
      <x:c r="E157" t="n">
        <x:f>IFERROR(C157/(C157+D157)*100,0)</x:f>
        <x:v>0</x:v>
      </x:c>
    </x:row>
    <x:row r="158">
      <x:c r="E158" t="n">
        <x:f>IFERROR(C158/(C158+D158)*100,0)</x:f>
        <x:v>0</x:v>
      </x:c>
    </x:row>
    <x:row r="159">
      <x:c r="E159" t="n">
        <x:f>IFERROR(C159/(C159+D159)*100,0)</x:f>
        <x:v>0</x:v>
      </x:c>
    </x:row>
    <x:row r="160">
      <x:c r="E160" t="n">
        <x:f>IFERROR(C160/(C160+D160)*100,0)</x:f>
        <x:v>0</x:v>
      </x:c>
    </x:row>
    <x:row r="161">
      <x:c r="E161" t="n">
        <x:f>IFERROR(C161/(C161+D161)*100,0)</x:f>
        <x:v>0</x:v>
      </x:c>
    </x:row>
    <x:row r="162">
      <x:c r="E162" t="n">
        <x:f>IFERROR(C162/(C162+D162)*100,0)</x:f>
        <x:v>0</x:v>
      </x:c>
    </x:row>
    <x:row r="163">
      <x:c r="E163" t="n">
        <x:f>IFERROR(C163/(C163+D163)*100,0)</x:f>
        <x:v>0</x:v>
      </x:c>
    </x:row>
    <x:row r="164">
      <x:c r="E164" t="n">
        <x:f>IFERROR(C164/(C164+D164)*100,0)</x:f>
        <x:v>0</x:v>
      </x:c>
    </x:row>
    <x:row r="165">
      <x:c r="E165" t="n">
        <x:f>IFERROR(C165/(C165+D165)*100,0)</x:f>
        <x:v>0</x:v>
      </x:c>
    </x:row>
    <x:row r="166">
      <x:c r="E166" t="n">
        <x:f>IFERROR(C166/(C166+D166)*100,0)</x:f>
        <x:v>0</x:v>
      </x:c>
    </x:row>
    <x:row r="167">
      <x:c r="E167" t="n">
        <x:f>IFERROR(C167/(C167+D167)*100,0)</x:f>
        <x:v>0</x:v>
      </x:c>
    </x:row>
    <x:row r="168">
      <x:c r="E168" t="n">
        <x:f>IFERROR(C168/(C168+D168)*100,0)</x:f>
        <x:v>0</x:v>
      </x:c>
    </x:row>
    <x:row r="169">
      <x:c r="E169" t="n">
        <x:f>IFERROR(C169/(C169+D169)*100,0)</x:f>
        <x:v>0</x:v>
      </x:c>
    </x:row>
    <x:row r="170">
      <x:c r="E170" t="n">
        <x:f>IFERROR(C170/(C170+D170)*100,0)</x:f>
        <x:v>0</x:v>
      </x:c>
    </x:row>
    <x:row r="171">
      <x:c r="E171" t="n">
        <x:f>IFERROR(C171/(C171+D171)*100,0)</x:f>
        <x:v>0</x:v>
      </x:c>
    </x:row>
    <x:row r="172">
      <x:c r="E172" t="n">
        <x:f>IFERROR(C172/(C172+D172)*100,0)</x:f>
        <x:v>0</x:v>
      </x:c>
    </x:row>
    <x:row r="173">
      <x:c r="E173" t="n">
        <x:f>IFERROR(C173/(C173+D173)*100,0)</x:f>
        <x:v>0</x:v>
      </x:c>
    </x:row>
    <x:row r="174">
      <x:c r="E174" t="n">
        <x:f>IFERROR(C174/(C174+D174)*100,0)</x:f>
        <x:v>0</x:v>
      </x:c>
    </x:row>
    <x:row r="175">
      <x:c r="E175" t="n">
        <x:f>IFERROR(C175/(C175+D175)*100,0)</x:f>
        <x:v>0</x:v>
      </x:c>
    </x:row>
    <x:row r="176">
      <x:c r="E176" t="n">
        <x:f>IFERROR(C176/(C176+D176)*100,0)</x:f>
        <x:v>0</x:v>
      </x:c>
    </x:row>
    <x:row r="177">
      <x:c r="E177" t="n">
        <x:f>IFERROR(C177/(C177+D177)*100,0)</x:f>
        <x:v>0</x:v>
      </x:c>
    </x:row>
    <x:row r="178">
      <x:c r="E178" t="n">
        <x:f>IFERROR(C178/(C178+D178)*100,0)</x:f>
        <x:v>0</x:v>
      </x:c>
    </x:row>
    <x:row r="179">
      <x:c r="E179" t="n">
        <x:f>IFERROR(C179/(C179+D179)*100,0)</x:f>
        <x:v>0</x:v>
      </x:c>
    </x:row>
    <x:row r="180">
      <x:c r="E180" t="n">
        <x:f>IFERROR(C180/(C180+D180)*100,0)</x:f>
        <x:v>0</x:v>
      </x:c>
    </x:row>
    <x:row r="181">
      <x:c r="E181" t="n">
        <x:f>IFERROR(C181/(C181+D181)*100,0)</x:f>
        <x:v>0</x:v>
      </x:c>
    </x:row>
    <x:row r="182">
      <x:c r="E182" t="n">
        <x:f>IFERROR(C182/(C182+D182)*100,0)</x:f>
        <x:v>0</x:v>
      </x:c>
    </x:row>
    <x:row r="183">
      <x:c r="E183" t="n">
        <x:f>IFERROR(C183/(C183+D183)*100,0)</x:f>
        <x:v>0</x:v>
      </x:c>
    </x:row>
    <x:row r="184">
      <x:c r="E184" t="n">
        <x:f>IFERROR(C184/(C184+D184)*100,0)</x:f>
        <x:v>0</x:v>
      </x:c>
    </x:row>
    <x:row r="185">
      <x:c r="E185" t="n">
        <x:f>IFERROR(C185/(C185+D185)*100,0)</x:f>
        <x:v>0</x:v>
      </x:c>
    </x:row>
    <x:row r="186">
      <x:c r="E186" t="n">
        <x:f>IFERROR(C186/(C186+D186)*100,0)</x:f>
        <x:v>0</x:v>
      </x:c>
    </x:row>
    <x:row r="187">
      <x:c r="E187" t="n">
        <x:f>IFERROR(C187/(C187+D187)*100,0)</x:f>
        <x:v>0</x:v>
      </x:c>
    </x:row>
    <x:row r="188">
      <x:c r="E188" t="n">
        <x:f>IFERROR(C188/(C188+D188)*100,0)</x:f>
        <x:v>0</x:v>
      </x:c>
    </x:row>
    <x:row r="189">
      <x:c r="E189" t="n">
        <x:f>IFERROR(C189/(C189+D189)*100,0)</x:f>
        <x:v>0</x:v>
      </x:c>
    </x:row>
    <x:row r="190">
      <x:c r="E190" t="n">
        <x:f>IFERROR(C190/(C190+D190)*100,0)</x:f>
        <x:v>0</x:v>
      </x:c>
    </x:row>
    <x:row r="191">
      <x:c r="E191" t="n">
        <x:f>IFERROR(C191/(C191+D191)*100,0)</x:f>
        <x:v>0</x:v>
      </x:c>
    </x:row>
    <x:row r="192">
      <x:c r="E192" t="n">
        <x:f>IFERROR(C192/(C192+D192)*100,0)</x:f>
        <x:v>0</x:v>
      </x:c>
    </x:row>
    <x:row r="193">
      <x:c r="E193" t="n">
        <x:f>IFERROR(C193/(C193+D193)*100,0)</x:f>
        <x:v>0</x:v>
      </x:c>
    </x:row>
    <x:row r="194">
      <x:c r="E194" t="n">
        <x:f>IFERROR(C194/(C194+D194)*100,0)</x:f>
        <x:v>0</x:v>
      </x:c>
    </x:row>
    <x:row r="195">
      <x:c r="E195" t="n">
        <x:f>IFERROR(C195/(C195+D195)*100,0)</x:f>
        <x:v>0</x:v>
      </x:c>
    </x:row>
    <x:row r="196">
      <x:c r="E196" t="n">
        <x:f>IFERROR(C196/(C196+D196)*100,0)</x:f>
        <x:v>0</x:v>
      </x:c>
    </x:row>
    <x:row r="197">
      <x:c r="E197" t="n">
        <x:f>IFERROR(C197/(C197+D197)*100,0)</x:f>
        <x:v>0</x:v>
      </x:c>
    </x:row>
    <x:row r="198">
      <x:c r="E198" t="n">
        <x:f>IFERROR(C198/(C198+D198)*100,0)</x:f>
        <x:v>0</x:v>
      </x:c>
    </x:row>
    <x:row r="199">
      <x:c r="E199" t="n">
        <x:f>IFERROR(C199/(C199+D199)*100,0)</x:f>
        <x:v>0</x:v>
      </x:c>
    </x:row>
    <x:row r="200">
      <x:c r="E200" t="n">
        <x:f>IFERROR(C200/(C200+D200)*100,0)</x:f>
        <x:v>0</x:v>
      </x:c>
    </x:row>
    <x:row r="201">
      <x:c r="E201" t="n">
        <x:f>IFERROR(C201/(C201+D201)*100,0)</x:f>
        <x:v>0</x:v>
      </x:c>
    </x:row>
    <x:row r="202">
      <x:c r="E202" t="n">
        <x:f>IFERROR(C202/(C202+D202)*100,0)</x:f>
        <x:v>0</x:v>
      </x:c>
    </x:row>
    <x:row r="203">
      <x:c r="E203" t="n">
        <x:f>IFERROR(C203/(C203+D203)*100,0)</x:f>
        <x:v>0</x:v>
      </x:c>
    </x:row>
    <x:row r="204">
      <x:c r="E204" t="n">
        <x:f>IFERROR(C204/(C204+D204)*100,0)</x:f>
        <x:v>0</x:v>
      </x:c>
    </x:row>
    <x:row r="205">
      <x:c r="E205" t="n">
        <x:f>IFERROR(C205/(C205+D205)*100,0)</x:f>
        <x:v>0</x:v>
      </x:c>
    </x:row>
    <x:row r="206">
      <x:c r="E206" t="n">
        <x:f>IFERROR(C206/(C206+D206)*100,0)</x:f>
        <x:v>0</x:v>
      </x:c>
    </x:row>
    <x:row r="207">
      <x:c r="E207" t="n">
        <x:f>IFERROR(C207/(C207+D207)*100,0)</x:f>
        <x:v>0</x:v>
      </x:c>
    </x:row>
    <x:row r="208">
      <x:c r="E208" t="n">
        <x:f>IFERROR(C208/(C208+D208)*100,0)</x:f>
        <x:v>0</x:v>
      </x:c>
    </x:row>
    <x:row r="209">
      <x:c r="E209" t="n">
        <x:f>IFERROR(C209/(C209+D209)*100,0)</x:f>
        <x:v>0</x:v>
      </x:c>
    </x:row>
    <x:row r="210">
      <x:c r="E210" t="n">
        <x:f>IFERROR(C210/(C210+D210)*100,0)</x:f>
        <x:v>0</x:v>
      </x:c>
    </x:row>
    <x:row r="211">
      <x:c r="E211" t="n">
        <x:f>IFERROR(C211/(C211+D211)*100,0)</x:f>
        <x:v>0</x:v>
      </x:c>
    </x:row>
    <x:row r="212">
      <x:c r="E212" t="n">
        <x:f>IFERROR(C212/(C212+D212)*100,0)</x:f>
        <x:v>0</x:v>
      </x:c>
    </x:row>
    <x:row r="213">
      <x:c r="E213" t="n">
        <x:f>IFERROR(C213/(C213+D213)*100,0)</x:f>
        <x:v>0</x:v>
      </x:c>
    </x:row>
    <x:row r="214">
      <x:c r="E214" t="n">
        <x:f>IFERROR(C214/(C214+D214)*100,0)</x:f>
        <x:v>0</x:v>
      </x:c>
    </x:row>
    <x:row r="215">
      <x:c r="E215" t="n">
        <x:f>IFERROR(C215/(C215+D215)*100,0)</x:f>
        <x:v>0</x:v>
      </x:c>
    </x:row>
    <x:row r="216">
      <x:c r="E216" t="n">
        <x:f>IFERROR(C216/(C216+D216)*100,0)</x:f>
        <x:v>0</x:v>
      </x:c>
    </x:row>
    <x:row r="217">
      <x:c r="E217" t="n">
        <x:f>IFERROR(C217/(C217+D217)*100,0)</x:f>
        <x:v>0</x:v>
      </x:c>
    </x:row>
    <x:row r="218">
      <x:c r="E218" t="n">
        <x:f>IFERROR(C218/(C218+D218)*100,0)</x:f>
        <x:v>0</x:v>
      </x:c>
    </x:row>
    <x:row r="219">
      <x:c r="E219" t="n">
        <x:f>IFERROR(C219/(C219+D219)*100,0)</x:f>
        <x:v>0</x:v>
      </x:c>
    </x:row>
    <x:row r="220">
      <x:c r="E220" t="n">
        <x:f>IFERROR(C220/(C220+D220)*100,0)</x:f>
        <x:v>0</x:v>
      </x:c>
    </x:row>
    <x:row r="221">
      <x:c r="E221" t="n">
        <x:f>IFERROR(C221/(C221+D221)*100,0)</x:f>
        <x:v>0</x:v>
      </x:c>
    </x:row>
    <x:row r="222">
      <x:c r="E222" t="n">
        <x:f>IFERROR(C222/(C222+D222)*100,0)</x:f>
        <x:v>0</x:v>
      </x:c>
    </x:row>
    <x:row r="223">
      <x:c r="E223" t="n">
        <x:f>IFERROR(C223/(C223+D223)*100,0)</x:f>
        <x:v>0</x:v>
      </x:c>
    </x:row>
    <x:row r="224">
      <x:c r="E224" t="n">
        <x:f>IFERROR(C224/(C224+D224)*100,0)</x:f>
        <x:v>0</x:v>
      </x:c>
    </x:row>
    <x:row r="225">
      <x:c r="E225" t="n">
        <x:f>IFERROR(C225/(C225+D225)*100,0)</x:f>
        <x:v>0</x:v>
      </x:c>
    </x:row>
    <x:row r="226">
      <x:c r="E226" t="n">
        <x:f>IFERROR(C226/(C226+D226)*100,0)</x:f>
        <x:v>0</x:v>
      </x:c>
    </x:row>
    <x:row r="227">
      <x:c r="E227" t="n">
        <x:f>IFERROR(C227/(C227+D227)*100,0)</x:f>
        <x:v>0</x:v>
      </x:c>
    </x:row>
    <x:row r="228">
      <x:c r="E228" t="n">
        <x:f>IFERROR(C228/(C228+D228)*100,0)</x:f>
        <x:v>0</x:v>
      </x:c>
    </x:row>
    <x:row r="229">
      <x:c r="E229" t="n">
        <x:f>IFERROR(C229/(C229+D229)*100,0)</x:f>
        <x:v>0</x:v>
      </x:c>
    </x:row>
    <x:row r="230">
      <x:c r="E230" t="n">
        <x:f>IFERROR(C230/(C230+D230)*100,0)</x:f>
        <x:v>0</x:v>
      </x:c>
    </x:row>
    <x:row r="231">
      <x:c r="E231" t="n">
        <x:f>IFERROR(C231/(C231+D231)*100,0)</x:f>
        <x:v>0</x:v>
      </x:c>
    </x:row>
    <x:row r="232">
      <x:c r="E232" t="n">
        <x:f>IFERROR(C232/(C232+D232)*100,0)</x:f>
        <x:v>0</x:v>
      </x:c>
    </x:row>
    <x:row r="233">
      <x:c r="E233" t="n">
        <x:f>IFERROR(C233/(C233+D233)*100,0)</x:f>
        <x:v>0</x:v>
      </x:c>
    </x:row>
    <x:row r="234">
      <x:c r="E234" t="n">
        <x:f>IFERROR(C234/(C234+D234)*100,0)</x:f>
        <x:v>0</x:v>
      </x:c>
    </x:row>
    <x:row r="235">
      <x:c r="E235" t="n">
        <x:f>IFERROR(C235/(C235+D235)*100,0)</x:f>
        <x:v>0</x:v>
      </x:c>
    </x:row>
    <x:row r="236">
      <x:c r="E236" t="n">
        <x:f>IFERROR(C236/(C236+D236)*100,0)</x:f>
        <x:v>0</x:v>
      </x:c>
    </x:row>
    <x:row r="237">
      <x:c r="E237" t="n">
        <x:f>IFERROR(C237/(C237+D237)*100,0)</x:f>
        <x:v>0</x:v>
      </x:c>
    </x:row>
    <x:row r="238">
      <x:c r="E238" t="n">
        <x:f>IFERROR(C238/(C238+D238)*100,0)</x:f>
        <x:v>0</x:v>
      </x:c>
    </x:row>
    <x:row r="239">
      <x:c r="E239" t="n">
        <x:f>IFERROR(C239/(C239+D239)*100,0)</x:f>
        <x:v>0</x:v>
      </x:c>
    </x:row>
    <x:row r="240">
      <x:c r="E240" t="n">
        <x:f>IFERROR(C240/(C240+D240)*100,0)</x:f>
        <x:v>0</x:v>
      </x:c>
    </x:row>
    <x:row r="241">
      <x:c r="E241" t="n">
        <x:f>IFERROR(C241/(C241+D241)*100,0)</x:f>
        <x:v>0</x:v>
      </x:c>
    </x:row>
    <x:row r="242">
      <x:c r="E242" t="n">
        <x:f>IFERROR(C242/(C242+D242)*100,0)</x:f>
        <x:v>0</x:v>
      </x:c>
    </x:row>
    <x:row r="243">
      <x:c r="E243" t="n">
        <x:f>IFERROR(C243/(C243+D243)*100,0)</x:f>
        <x:v>0</x:v>
      </x:c>
    </x:row>
    <x:row r="244">
      <x:c r="E244" t="n">
        <x:f>IFERROR(C244/(C244+D244)*100,0)</x:f>
        <x:v>0</x:v>
      </x:c>
    </x:row>
    <x:row r="245">
      <x:c r="E245" t="n">
        <x:f>IFERROR(C245/(C245+D245)*100,0)</x:f>
        <x:v>0</x:v>
      </x:c>
    </x:row>
    <x:row r="246">
      <x:c r="E246" t="n">
        <x:f>IFERROR(C246/(C246+D246)*100,0)</x:f>
        <x:v>0</x:v>
      </x:c>
    </x:row>
    <x:row r="247">
      <x:c r="E247" t="n">
        <x:f>IFERROR(C247/(C247+D247)*100,0)</x:f>
        <x:v>0</x:v>
      </x:c>
    </x:row>
    <x:row r="248">
      <x:c r="E248" t="n">
        <x:f>IFERROR(C248/(C248+D248)*100,0)</x:f>
        <x:v>0</x:v>
      </x:c>
    </x:row>
    <x:row r="249">
      <x:c r="E249" t="n">
        <x:f>IFERROR(C249/(C249+D249)*100,0)</x:f>
        <x:v>0</x:v>
      </x:c>
    </x:row>
    <x:row r="250">
      <x:c r="E250" t="n">
        <x:f>IFERROR(C250/(C250+D250)*100,0)</x:f>
        <x:v>0</x:v>
      </x:c>
    </x:row>
    <x:row r="251">
      <x:c r="E251" t="n">
        <x:f>IFERROR(C251/(C251+D251)*100,0)</x:f>
        <x:v>0</x:v>
      </x:c>
    </x:row>
    <x:row r="252">
      <x:c r="E252" t="n">
        <x:f>IFERROR(C252/(C252+D252)*100,0)</x:f>
        <x:v>0</x:v>
      </x:c>
    </x:row>
    <x:row r="253">
      <x:c r="E253" t="n">
        <x:f>IFERROR(C253/(C253+D253)*100,0)</x:f>
        <x:v>0</x:v>
      </x:c>
    </x:row>
    <x:row r="254">
      <x:c r="E254" t="n">
        <x:f>IFERROR(C254/(C254+D254)*100,0)</x:f>
        <x:v>0</x:v>
      </x:c>
    </x:row>
    <x:row r="255">
      <x:c r="E255" t="n">
        <x:f>IFERROR(C255/(C255+D255)*100,0)</x:f>
        <x:v>0</x:v>
      </x:c>
    </x:row>
    <x:row r="256">
      <x:c r="E256" t="n">
        <x:f>IFERROR(C256/(C256+D256)*100,0)</x:f>
        <x:v>0</x:v>
      </x:c>
    </x:row>
    <x:row r="257">
      <x:c r="E257" t="n">
        <x:f>IFERROR(C257/(C257+D257)*100,0)</x:f>
        <x:v>0</x:v>
      </x:c>
    </x:row>
    <x:row r="258">
      <x:c r="E258" t="n">
        <x:f>IFERROR(C258/(C258+D258)*100,0)</x:f>
        <x:v>0</x:v>
      </x:c>
    </x:row>
    <x:row r="259">
      <x:c r="E259" t="n">
        <x:f>IFERROR(C259/(C259+D259)*100,0)</x:f>
        <x:v>0</x:v>
      </x:c>
    </x:row>
    <x:row r="260">
      <x:c r="E260" t="n">
        <x:f>IFERROR(C260/(C260+D260)*100,0)</x:f>
        <x:v>0</x:v>
      </x:c>
    </x:row>
    <x:row r="261">
      <x:c r="E261" t="n">
        <x:f>IFERROR(C261/(C261+D261)*100,0)</x:f>
        <x:v>0</x:v>
      </x:c>
    </x:row>
    <x:row r="262">
      <x:c r="E262" t="n">
        <x:f>IFERROR(C262/(C262+D262)*100,0)</x:f>
        <x:v>0</x:v>
      </x:c>
    </x:row>
    <x:row r="263">
      <x:c r="E263" t="n">
        <x:f>IFERROR(C263/(C263+D263)*100,0)</x:f>
        <x:v>0</x:v>
      </x:c>
    </x:row>
    <x:row r="264">
      <x:c r="E264" t="n">
        <x:f>IFERROR(C264/(C264+D264)*100,0)</x:f>
        <x:v>0</x:v>
      </x:c>
    </x:row>
    <x:row r="265">
      <x:c r="E265" t="n">
        <x:f>IFERROR(C265/(C265+D265)*100,0)</x:f>
        <x:v>0</x:v>
      </x:c>
    </x:row>
    <x:row r="266">
      <x:c r="E266" t="n">
        <x:f>IFERROR(C266/(C266+D266)*100,0)</x:f>
        <x:v>0</x:v>
      </x:c>
    </x:row>
    <x:row r="267">
      <x:c r="E267" t="n">
        <x:f>IFERROR(C267/(C267+D267)*100,0)</x:f>
        <x:v>0</x:v>
      </x:c>
    </x:row>
    <x:row r="268">
      <x:c r="E268" t="n">
        <x:f>IFERROR(C268/(C268+D268)*100,0)</x:f>
        <x:v>0</x:v>
      </x:c>
    </x:row>
    <x:row r="269">
      <x:c r="E269" t="n">
        <x:f>IFERROR(C269/(C269+D269)*100,0)</x:f>
        <x:v>0</x:v>
      </x:c>
    </x:row>
    <x:row r="270">
      <x:c r="E270" t="n">
        <x:f>IFERROR(C270/(C270+D270)*100,0)</x:f>
        <x:v>0</x:v>
      </x:c>
    </x:row>
    <x:row r="271">
      <x:c r="E271" t="n">
        <x:f>IFERROR(C271/(C271+D271)*100,0)</x:f>
        <x:v>0</x:v>
      </x:c>
    </x:row>
    <x:row r="272">
      <x:c r="E272" t="n">
        <x:f>IFERROR(C272/(C272+D272)*100,0)</x:f>
        <x:v>0</x:v>
      </x:c>
    </x:row>
    <x:row r="273">
      <x:c r="E273" t="n">
        <x:f>IFERROR(C273/(C273+D273)*100,0)</x:f>
        <x:v>0</x:v>
      </x:c>
    </x:row>
    <x:row r="274">
      <x:c r="E274" t="n">
        <x:f>IFERROR(C274/(C274+D274)*100,0)</x:f>
        <x:v>0</x:v>
      </x:c>
    </x:row>
    <x:row r="275">
      <x:c r="E275" t="n">
        <x:f>IFERROR(C275/(C275+D275)*100,0)</x:f>
        <x:v>0</x:v>
      </x:c>
    </x:row>
    <x:row r="276">
      <x:c r="E276" t="n">
        <x:f>IFERROR(C276/(C276+D276)*100,0)</x:f>
        <x:v>0</x:v>
      </x:c>
    </x:row>
    <x:row r="277">
      <x:c r="E277" t="n">
        <x:f>IFERROR(C277/(C277+D277)*100,0)</x:f>
        <x:v>0</x:v>
      </x:c>
    </x:row>
    <x:row r="278">
      <x:c r="E278" t="n">
        <x:f>IFERROR(C278/(C278+D278)*100,0)</x:f>
        <x:v>0</x:v>
      </x:c>
    </x:row>
    <x:row r="279">
      <x:c r="E279" t="n">
        <x:f>IFERROR(C279/(C279+D279)*100,0)</x:f>
        <x:v>0</x:v>
      </x:c>
    </x:row>
    <x:row r="280">
      <x:c r="E280" t="n">
        <x:f>IFERROR(C280/(C280+D280)*100,0)</x:f>
        <x:v>0</x:v>
      </x:c>
    </x:row>
    <x:row r="281">
      <x:c r="E281" t="n">
        <x:f>IFERROR(C281/(C281+D281)*100,0)</x:f>
        <x:v>0</x:v>
      </x:c>
    </x:row>
    <x:row r="282">
      <x:c r="E282" t="n">
        <x:f>IFERROR(C282/(C282+D282)*100,0)</x:f>
        <x:v>0</x:v>
      </x:c>
    </x:row>
    <x:row r="283">
      <x:c r="E283" t="n">
        <x:f>IFERROR(C283/(C283+D283)*100,0)</x:f>
        <x:v>0</x:v>
      </x:c>
    </x:row>
    <x:row r="284">
      <x:c r="E284" t="n">
        <x:f>IFERROR(C284/(C284+D284)*100,0)</x:f>
        <x:v>0</x:v>
      </x:c>
    </x:row>
    <x:row r="285">
      <x:c r="E285" t="n">
        <x:f>IFERROR(C285/(C285+D285)*100,0)</x:f>
        <x:v>0</x:v>
      </x:c>
    </x:row>
    <x:row r="286">
      <x:c r="E286" t="n">
        <x:f>IFERROR(C286/(C286+D286)*100,0)</x:f>
        <x:v>0</x:v>
      </x:c>
    </x:row>
    <x:row r="287">
      <x:c r="E287" t="n">
        <x:f>IFERROR(C287/(C287+D287)*100,0)</x:f>
        <x:v>0</x:v>
      </x:c>
    </x:row>
    <x:row r="288">
      <x:c r="E288" t="n">
        <x:f>IFERROR(C288/(C288+D288)*100,0)</x:f>
        <x:v>0</x:v>
      </x:c>
    </x:row>
    <x:row r="289">
      <x:c r="E289" t="n">
        <x:f>IFERROR(C289/(C289+D289)*100,0)</x:f>
        <x:v>0</x:v>
      </x:c>
    </x:row>
    <x:row r="290">
      <x:c r="E290" t="n">
        <x:f>IFERROR(C290/(C290+D290)*100,0)</x:f>
        <x:v>0</x:v>
      </x:c>
    </x:row>
    <x:row r="291">
      <x:c r="E291" t="n">
        <x:f>IFERROR(C291/(C291+D291)*100,0)</x:f>
        <x:v>0</x:v>
      </x:c>
    </x:row>
    <x:row r="292">
      <x:c r="E292" t="n">
        <x:f>IFERROR(C292/(C292+D292)*100,0)</x:f>
        <x:v>0</x:v>
      </x:c>
    </x:row>
    <x:row r="293">
      <x:c r="E293" t="n">
        <x:f>IFERROR(C293/(C293+D293)*100,0)</x:f>
        <x:v>0</x:v>
      </x:c>
    </x:row>
    <x:row r="294">
      <x:c r="E294" t="n">
        <x:f>IFERROR(C294/(C294+D294)*100,0)</x:f>
        <x:v>0</x:v>
      </x:c>
    </x:row>
    <x:row r="295">
      <x:c r="E295" t="n">
        <x:f>IFERROR(C295/(C295+D295)*100,0)</x:f>
        <x:v>0</x:v>
      </x:c>
    </x:row>
    <x:row r="296">
      <x:c r="E296" t="n">
        <x:f>IFERROR(C296/(C296+D296)*100,0)</x:f>
        <x:v>0</x:v>
      </x:c>
    </x:row>
    <x:row r="297">
      <x:c r="E297" t="n">
        <x:f>IFERROR(C297/(C297+D297)*100,0)</x:f>
        <x:v>0</x:v>
      </x:c>
    </x:row>
    <x:row r="298">
      <x:c r="E298" t="n">
        <x:f>IFERROR(C298/(C298+D298)*100,0)</x:f>
        <x:v>0</x:v>
      </x:c>
    </x:row>
    <x:row r="299">
      <x:c r="E299" t="n">
        <x:f>IFERROR(C299/(C299+D299)*100,0)</x:f>
        <x:v>0</x:v>
      </x:c>
    </x:row>
    <x:row r="300">
      <x:c r="E300" t="n">
        <x:f>IFERROR(C300/(C300+D300)*100,0)</x:f>
        <x:v>0</x:v>
      </x:c>
    </x:row>
    <x:row r="301">
      <x:c r="E301" t="n">
        <x:f>IFERROR(C301/(C301+D301)*100,0)</x:f>
        <x:v>0</x:v>
      </x:c>
    </x:row>
    <x:row r="302">
      <x:c r="E302" t="n">
        <x:f>IFERROR(C302/(C302+D302)*100,0)</x:f>
        <x:v>0</x:v>
      </x:c>
    </x:row>
    <x:row r="303">
      <x:c r="E303" t="n">
        <x:f>IFERROR(C303/(C303+D303)*100,0)</x:f>
        <x:v>0</x:v>
      </x:c>
    </x:row>
  </x:sheetData>
  <x:mergeCells>
    <x:mergeCell ref="A1:H1"/>
  </x:mergeCells>
  <x:conditionalFormatting sqref="E4:E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{70E1B1B3-01E5-5B62-B5F0-755DF160CC24}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8893041887f465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0E1B1B3-01E5-5B62-B5F0-755DF160CC24}">
            <x14:dataBar gradient="1">
              <x14:cfvo type="min"/>
              <x14:cfvo type="max"/>
              <x14:fillColor rgb="FFB91C1C"/>
            </x14:dataBar>
          </x14:cfRule>
          <xm:sqref>E4:E303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4" t="str">
        <x:v>Detection Engineering Planner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data with approved organizational or lab information.</x:v>
      </x:c>
    </x:row>
    <x:row r="5">
      <x:c r="A5" s="20" t="n">
        <x:v>2</x:v>
      </x:c>
      <x:c r="B5" s="20" t="str">
        <x:v>Define roles, severity, confidence, evidence, and escalation terms before operational use.</x:v>
      </x:c>
    </x:row>
    <x:row r="6">
      <x:c r="A6" s="20" t="n">
        <x:v>3</x:v>
      </x:c>
      <x:c r="B6" s="20" t="str">
        <x:v>Store sensitive evidence and indicators in approved restricted systems.</x:v>
      </x:c>
    </x:row>
    <x:row r="7">
      <x:c r="A7" s="20" t="n">
        <x:v>4</x:v>
      </x:c>
      <x:c r="B7" s="20" t="str">
        <x:v>Preserve chain-of-custody, authorization, and audit requirements for investigations.</x:v>
      </x:c>
    </x:row>
    <x:row r="8">
      <x:c r="A8" s="20" t="n">
        <x:v>5</x:v>
      </x:c>
      <x:c r="B8" s="20" t="str">
        <x:v>Review critical decisions with security, legal, privacy, leadership, and business owners.</x:v>
      </x:c>
    </x:row>
    <x:row r="9">
      <x:c r="A9" s="20" t="n">
        <x:v>6</x:v>
      </x:c>
      <x:c r="B9" s="20" t="str">
        <x:v>Use the dashboards for decision support rather than as a substitute for professional judgment.</x:v>
      </x:c>
    </x:row>
    <x:row r="10">
      <x:c r="A10" s="20" t="n">
        <x:v>7</x:v>
      </x:c>
      <x:c r="B10" s="20" t="str">
        <x:v>Validate formal obligations against current laws, contracts, policies, and authoritative standards.</x:v>
      </x:c>
    </x:row>
  </x:sheetData>
  <x:mergeCells>
    <x:mergeCell ref="A1:H1"/>
  </x:mergeCells>
  <x:pageMargins left="0.7" right="0.7" top="0.75" bottom="0.75" header="0.3" footer="0.3"/>
</x:worksheet>
</file>