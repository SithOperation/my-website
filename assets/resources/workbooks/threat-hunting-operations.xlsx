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f418b96c5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d4e82028324022"/>
    <x:sheet xmlns:r="http://schemas.openxmlformats.org/officeDocument/2006/relationships" name="Hunt Register" sheetId="2" r:id="R60e8a2f3cd244552"/>
    <x:sheet xmlns:r="http://schemas.openxmlformats.org/officeDocument/2006/relationships" name="Hunt Execution" sheetId="3" r:id="R66f45dfb5d4242be"/>
    <x:sheet xmlns:r="http://schemas.openxmlformats.org/officeDocument/2006/relationships" name="Findings" sheetId="4" r:id="R3fee8aea23e747e9"/>
    <x:sheet xmlns:r="http://schemas.openxmlformats.org/officeDocument/2006/relationships" name="Detection Opportunities" sheetId="5" r:id="R066b572d8fb3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4d013b60948d1" /><Relationship Type="http://schemas.openxmlformats.org/officeDocument/2006/relationships/theme" Target="/xl/theme/theme1.xml" Id="Ree1ca5ce635e4e06" /><Relationship Type="http://schemas.openxmlformats.org/officeDocument/2006/relationships/sharedStrings" Target="/xl/sharedStrings.xml" Id="R0adbf1631d554ca4" /><Relationship Type="http://schemas.openxmlformats.org/officeDocument/2006/relationships/worksheet" Target="/xl/worksheets/sheet1.xml" Id="R4ad4e82028324022" /><Relationship Type="http://schemas.openxmlformats.org/officeDocument/2006/relationships/worksheet" Target="/xl/worksheets/sheet2.xml" Id="R60e8a2f3cd244552" /><Relationship Type="http://schemas.openxmlformats.org/officeDocument/2006/relationships/worksheet" Target="/xl/worksheets/sheet3.xml" Id="R66f45dfb5d4242be" /><Relationship Type="http://schemas.openxmlformats.org/officeDocument/2006/relationships/worksheet" Target="/xl/worksheets/sheet4.xml" Id="R3fee8aea23e747e9" /><Relationship Type="http://schemas.openxmlformats.org/officeDocument/2006/relationships/worksheet" Target="/xl/worksheets/sheet5.xml" Id="R066b572d8fb34d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3" t="str">
        <x:v>Threat Hunting Operations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</x:row>
    <x:row r="4">
      <x:c r="A4" t="str">
        <x:v>Hunts</x:v>
      </x:c>
      <x:c r="B4" t="n">
        <x:f>COUNTIF('Hunt Register'!A4:A303,"&lt;&gt;")</x:f>
        <x:v>4</x:v>
      </x:c>
    </x:row>
    <x:row r="5">
      <x:c r="A5" t="str">
        <x:v>Hunts In Progress</x:v>
      </x:c>
      <x:c r="B5" t="n">
        <x:f>COUNTIF('Hunt Register'!J4:J303,"In Progress")</x:f>
        <x:v>2</x:v>
      </x:c>
    </x:row>
    <x:row r="6">
      <x:c r="A6" t="str">
        <x:v>Completed Hunts</x:v>
      </x:c>
      <x:c r="B6" t="n">
        <x:f>COUNTIF('Hunt Register'!J4:J303,"Complete")</x:f>
        <x:v>2</x:v>
      </x:c>
    </x:row>
    <x:row r="7">
      <x:c r="A7" t="str">
        <x:v>Queries Executed</x:v>
      </x:c>
      <x:c r="B7" t="n">
        <x:f>COUNTIF('Hunt Execution'!A4:A303,"&lt;&gt;")</x:f>
        <x:v>2</x:v>
      </x:c>
    </x:row>
    <x:row r="8">
      <x:c r="A8" t="str">
        <x:v>Material Findings</x:v>
      </x:c>
      <x:c r="B8" t="n">
        <x:f>COUNTIF(Findings!H4:H303,"Material")+COUNTIF(Findings!H4:H303,"Critical")</x:f>
        <x:v>1</x:v>
      </x:c>
    </x:row>
    <x:row r="9">
      <x:c r="A9" t="str">
        <x:v>Detection Opportunities</x:v>
      </x:c>
      <x:c r="B9" t="n">
        <x:f>COUNTIF('Detection Opportunities'!A4:A303,"&lt;&gt;")</x:f>
        <x:v>2</x:v>
      </x:c>
    </x:row>
    <x:row r="10">
      <x:c r="A10" t="str">
        <x:v>Open Actions</x:v>
      </x:c>
      <x:c r="B10" t="n">
        <x:f>COUNTIFS('Detection Opportunities'!A4:A303,"&lt;&gt;",'Detection Opportunities'!H4:H303,"&lt;&gt;Complete")</x:f>
        <x:v>2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Hunt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0" t="str">
        <x:v>Hunt ID</x:v>
      </x:c>
      <x:c r="B3" s="10" t="str">
        <x:v>Hypothesis</x:v>
      </x:c>
      <x:c r="C3" s="10" t="str">
        <x:v>Threat Focus</x:v>
      </x:c>
      <x:c r="D3" s="10" t="str">
        <x:v>Technique Mapping</x:v>
      </x:c>
      <x:c r="E3" s="10" t="str">
        <x:v>Business Scope</x:v>
      </x:c>
      <x:c r="F3" s="10" t="str">
        <x:v>Priority</x:v>
      </x:c>
      <x:c r="G3" s="10" t="str">
        <x:v>Lead</x:v>
      </x:c>
      <x:c r="H3" s="10" t="str">
        <x:v>Start Date</x:v>
      </x:c>
      <x:c r="I3" s="10" t="str">
        <x:v>End Date</x:v>
      </x:c>
      <x:c r="J3" s="10" t="str">
        <x:v>Status</x:v>
      </x:c>
      <x:c r="K3" s="10" t="str">
        <x:v>Outcome</x:v>
      </x:c>
      <x:c r="L3" s="10" t="str">
        <x:v>Notes</x:v>
      </x:c>
    </x:row>
    <x:row r="4">
      <x:c r="A4" s="16" t="str">
        <x:v>HUNT-001</x:v>
      </x:c>
      <x:c r="B4" s="16" t="str">
        <x:v>Compromised accounts may use remote services outside approved admin paths</x:v>
      </x:c>
      <x:c r="C4" s="16" t="str">
        <x:v>Lateral Movement</x:v>
      </x:c>
      <x:c r="D4" s="16" t="str">
        <x:v>T1021</x:v>
      </x:c>
      <x:c r="E4" s="16" t="str">
        <x:v>Server environment</x:v>
      </x:c>
      <x:c r="F4" s="16" t="str">
        <x:v>High</x:v>
      </x:c>
      <x:c r="G4" s="16" t="str">
        <x:v>Threat Hunter A</x:v>
      </x:c>
      <x:c r="H4" s="16" t="n">
        <x:v>46174</x:v>
      </x:c>
      <x:c r="I4" s="16" t="n">
        <x:v>46185</x:v>
      </x:c>
      <x:c r="J4" s="16" t="str">
        <x:v>Complete</x:v>
      </x:c>
      <x:c r="K4" s="16" t="str">
        <x:v>Detection opportunity identified</x:v>
      </x:c>
      <x:c r="L4" s="16" t="str"/>
    </x:row>
    <x:row r="5">
      <x:c r="A5" s="16" t="str">
        <x:v>HUNT-002</x:v>
      </x:c>
      <x:c r="B5" s="16" t="str">
        <x:v>Rare PowerShell parents may indicate malicious execution</x:v>
      </x:c>
      <x:c r="C5" s="16" t="str">
        <x:v>Execution</x:v>
      </x:c>
      <x:c r="D5" s="16" t="str">
        <x:v>T1059</x:v>
      </x:c>
      <x:c r="E5" s="16" t="str">
        <x:v>Windows endpoints</x:v>
      </x:c>
      <x:c r="F5" s="16" t="str">
        <x:v>High</x:v>
      </x:c>
      <x:c r="G5" s="16" t="str">
        <x:v>Threat Hunter B</x:v>
      </x:c>
      <x:c r="H5" s="16" t="n">
        <x:v>46188</x:v>
      </x:c>
      <x:c r="I5" s="16" t="n">
        <x:v>46199</x:v>
      </x:c>
      <x:c r="J5" s="16" t="str">
        <x:v>Complete</x:v>
      </x:c>
      <x:c r="K5" s="16" t="str">
        <x:v>Two benign patterns and one suspicious case</x:v>
      </x:c>
      <x:c r="L5" s="16" t="str"/>
    </x:row>
    <x:row r="6">
      <x:c r="A6" s="16" t="str">
        <x:v>HUNT-003</x:v>
      </x:c>
      <x:c r="B6" s="16" t="str">
        <x:v>High-entropy DNS from managed endpoints may indicate tunneling</x:v>
      </x:c>
      <x:c r="C6" s="16" t="str">
        <x:v>Exfiltration</x:v>
      </x:c>
      <x:c r="D6" s="16" t="str">
        <x:v>T1041</x:v>
      </x:c>
      <x:c r="E6" s="16" t="str">
        <x:v>Enterprise network</x:v>
      </x:c>
      <x:c r="F6" s="16" t="str">
        <x:v>Critical</x:v>
      </x:c>
      <x:c r="G6" s="16" t="str">
        <x:v>Threat Hunter A</x:v>
      </x:c>
      <x:c r="H6" s="16" t="n">
        <x:v>46204</x:v>
      </x:c>
      <x:c r="I6" s="16"/>
      <x:c r="J6" s="16" t="str">
        <x:v>In Progress</x:v>
      </x:c>
      <x:c r="K6" s="16" t="str">
        <x:v>Pending</x:v>
      </x:c>
      <x:c r="L6" s="16" t="str"/>
    </x:row>
    <x:row r="7">
      <x:c r="A7" s="16" t="str">
        <x:v>HUNT-004</x:v>
      </x:c>
      <x:c r="B7" s="16" t="str">
        <x:v>Cloud service identities may hold unused high privileges</x:v>
      </x:c>
      <x:c r="C7" s="16" t="str">
        <x:v>Privilege Escalation</x:v>
      </x:c>
      <x:c r="D7" s="16" t="str">
        <x:v>Cloud IAM</x:v>
      </x:c>
      <x:c r="E7" s="16" t="str">
        <x:v>Cloud subscriptions</x:v>
      </x:c>
      <x:c r="F7" s="16" t="str">
        <x:v>High</x:v>
      </x:c>
      <x:c r="G7" s="16" t="str">
        <x:v>Threat Hunter C</x:v>
      </x:c>
      <x:c r="H7" s="16" t="n">
        <x:v>46211</x:v>
      </x:c>
      <x:c r="I7" s="16"/>
      <x:c r="J7" s="16" t="str">
        <x:v>In Progress</x:v>
      </x:c>
      <x:c r="K7" s="16" t="str">
        <x:v>Pending</x:v>
      </x:c>
      <x:c r="L7" s="16" t="str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Hunt Execution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Execution ID</x:v>
      </x:c>
      <x:c r="B3" s="10" t="str">
        <x:v>Hunt ID</x:v>
      </x:c>
      <x:c r="C3" s="10" t="str">
        <x:v>Data Source</x:v>
      </x:c>
      <x:c r="D3" s="10" t="str">
        <x:v>Query / Method</x:v>
      </x:c>
      <x:c r="E3" s="10" t="str">
        <x:v>Executed At</x:v>
      </x:c>
      <x:c r="F3" s="10" t="str">
        <x:v>Analyst</x:v>
      </x:c>
      <x:c r="G3" s="10" t="str">
        <x:v>Records Reviewed</x:v>
      </x:c>
      <x:c r="H3" s="10" t="str">
        <x:v>Matches</x:v>
      </x:c>
      <x:c r="I3" s="10" t="str">
        <x:v>Result</x:v>
      </x:c>
      <x:c r="J3" s="10" t="str">
        <x:v>Evidence</x:v>
      </x:c>
    </x:row>
    <x:row r="4">
      <x:c r="A4" s="16" t="str">
        <x:v>HX-001</x:v>
      </x:c>
      <x:c r="B4" s="16" t="str">
        <x:v>HUNT-001</x:v>
      </x:c>
      <x:c r="C4" s="16" t="str">
        <x:v>Authentication + network</x:v>
      </x:c>
      <x:c r="D4" s="16" t="str">
        <x:v>Rare remote-service use by account and server group</x:v>
      </x:c>
      <x:c r="E4" s="16" t="n">
        <x:v>46177.416666666664</x:v>
      </x:c>
      <x:c r="F4" s="16" t="str">
        <x:v>Threat Hunter A</x:v>
      </x:c>
      <x:c r="G4" s="16" t="n">
        <x:v>125000</x:v>
      </x:c>
      <x:c r="H4" s="16" t="n">
        <x:v>84</x:v>
      </x:c>
      <x:c r="I4" s="16" t="str">
        <x:v>12 required review</x:v>
      </x:c>
      <x:c r="J4" s="16" t="str">
        <x:v>HX-001.csv</x:v>
      </x:c>
    </x:row>
    <x:row r="5">
      <x:c r="A5" s="16" t="str">
        <x:v>HX-002</x:v>
      </x:c>
      <x:c r="B5" s="16" t="str">
        <x:v>HUNT-002</x:v>
      </x:c>
      <x:c r="C5" s="16" t="str">
        <x:v>EDR process telemetry</x:v>
      </x:c>
      <x:c r="D5" s="16" t="str">
        <x:v>Rare parent-child PowerShell combinations</x:v>
      </x:c>
      <x:c r="E5" s="16" t="n">
        <x:v>46191.541666666664</x:v>
      </x:c>
      <x:c r="F5" s="16" t="str">
        <x:v>Threat Hunter B</x:v>
      </x:c>
      <x:c r="G5" s="16" t="n">
        <x:v>84000</x:v>
      </x:c>
      <x:c r="H5" s="16" t="n">
        <x:v>31</x:v>
      </x:c>
      <x:c r="I5" s="16" t="str">
        <x:v>3 required review</x:v>
      </x:c>
      <x:c r="J5" s="16" t="str">
        <x:v>HX-002.csv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Findings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Finding ID</x:v>
      </x:c>
      <x:c r="B3" s="10" t="str">
        <x:v>Hunt ID</x:v>
      </x:c>
      <x:c r="C3" s="10" t="str">
        <x:v>Finding</x:v>
      </x:c>
      <x:c r="D3" s="10" t="str">
        <x:v>Asset</x:v>
      </x:c>
      <x:c r="E3" s="10" t="str">
        <x:v>User / Entity</x:v>
      </x:c>
      <x:c r="F3" s="10" t="str">
        <x:v>Evidence</x:v>
      </x:c>
      <x:c r="G3" s="10" t="str">
        <x:v>Confidence</x:v>
      </x:c>
      <x:c r="H3" s="10" t="str">
        <x:v>Significance</x:v>
      </x:c>
      <x:c r="I3" s="10" t="str">
        <x:v>Disposition</x:v>
      </x:c>
      <x:c r="J3" s="10" t="str">
        <x:v>Owner</x:v>
      </x:c>
    </x:row>
    <x:row r="4">
      <x:c r="A4" s="16" t="str">
        <x:v>HF-001</x:v>
      </x:c>
      <x:c r="B4" s="16" t="str">
        <x:v>HUNT-001</x:v>
      </x:c>
      <x:c r="C4" s="16" t="str">
        <x:v>Service account used remote administration from unusual workstation</x:v>
      </x:c>
      <x:c r="D4" s="16" t="str">
        <x:v>SRV-22</x:v>
      </x:c>
      <x:c r="E4" s="16" t="str">
        <x:v>svc-deploy</x:v>
      </x:c>
      <x:c r="F4" s="16" t="str">
        <x:v>Auth + EDR</x:v>
      </x:c>
      <x:c r="G4" s="16" t="str">
        <x:v>High</x:v>
      </x:c>
      <x:c r="H4" s="16" t="str">
        <x:v>Material</x:v>
      </x:c>
      <x:c r="I4" s="16" t="str">
        <x:v>Escalated</x:v>
      </x:c>
      <x:c r="J4" s="16" t="str">
        <x:v>SOC Lead</x:v>
      </x:c>
    </x:row>
    <x:row r="5">
      <x:c r="A5" s="16" t="str">
        <x:v>HF-002</x:v>
      </x:c>
      <x:c r="B5" s="16" t="str">
        <x:v>HUNT-002</x:v>
      </x:c>
      <x:c r="C5" s="16" t="str">
        <x:v>Signed management tool launched PowerShell</x:v>
      </x:c>
      <x:c r="D5" s="16" t="str">
        <x:v>WS-1008</x:v>
      </x:c>
      <x:c r="E5" s="16" t="str">
        <x:v>admin-user</x:v>
      </x:c>
      <x:c r="F5" s="16" t="str">
        <x:v>EDR</x:v>
      </x:c>
      <x:c r="G5" s="16" t="str">
        <x:v>High</x:v>
      </x:c>
      <x:c r="H5" s="16" t="str">
        <x:v>Background</x:v>
      </x:c>
      <x:c r="I5" s="16" t="str">
        <x:v>Allowlist candidate</x:v>
      </x:c>
      <x:c r="J5" s="16" t="str">
        <x:v>Endpoint Lead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Detection Opportunities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0" t="str">
        <x:v>Opportunity ID</x:v>
      </x:c>
      <x:c r="B3" s="10" t="str">
        <x:v>Hunt ID</x:v>
      </x:c>
      <x:c r="C3" s="10" t="str">
        <x:v>Detection Idea</x:v>
      </x:c>
      <x:c r="D3" s="10" t="str">
        <x:v>Data Source</x:v>
      </x:c>
      <x:c r="E3" s="10" t="str">
        <x:v>Priority</x:v>
      </x:c>
      <x:c r="F3" s="10" t="str">
        <x:v>Owner</x:v>
      </x:c>
      <x:c r="G3" s="10" t="str">
        <x:v>Target Date</x:v>
      </x:c>
      <x:c r="H3" s="10" t="str">
        <x:v>Status</x:v>
      </x:c>
      <x:c r="I3" s="10" t="str">
        <x:v>Validation</x:v>
      </x:c>
    </x:row>
    <x:row r="4">
      <x:c r="A4" s="16" t="str">
        <x:v>DO-001</x:v>
      </x:c>
      <x:c r="B4" s="16" t="str">
        <x:v>HUNT-001</x:v>
      </x:c>
      <x:c r="C4" s="16" t="str">
        <x:v>Alert on remote services outside approved admin paths</x:v>
      </x:c>
      <x:c r="D4" s="16" t="str">
        <x:v>Auth + network + EDR</x:v>
      </x:c>
      <x:c r="E4" s="16" t="str">
        <x:v>High</x:v>
      </x:c>
      <x:c r="F4" s="16" t="str">
        <x:v>Detection Engineer</x:v>
      </x:c>
      <x:c r="G4" s="16" t="n">
        <x:v>46280</x:v>
      </x:c>
      <x:c r="H4" s="16" t="str">
        <x:v>In Progress</x:v>
      </x:c>
      <x:c r="I4" s="16" t="str">
        <x:v>Lab test</x:v>
      </x:c>
    </x:row>
    <x:row r="5">
      <x:c r="A5" s="16" t="str">
        <x:v>DO-002</x:v>
      </x:c>
      <x:c r="B5" s="16" t="str">
        <x:v>HUNT-002</x:v>
      </x:c>
      <x:c r="C5" s="16" t="str">
        <x:v>Baseline signed management-tool PowerShell activity</x:v>
      </x:c>
      <x:c r="D5" s="16" t="str">
        <x:v>EDR</x:v>
      </x:c>
      <x:c r="E5" s="16" t="str">
        <x:v>Moderate</x:v>
      </x:c>
      <x:c r="F5" s="16" t="str">
        <x:v>Detection Engineer</x:v>
      </x:c>
      <x:c r="G5" s="16" t="n">
        <x:v>46295</x:v>
      </x:c>
      <x:c r="H5" s="16" t="str">
        <x:v>Planned</x:v>
      </x:c>
      <x:c r="I5" s="16" t="str">
        <x:v>Historical replay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</x:row>
  </x:sheetData>
  <x:mergeCells>
    <x:mergeCell ref="A1:I1"/>
  </x:mergeCells>
  <x:pageMargins left="0.7" right="0.7" top="0.75" bottom="0.75" header="0.3" footer="0.3"/>
</x:worksheet>
</file>