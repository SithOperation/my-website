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02ccdd064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a897f32b15e458d"/>
    <x:sheet xmlns:r="http://schemas.openxmlformats.org/officeDocument/2006/relationships" name="Risk Data" sheetId="2" r:id="Ra70ef7db7d7540b3"/>
    <x:sheet xmlns:r="http://schemas.openxmlformats.org/officeDocument/2006/relationships" name="Risk Trends" sheetId="3" r:id="R9945766354464050"/>
    <x:sheet xmlns:r="http://schemas.openxmlformats.org/officeDocument/2006/relationships" name="Department Summary" sheetId="4" r:id="R7c83e25c799241f0"/>
    <x:sheet xmlns:r="http://schemas.openxmlformats.org/officeDocument/2006/relationships" name="Executive Actions" sheetId="5" r:id="R3c89d346b5dc42af"/>
    <x:sheet xmlns:r="http://schemas.openxmlformats.org/officeDocument/2006/relationships" name="Instructions" sheetId="6" r:id="R471624b1d755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b5e0c33d94879" /><Relationship Type="http://schemas.openxmlformats.org/officeDocument/2006/relationships/theme" Target="/xl/theme/theme1.xml" Id="R0425872bcb5c4c73" /><Relationship Type="http://schemas.openxmlformats.org/officeDocument/2006/relationships/sharedStrings" Target="/xl/sharedStrings.xml" Id="Ref1a899425644dfa" /><Relationship Type="http://schemas.openxmlformats.org/officeDocument/2006/relationships/worksheet" Target="/xl/worksheets/sheet1.xml" Id="R9a897f32b15e458d" /><Relationship Type="http://schemas.openxmlformats.org/officeDocument/2006/relationships/worksheet" Target="/xl/worksheets/sheet2.xml" Id="Ra70ef7db7d7540b3" /><Relationship Type="http://schemas.openxmlformats.org/officeDocument/2006/relationships/worksheet" Target="/xl/worksheets/sheet3.xml" Id="R9945766354464050" /><Relationship Type="http://schemas.openxmlformats.org/officeDocument/2006/relationships/worksheet" Target="/xl/worksheets/sheet4.xml" Id="R7c83e25c799241f0" /><Relationship Type="http://schemas.openxmlformats.org/officeDocument/2006/relationships/worksheet" Target="/xl/worksheets/sheet5.xml" Id="R3c89d346b5dc42af" /><Relationship Type="http://schemas.openxmlformats.org/officeDocument/2006/relationships/worksheet" Target="/xl/worksheets/sheet6.xml" Id="R471624b1d75542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9de02236af42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9de02236af42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9374600" displayName="T9374600" ref="A3:J9" headerRowCount="1">
  <x:tableColumns count="10">
    <x:tableColumn id="1" name="Risk ID"/>
    <x:tableColumn id="2" name="Risk Name"/>
    <x:tableColumn id="3" name="Department"/>
    <x:tableColumn id="4" name="Likelihood"/>
    <x:tableColumn id="5" name="Impact"/>
    <x:tableColumn id="6" name="Score"/>
    <x:tableColumn id="7" name="Risk Tier"/>
    <x:tableColumn id="8" name="Owner"/>
    <x:tableColumn id="9" name="Status"/>
    <x:tableColumn id="10" name="Quarter"/>
  </x:tableColumns>
  <x:tableStyleInfo name="TableStyleMedium2" showRowStripes="1"/>
</x:table>
</file>

<file path=xl/tables/table2.xml><?xml version="1.0" encoding="utf-8"?>
<x:table xmlns:x="http://schemas.openxmlformats.org/spreadsheetml/2006/main" id="2" name="T3201749" displayName="T3201749" ref="A3:F7" headerRowCount="1">
  <x:tableColumns count="6">
    <x:tableColumn id="1" name="Quarter"/>
    <x:tableColumn id="2" name="Open Risks"/>
    <x:tableColumn id="3" name="Critical Risks"/>
    <x:tableColumn id="4" name="High Risks"/>
    <x:tableColumn id="5" name="Average Score"/>
    <x:tableColumn id="6" name="Treatment Completion %"/>
  </x:tableColumns>
  <x:tableStyleInfo name="TableStyleMedium2" showRowStripes="1"/>
</x:table>
</file>

<file path=xl/tables/table3.xml><?xml version="1.0" encoding="utf-8"?>
<x:table xmlns:x="http://schemas.openxmlformats.org/spreadsheetml/2006/main" id="3" name="T849725" displayName="T849725" ref="A3:F9" headerRowCount="1">
  <x:tableColumns count="6">
    <x:tableColumn id="1" name="Department"/>
    <x:tableColumn id="2" name="Risk Count"/>
    <x:tableColumn id="3" name="Average Score"/>
    <x:tableColumn id="4" name="Critical / High Count"/>
    <x:tableColumn id="5" name="Open Actions"/>
    <x:tableColumn id="6" name="Trend"/>
  </x:tableColumns>
  <x:tableStyleInfo name="TableStyleMedium2" showRowStripes="1"/>
</x:table>
</file>

<file path=xl/tables/table4.xml><?xml version="1.0" encoding="utf-8"?>
<x:table xmlns:x="http://schemas.openxmlformats.org/spreadsheetml/2006/main" id="4" name="T5864969" displayName="T5864969" ref="A3:G5" headerRowCount="1">
  <x:tableColumns count="7">
    <x:tableColumn id="1" name="Action ID"/>
    <x:tableColumn id="2" name="Related Risk"/>
    <x:tableColumn id="3" name="Executive Decision Needed"/>
    <x:tableColumn id="4" name="Recommended Decision"/>
    <x:tableColumn id="5" name="Owner"/>
    <x:tableColumn id="6" name="Decision Da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38c1b3f99245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f2e69f137f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852aab8fa84e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854d4848ce4d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b97a2d516644b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4" t="str">
        <x:v>Cyber Risk Heatmap &amp; Executive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Worksheets</x:v>
      </x:c>
      <x:c r="B4" t="n">
        <x:v>4</x:v>
      </x:c>
      <x:c r="D4" t="str">
        <x:v>Risk Data</x:v>
      </x:c>
      <x:c r="E4" t="n">
        <x:f>COUNTIF('Risk Data'!A4:A303,"&lt;&gt;")</x:f>
        <x:v>6</x:v>
      </x:c>
    </x:row>
    <x:row r="5">
      <x:c r="A5" t="str">
        <x:v>Tracked Records</x:v>
      </x:c>
      <x:c r="B5" t="n">
        <x:f>COUNTIF('Risk Data'!A4:A303,"&lt;&gt;")+COUNTIF('Risk Trends'!A4:A303,"&lt;&gt;")+COUNTIF('Department Summary'!A4:A303,"&lt;&gt;")+COUNTIF('Executive Actions'!A4:A303,"&lt;&gt;")</x:f>
        <x:v>18</x:v>
      </x:c>
      <x:c r="D5" t="str">
        <x:v>Risk Trends</x:v>
      </x:c>
      <x:c r="E5" t="n">
        <x:f>COUNTIF('Risk Trends'!A4:A303,"&lt;&gt;")</x:f>
        <x:v>4</x:v>
      </x:c>
    </x:row>
    <x:row r="6">
      <x:c r="A6" t="str">
        <x:v>Open / Planned</x:v>
      </x:c>
      <x:c r="B6" t="n">
        <x:v>6</x:v>
      </x:c>
      <x:c r="D6" t="str">
        <x:v>Department Summary</x:v>
      </x:c>
      <x:c r="E6" t="n">
        <x:f>COUNTIF('Department Summary'!A4:A303,"&lt;&gt;")</x:f>
        <x:v>6</x:v>
      </x:c>
    </x:row>
    <x:row r="7">
      <x:c r="A7" t="str">
        <x:v>Needs Attention</x:v>
      </x:c>
      <x:c r="B7" t="n">
        <x:v>2</x:v>
      </x:c>
      <x:c r="D7" t="str">
        <x:v>Executive Actions</x:v>
      </x:c>
      <x:c r="E7" t="n">
        <x:f>COUNTIF('Executive Actions'!A4:A303,"&lt;&gt;")</x:f>
        <x:v>2</x:v>
      </x:c>
    </x:row>
    <x:row r="8">
      <x:c r="A8" t="str">
        <x:v>Average Risk Score</x:v>
      </x:c>
      <x:c r="B8" t="n">
        <x:v>0</x:v>
      </x:c>
    </x:row>
    <x:row r="9">
      <x:c r="A9" t="str">
        <x:v>Release Date</x:v>
      </x:c>
      <x:c r="B9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338c1b3f992455f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Risk Data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Risk ID</x:v>
      </x:c>
      <x:c r="B3" s="12" t="str">
        <x:v>Risk Name</x:v>
      </x:c>
      <x:c r="C3" s="12" t="str">
        <x:v>Department</x:v>
      </x:c>
      <x:c r="D3" s="12" t="str">
        <x:v>Likelihood</x:v>
      </x:c>
      <x:c r="E3" s="12" t="str">
        <x:v>Impact</x:v>
      </x:c>
      <x:c r="F3" s="12" t="str">
        <x:v>Score</x:v>
      </x:c>
      <x:c r="G3" s="12" t="str">
        <x:v>Risk Tier</x:v>
      </x:c>
      <x:c r="H3" s="12" t="str">
        <x:v>Owner</x:v>
      </x:c>
      <x:c r="I3" s="12" t="str">
        <x:v>Status</x:v>
      </x:c>
      <x:c r="J3" s="12" t="str">
        <x:v>Quarter</x:v>
      </x:c>
    </x:row>
    <x:row r="4">
      <x:c r="A4" s="20" t="str">
        <x:v>HX-001</x:v>
      </x:c>
      <x:c r="B4" s="20" t="str">
        <x:v>Credential compromise</x:v>
      </x:c>
      <x:c r="C4" s="20" t="str">
        <x:v>Digital Services</x:v>
      </x:c>
      <x:c r="D4" s="20" t="n">
        <x:v>4</x:v>
      </x:c>
      <x:c r="E4" s="20" t="n">
        <x:v>5</x:v>
      </x:c>
      <x:c r="F4" s="20" t="n">
        <x:f>D4*E4</x:f>
        <x:v>20</x:v>
      </x:c>
      <x:c r="G4" s="20" t="str">
        <x:f>IF(F4&gt;=20,"Critical",IF(F4&gt;=12,"High",IF(F4&gt;=6,"Moderate","Low")))</x:f>
        <x:v>Critical</x:v>
      </x:c>
      <x:c r="H4" s="20" t="str">
        <x:v>IAM Lead</x:v>
      </x:c>
      <x:c r="I4" s="20" t="str">
        <x:v>In Progress</x:v>
      </x:c>
      <x:c r="J4" s="20" t="str">
        <x:v>Q3 2026</x:v>
      </x:c>
    </x:row>
    <x:row r="5">
      <x:c r="A5" s="20" t="str">
        <x:v>HX-002</x:v>
      </x:c>
      <x:c r="B5" s="20" t="str">
        <x:v>Ransomware outage</x:v>
      </x:c>
      <x:c r="C5" s="20" t="str">
        <x:v>Human Resources</x:v>
      </x:c>
      <x:c r="D5" s="20" t="n">
        <x:v>3</x:v>
      </x:c>
      <x:c r="E5" s="20" t="n">
        <x:v>5</x:v>
      </x:c>
      <x:c r="F5" s="20" t="n">
        <x:f>D5*E5</x:f>
        <x:v>15</x:v>
      </x:c>
      <x:c r="G5" s="20" t="str">
        <x:f>IF(F5&gt;=20,"Critical",IF(F5&gt;=12,"High",IF(F5&gt;=6,"Moderate","Low")))</x:f>
        <x:v>High</x:v>
      </x:c>
      <x:c r="H5" s="20" t="str">
        <x:v>IR Lead</x:v>
      </x:c>
      <x:c r="I5" s="20" t="str">
        <x:v>Planned</x:v>
      </x:c>
      <x:c r="J5" s="20" t="str">
        <x:v>Q3 2026</x:v>
      </x:c>
    </x:row>
    <x:row r="6">
      <x:c r="A6" s="20" t="str">
        <x:v>HX-003</x:v>
      </x:c>
      <x:c r="B6" s="20" t="str">
        <x:v>Supplier service outage</x:v>
      </x:c>
      <x:c r="C6" s="20" t="str">
        <x:v>Customer Operations</x:v>
      </x:c>
      <x:c r="D6" s="20" t="n">
        <x:v>3</x:v>
      </x:c>
      <x:c r="E6" s="20" t="n">
        <x:v>4</x:v>
      </x:c>
      <x:c r="F6" s="20" t="n">
        <x:f>D6*E6</x:f>
        <x:v>12</x:v>
      </x:c>
      <x:c r="G6" s="20" t="str">
        <x:f>IF(F6&gt;=20,"Critical",IF(F6&gt;=12,"High",IF(F6&gt;=6,"Moderate","Low")))</x:f>
        <x:v>High</x:v>
      </x:c>
      <x:c r="H6" s="20" t="str">
        <x:v>Vendor Risk Lead</x:v>
      </x:c>
      <x:c r="I6" s="20" t="str">
        <x:v>Needs Review</x:v>
      </x:c>
      <x:c r="J6" s="20" t="str">
        <x:v>Q3 2026</x:v>
      </x:c>
    </x:row>
    <x:row r="7">
      <x:c r="A7" s="20" t="str">
        <x:v>HX-004</x:v>
      </x:c>
      <x:c r="B7" s="20" t="str">
        <x:v>Cloud data exposure</x:v>
      </x:c>
      <x:c r="C7" s="20" t="str">
        <x:v>Analytics</x:v>
      </x:c>
      <x:c r="D7" s="20" t="n">
        <x:v>3</x:v>
      </x:c>
      <x:c r="E7" s="20" t="n">
        <x:v>5</x:v>
      </x:c>
      <x:c r="F7" s="20" t="n">
        <x:f>D7*E7</x:f>
        <x:v>15</x:v>
      </x:c>
      <x:c r="G7" s="20" t="str">
        <x:f>IF(F7&gt;=20,"Critical",IF(F7&gt;=12,"High",IF(F7&gt;=6,"Moderate","Low")))</x:f>
        <x:v>High</x:v>
      </x:c>
      <x:c r="H7" s="20" t="str">
        <x:v>Cloud Security Lead</x:v>
      </x:c>
      <x:c r="I7" s="20" t="str">
        <x:v>In Progress</x:v>
      </x:c>
      <x:c r="J7" s="20" t="str">
        <x:v>Q3 2026</x:v>
      </x:c>
    </x:row>
    <x:row r="8">
      <x:c r="A8" s="20" t="str">
        <x:v>HX-005</x:v>
      </x:c>
      <x:c r="B8" s="20" t="str">
        <x:v>Monitoring coverage gap</x:v>
      </x:c>
      <x:c r="C8" s="20" t="str">
        <x:v>Security Operations</x:v>
      </x:c>
      <x:c r="D8" s="20" t="n">
        <x:v>3</x:v>
      </x:c>
      <x:c r="E8" s="20" t="n">
        <x:v>4</x:v>
      </x:c>
      <x:c r="F8" s="20" t="n">
        <x:f>D8*E8</x:f>
        <x:v>12</x:v>
      </x:c>
      <x:c r="G8" s="20" t="str">
        <x:f>IF(F8&gt;=20,"Critical",IF(F8&gt;=12,"High",IF(F8&gt;=6,"Moderate","Low")))</x:f>
        <x:v>High</x:v>
      </x:c>
      <x:c r="H8" s="20" t="str">
        <x:v>SOC Manager</x:v>
      </x:c>
      <x:c r="I8" s="20" t="str">
        <x:v>Planned</x:v>
      </x:c>
      <x:c r="J8" s="20" t="str">
        <x:v>Q3 2026</x:v>
      </x:c>
    </x:row>
    <x:row r="9">
      <x:c r="A9" s="20" t="str">
        <x:v>HX-006</x:v>
      </x:c>
      <x:c r="B9" s="20" t="str">
        <x:v>Legacy system vulnerability</x:v>
      </x:c>
      <x:c r="C9" s="20" t="str">
        <x:v>Finance</x:v>
      </x:c>
      <x:c r="D9" s="20" t="n">
        <x:v>4</x:v>
      </x:c>
      <x:c r="E9" s="20" t="n">
        <x:v>4</x:v>
      </x:c>
      <x:c r="F9" s="20" t="n">
        <x:f>D9*E9</x:f>
        <x:v>16</x:v>
      </x:c>
      <x:c r="G9" s="20" t="str">
        <x:f>IF(F9&gt;=20,"Critical",IF(F9&gt;=12,"High",IF(F9&gt;=6,"Moderate","Low")))</x:f>
        <x:v>High</x:v>
      </x:c>
      <x:c r="H9" s="20" t="str">
        <x:v>Infrastructure Lead</x:v>
      </x:c>
      <x:c r="I9" s="20" t="str">
        <x:v>Needs Improvement</x:v>
      </x:c>
      <x:c r="J9" s="20" t="str">
        <x:v>Q3 2026</x:v>
      </x:c>
    </x:row>
    <x:row r="10">
      <x:c r="A10" s="20"/>
      <x:c r="B10" s="20"/>
      <x:c r="C10" s="20"/>
      <x:c r="D10" s="20"/>
      <x:c r="E10" s="20"/>
      <x:c r="F10" s="20" t="n">
        <x:f>D10*E10</x:f>
        <x:v>0</x:v>
      </x:c>
      <x:c r="G10" s="20" t="str">
        <x:f>IF(F10&gt;=20,"Critical",IF(F10&gt;=12,"High",IF(F10&gt;=6,"Moderate","Low")))</x:f>
        <x:v>Low</x:v>
      </x:c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 t="n">
        <x:f>D11*E11</x:f>
        <x:v>0</x:v>
      </x:c>
      <x:c r="G11" s="20" t="str">
        <x:f>IF(F11&gt;=20,"Critical",IF(F11&gt;=12,"High",IF(F11&gt;=6,"Moderate","Low")))</x:f>
        <x:v>Low</x:v>
      </x:c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 t="n">
        <x:f>D12*E12</x:f>
        <x:v>0</x:v>
      </x:c>
      <x:c r="G12" s="20" t="str">
        <x:f>IF(F12&gt;=20,"Critical",IF(F12&gt;=12,"High",IF(F12&gt;=6,"Moderate","Low")))</x:f>
        <x:v>Low</x:v>
      </x:c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 t="n">
        <x:f>D13*E13</x:f>
        <x:v>0</x:v>
      </x:c>
      <x:c r="G13" s="20" t="str">
        <x:f>IF(F13&gt;=20,"Critical",IF(F13&gt;=12,"High",IF(F13&gt;=6,"Moderate","Low")))</x:f>
        <x:v>Low</x:v>
      </x:c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 t="n">
        <x:f>D14*E14</x:f>
        <x:v>0</x:v>
      </x:c>
      <x:c r="G14" s="20" t="str">
        <x:f>IF(F14&gt;=20,"Critical",IF(F14&gt;=12,"High",IF(F14&gt;=6,"Moderate","Low")))</x:f>
        <x:v>Low</x:v>
      </x:c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 t="n">
        <x:f>D15*E15</x:f>
        <x:v>0</x:v>
      </x:c>
      <x:c r="G15" s="20" t="str">
        <x:f>IF(F15&gt;=20,"Critical",IF(F15&gt;=12,"High",IF(F15&gt;=6,"Moderate","Low")))</x:f>
        <x:v>Low</x:v>
      </x:c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 t="n">
        <x:f>D16*E16</x:f>
        <x:v>0</x:v>
      </x:c>
      <x:c r="G16" s="20" t="str">
        <x:f>IF(F16&gt;=20,"Critical",IF(F16&gt;=12,"High",IF(F16&gt;=6,"Moderate","Low")))</x:f>
        <x:v>Low</x:v>
      </x:c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 t="n">
        <x:f>D17*E17</x:f>
        <x:v>0</x:v>
      </x:c>
      <x:c r="G17" s="20" t="str">
        <x:f>IF(F17&gt;=20,"Critical",IF(F17&gt;=12,"High",IF(F17&gt;=6,"Moderate","Low")))</x:f>
        <x:v>Low</x:v>
      </x:c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 t="n">
        <x:f>D18*E18</x:f>
        <x:v>0</x:v>
      </x:c>
      <x:c r="G18" s="20" t="str">
        <x:f>IF(F18&gt;=20,"Critical",IF(F18&gt;=12,"High",IF(F18&gt;=6,"Moderate","Low")))</x:f>
        <x:v>Low</x:v>
      </x:c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 t="n">
        <x:f>D19*E19</x:f>
        <x:v>0</x:v>
      </x:c>
      <x:c r="G19" s="20" t="str">
        <x:f>IF(F19&gt;=20,"Critical",IF(F19&gt;=12,"High",IF(F19&gt;=6,"Moderate","Low")))</x:f>
        <x:v>Low</x:v>
      </x:c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 t="n">
        <x:f>D20*E20</x:f>
        <x:v>0</x:v>
      </x:c>
      <x:c r="G20" s="20" t="str">
        <x:f>IF(F20&gt;=20,"Critical",IF(F20&gt;=12,"High",IF(F20&gt;=6,"Moderate","Low")))</x:f>
        <x:v>Low</x:v>
      </x:c>
      <x:c r="H20" s="20"/>
      <x:c r="I20" s="20"/>
      <x:c r="J20" s="20"/>
    </x:row>
    <x:row r="21">
      <x:c r="F21" t="n">
        <x:f>D21*E21</x:f>
        <x:v>0</x:v>
      </x:c>
      <x:c r="G21" t="str">
        <x:f>IF(F21&gt;=20,"Critical",IF(F21&gt;=12,"High",IF(F21&gt;=6,"Moderate","Low")))</x:f>
        <x:v>Low</x:v>
      </x:c>
    </x:row>
    <x:row r="22">
      <x:c r="F22" t="n">
        <x:f>D22*E22</x:f>
        <x:v>0</x:v>
      </x:c>
      <x:c r="G22" t="str">
        <x:f>IF(F22&gt;=20,"Critical",IF(F22&gt;=12,"High",IF(F22&gt;=6,"Moderate","Low")))</x:f>
        <x:v>Low</x:v>
      </x:c>
    </x:row>
    <x:row r="23">
      <x:c r="F23" t="n">
        <x:f>D23*E23</x:f>
        <x:v>0</x:v>
      </x:c>
      <x:c r="G23" t="str">
        <x:f>IF(F23&gt;=20,"Critical",IF(F23&gt;=12,"High",IF(F23&gt;=6,"Moderate","Low")))</x:f>
        <x:v>Low</x:v>
      </x:c>
    </x:row>
    <x:row r="24">
      <x:c r="F24" t="n">
        <x:f>D24*E24</x:f>
        <x:v>0</x:v>
      </x:c>
      <x:c r="G24" t="str">
        <x:f>IF(F24&gt;=20,"Critical",IF(F24&gt;=12,"High",IF(F24&gt;=6,"Moderate","Low")))</x:f>
        <x:v>Low</x:v>
      </x:c>
    </x:row>
    <x:row r="25">
      <x:c r="F25" t="n">
        <x:f>D25*E25</x:f>
        <x:v>0</x:v>
      </x:c>
      <x:c r="G25" t="str">
        <x:f>IF(F25&gt;=20,"Critical",IF(F25&gt;=12,"High",IF(F25&gt;=6,"Moderate","Low")))</x:f>
        <x:v>Low</x:v>
      </x:c>
    </x:row>
    <x:row r="26">
      <x:c r="F26" t="n">
        <x:f>D26*E26</x:f>
        <x:v>0</x:v>
      </x:c>
      <x:c r="G26" t="str">
        <x:f>IF(F26&gt;=20,"Critical",IF(F26&gt;=12,"High",IF(F26&gt;=6,"Moderate","Low")))</x:f>
        <x:v>Low</x:v>
      </x:c>
    </x:row>
    <x:row r="27">
      <x:c r="F27" t="n">
        <x:f>D27*E27</x:f>
        <x:v>0</x:v>
      </x:c>
      <x:c r="G27" t="str">
        <x:f>IF(F27&gt;=20,"Critical",IF(F27&gt;=12,"High",IF(F27&gt;=6,"Moderate","Low")))</x:f>
        <x:v>Low</x:v>
      </x:c>
    </x:row>
    <x:row r="28">
      <x:c r="F28" t="n">
        <x:f>D28*E28</x:f>
        <x:v>0</x:v>
      </x:c>
      <x:c r="G28" t="str">
        <x:f>IF(F28&gt;=20,"Critical",IF(F28&gt;=12,"High",IF(F28&gt;=6,"Moderate","Low")))</x:f>
        <x:v>Low</x:v>
      </x:c>
    </x:row>
    <x:row r="29">
      <x:c r="F29" t="n">
        <x:f>D29*E29</x:f>
        <x:v>0</x:v>
      </x:c>
      <x:c r="G29" t="str">
        <x:f>IF(F29&gt;=20,"Critical",IF(F29&gt;=12,"High",IF(F29&gt;=6,"Moderate","Low")))</x:f>
        <x:v>Low</x:v>
      </x:c>
    </x:row>
    <x:row r="30">
      <x:c r="F30" t="n">
        <x:f>D30*E30</x:f>
        <x:v>0</x:v>
      </x:c>
      <x:c r="G30" t="str">
        <x:f>IF(F30&gt;=20,"Critical",IF(F30&gt;=12,"High",IF(F30&gt;=6,"Moderate","Low")))</x:f>
        <x:v>Low</x:v>
      </x:c>
    </x:row>
    <x:row r="31">
      <x:c r="F31" t="n">
        <x:f>D31*E31</x:f>
        <x:v>0</x:v>
      </x:c>
      <x:c r="G31" t="str">
        <x:f>IF(F31&gt;=20,"Critical",IF(F31&gt;=12,"High",IF(F31&gt;=6,"Moderate","Low")))</x:f>
        <x:v>Low</x:v>
      </x:c>
    </x:row>
    <x:row r="32">
      <x:c r="F32" t="n">
        <x:f>D32*E32</x:f>
        <x:v>0</x:v>
      </x:c>
      <x:c r="G32" t="str">
        <x:f>IF(F32&gt;=20,"Critical",IF(F32&gt;=12,"High",IF(F32&gt;=6,"Moderate","Low")))</x:f>
        <x:v>Low</x:v>
      </x:c>
    </x:row>
    <x:row r="33">
      <x:c r="F33" t="n">
        <x:f>D33*E33</x:f>
        <x:v>0</x:v>
      </x:c>
      <x:c r="G33" t="str">
        <x:f>IF(F33&gt;=20,"Critical",IF(F33&gt;=12,"High",IF(F33&gt;=6,"Moderate","Low")))</x:f>
        <x:v>Low</x:v>
      </x:c>
    </x:row>
    <x:row r="34">
      <x:c r="F34" t="n">
        <x:f>D34*E34</x:f>
        <x:v>0</x:v>
      </x:c>
      <x:c r="G34" t="str">
        <x:f>IF(F34&gt;=20,"Critical",IF(F34&gt;=12,"High",IF(F34&gt;=6,"Moderate","Low")))</x:f>
        <x:v>Low</x:v>
      </x:c>
    </x:row>
    <x:row r="35">
      <x:c r="F35" t="n">
        <x:f>D35*E35</x:f>
        <x:v>0</x:v>
      </x:c>
      <x:c r="G35" t="str">
        <x:f>IF(F35&gt;=20,"Critical",IF(F35&gt;=12,"High",IF(F35&gt;=6,"Moderate","Low")))</x:f>
        <x:v>Low</x:v>
      </x:c>
    </x:row>
    <x:row r="36">
      <x:c r="F36" t="n">
        <x:f>D36*E36</x:f>
        <x:v>0</x:v>
      </x:c>
      <x:c r="G36" t="str">
        <x:f>IF(F36&gt;=20,"Critical",IF(F36&gt;=12,"High",IF(F36&gt;=6,"Moderate","Low")))</x:f>
        <x:v>Low</x:v>
      </x:c>
    </x:row>
    <x:row r="37">
      <x:c r="F37" t="n">
        <x:f>D37*E37</x:f>
        <x:v>0</x:v>
      </x:c>
      <x:c r="G37" t="str">
        <x:f>IF(F37&gt;=20,"Critical",IF(F37&gt;=12,"High",IF(F37&gt;=6,"Moderate","Low")))</x:f>
        <x:v>Low</x:v>
      </x:c>
    </x:row>
    <x:row r="38">
      <x:c r="F38" t="n">
        <x:f>D38*E38</x:f>
        <x:v>0</x:v>
      </x:c>
      <x:c r="G38" t="str">
        <x:f>IF(F38&gt;=20,"Critical",IF(F38&gt;=12,"High",IF(F38&gt;=6,"Moderate","Low")))</x:f>
        <x:v>Low</x:v>
      </x:c>
    </x:row>
    <x:row r="39">
      <x:c r="F39" t="n">
        <x:f>D39*E39</x:f>
        <x:v>0</x:v>
      </x:c>
      <x:c r="G39" t="str">
        <x:f>IF(F39&gt;=20,"Critical",IF(F39&gt;=12,"High",IF(F39&gt;=6,"Moderate","Low")))</x:f>
        <x:v>Low</x:v>
      </x:c>
    </x:row>
    <x:row r="40">
      <x:c r="F40" t="n">
        <x:f>D40*E40</x:f>
        <x:v>0</x:v>
      </x:c>
      <x:c r="G40" t="str">
        <x:f>IF(F40&gt;=20,"Critical",IF(F40&gt;=12,"High",IF(F40&gt;=6,"Moderate","Low")))</x:f>
        <x:v>Low</x:v>
      </x:c>
    </x:row>
    <x:row r="41">
      <x:c r="F41" t="n">
        <x:f>D41*E41</x:f>
        <x:v>0</x:v>
      </x:c>
      <x:c r="G41" t="str">
        <x:f>IF(F41&gt;=20,"Critical",IF(F41&gt;=12,"High",IF(F41&gt;=6,"Moderate","Low")))</x:f>
        <x:v>Low</x:v>
      </x:c>
    </x:row>
    <x:row r="42">
      <x:c r="F42" t="n">
        <x:f>D42*E42</x:f>
        <x:v>0</x:v>
      </x:c>
      <x:c r="G42" t="str">
        <x:f>IF(F42&gt;=20,"Critical",IF(F42&gt;=12,"High",IF(F42&gt;=6,"Moderate","Low")))</x:f>
        <x:v>Low</x:v>
      </x:c>
    </x:row>
    <x:row r="43">
      <x:c r="F43" t="n">
        <x:f>D43*E43</x:f>
        <x:v>0</x:v>
      </x:c>
      <x:c r="G43" t="str">
        <x:f>IF(F43&gt;=20,"Critical",IF(F43&gt;=12,"High",IF(F43&gt;=6,"Moderate","Low")))</x:f>
        <x:v>Low</x:v>
      </x:c>
    </x:row>
    <x:row r="44">
      <x:c r="F44" t="n">
        <x:f>D44*E44</x:f>
        <x:v>0</x:v>
      </x:c>
      <x:c r="G44" t="str">
        <x:f>IF(F44&gt;=20,"Critical",IF(F44&gt;=12,"High",IF(F44&gt;=6,"Moderate","Low")))</x:f>
        <x:v>Low</x:v>
      </x:c>
    </x:row>
    <x:row r="45">
      <x:c r="F45" t="n">
        <x:f>D45*E45</x:f>
        <x:v>0</x:v>
      </x:c>
      <x:c r="G45" t="str">
        <x:f>IF(F45&gt;=20,"Critical",IF(F45&gt;=12,"High",IF(F45&gt;=6,"Moderate","Low")))</x:f>
        <x:v>Low</x:v>
      </x:c>
    </x:row>
    <x:row r="46">
      <x:c r="F46" t="n">
        <x:f>D46*E46</x:f>
        <x:v>0</x:v>
      </x:c>
      <x:c r="G46" t="str">
        <x:f>IF(F46&gt;=20,"Critical",IF(F46&gt;=12,"High",IF(F46&gt;=6,"Moderate","Low")))</x:f>
        <x:v>Low</x:v>
      </x:c>
    </x:row>
    <x:row r="47">
      <x:c r="F47" t="n">
        <x:f>D47*E47</x:f>
        <x:v>0</x:v>
      </x:c>
      <x:c r="G47" t="str">
        <x:f>IF(F47&gt;=20,"Critical",IF(F47&gt;=12,"High",IF(F47&gt;=6,"Moderate","Low")))</x:f>
        <x:v>Low</x:v>
      </x:c>
    </x:row>
    <x:row r="48">
      <x:c r="F48" t="n">
        <x:f>D48*E48</x:f>
        <x:v>0</x:v>
      </x:c>
      <x:c r="G48" t="str">
        <x:f>IF(F48&gt;=20,"Critical",IF(F48&gt;=12,"High",IF(F48&gt;=6,"Moderate","Low")))</x:f>
        <x:v>Low</x:v>
      </x:c>
    </x:row>
    <x:row r="49">
      <x:c r="F49" t="n">
        <x:f>D49*E49</x:f>
        <x:v>0</x:v>
      </x:c>
      <x:c r="G49" t="str">
        <x:f>IF(F49&gt;=20,"Critical",IF(F49&gt;=12,"High",IF(F49&gt;=6,"Moderate","Low")))</x:f>
        <x:v>Low</x:v>
      </x:c>
    </x:row>
    <x:row r="50">
      <x:c r="F50" t="n">
        <x:f>D50*E50</x:f>
        <x:v>0</x:v>
      </x:c>
      <x:c r="G50" t="str">
        <x:f>IF(F50&gt;=20,"Critical",IF(F50&gt;=12,"High",IF(F50&gt;=6,"Moderate","Low")))</x:f>
        <x:v>Low</x:v>
      </x:c>
    </x:row>
    <x:row r="51">
      <x:c r="F51" t="n">
        <x:f>D51*E51</x:f>
        <x:v>0</x:v>
      </x:c>
      <x:c r="G51" t="str">
        <x:f>IF(F51&gt;=20,"Critical",IF(F51&gt;=12,"High",IF(F51&gt;=6,"Moderate","Low")))</x:f>
        <x:v>Low</x:v>
      </x:c>
    </x:row>
    <x:row r="52">
      <x:c r="F52" t="n">
        <x:f>D52*E52</x:f>
        <x:v>0</x:v>
      </x:c>
      <x:c r="G52" t="str">
        <x:f>IF(F52&gt;=20,"Critical",IF(F52&gt;=12,"High",IF(F52&gt;=6,"Moderate","Low")))</x:f>
        <x:v>Low</x:v>
      </x:c>
    </x:row>
    <x:row r="53">
      <x:c r="F53" t="n">
        <x:f>D53*E53</x:f>
        <x:v>0</x:v>
      </x:c>
      <x:c r="G53" t="str">
        <x:f>IF(F53&gt;=20,"Critical",IF(F53&gt;=12,"High",IF(F53&gt;=6,"Moderate","Low")))</x:f>
        <x:v>Low</x:v>
      </x:c>
    </x:row>
    <x:row r="54">
      <x:c r="F54" t="n">
        <x:f>D54*E54</x:f>
        <x:v>0</x:v>
      </x:c>
      <x:c r="G54" t="str">
        <x:f>IF(F54&gt;=20,"Critical",IF(F54&gt;=12,"High",IF(F54&gt;=6,"Moderate","Low")))</x:f>
        <x:v>Low</x:v>
      </x:c>
    </x:row>
    <x:row r="55">
      <x:c r="F55" t="n">
        <x:f>D55*E55</x:f>
        <x:v>0</x:v>
      </x:c>
      <x:c r="G55" t="str">
        <x:f>IF(F55&gt;=20,"Critical",IF(F55&gt;=12,"High",IF(F55&gt;=6,"Moderate","Low")))</x:f>
        <x:v>Low</x:v>
      </x:c>
    </x:row>
    <x:row r="56">
      <x:c r="F56" t="n">
        <x:f>D56*E56</x:f>
        <x:v>0</x:v>
      </x:c>
      <x:c r="G56" t="str">
        <x:f>IF(F56&gt;=20,"Critical",IF(F56&gt;=12,"High",IF(F56&gt;=6,"Moderate","Low")))</x:f>
        <x:v>Low</x:v>
      </x:c>
    </x:row>
    <x:row r="57">
      <x:c r="F57" t="n">
        <x:f>D57*E57</x:f>
        <x:v>0</x:v>
      </x:c>
      <x:c r="G57" t="str">
        <x:f>IF(F57&gt;=20,"Critical",IF(F57&gt;=12,"High",IF(F57&gt;=6,"Moderate","Low")))</x:f>
        <x:v>Low</x:v>
      </x:c>
    </x:row>
    <x:row r="58">
      <x:c r="F58" t="n">
        <x:f>D58*E58</x:f>
        <x:v>0</x:v>
      </x:c>
      <x:c r="G58" t="str">
        <x:f>IF(F58&gt;=20,"Critical",IF(F58&gt;=12,"High",IF(F58&gt;=6,"Moderate","Low")))</x:f>
        <x:v>Low</x:v>
      </x:c>
    </x:row>
    <x:row r="59">
      <x:c r="F59" t="n">
        <x:f>D59*E59</x:f>
        <x:v>0</x:v>
      </x:c>
      <x:c r="G59" t="str">
        <x:f>IF(F59&gt;=20,"Critical",IF(F59&gt;=12,"High",IF(F59&gt;=6,"Moderate","Low")))</x:f>
        <x:v>Low</x:v>
      </x:c>
    </x:row>
    <x:row r="60">
      <x:c r="F60" t="n">
        <x:f>D60*E60</x:f>
        <x:v>0</x:v>
      </x:c>
      <x:c r="G60" t="str">
        <x:f>IF(F60&gt;=20,"Critical",IF(F60&gt;=12,"High",IF(F60&gt;=6,"Moderate","Low")))</x:f>
        <x:v>Low</x:v>
      </x:c>
    </x:row>
    <x:row r="61">
      <x:c r="F61" t="n">
        <x:f>D61*E61</x:f>
        <x:v>0</x:v>
      </x:c>
      <x:c r="G61" t="str">
        <x:f>IF(F61&gt;=20,"Critical",IF(F61&gt;=12,"High",IF(F61&gt;=6,"Moderate","Low")))</x:f>
        <x:v>Low</x:v>
      </x:c>
    </x:row>
    <x:row r="62">
      <x:c r="F62" t="n">
        <x:f>D62*E62</x:f>
        <x:v>0</x:v>
      </x:c>
      <x:c r="G62" t="str">
        <x:f>IF(F62&gt;=20,"Critical",IF(F62&gt;=12,"High",IF(F62&gt;=6,"Moderate","Low")))</x:f>
        <x:v>Low</x:v>
      </x:c>
    </x:row>
    <x:row r="63">
      <x:c r="F63" t="n">
        <x:f>D63*E63</x:f>
        <x:v>0</x:v>
      </x:c>
      <x:c r="G63" t="str">
        <x:f>IF(F63&gt;=20,"Critical",IF(F63&gt;=12,"High",IF(F63&gt;=6,"Moderate","Low")))</x:f>
        <x:v>Low</x:v>
      </x:c>
    </x:row>
    <x:row r="64">
      <x:c r="F64" t="n">
        <x:f>D64*E64</x:f>
        <x:v>0</x:v>
      </x:c>
      <x:c r="G64" t="str">
        <x:f>IF(F64&gt;=20,"Critical",IF(F64&gt;=12,"High",IF(F64&gt;=6,"Moderate","Low")))</x:f>
        <x:v>Low</x:v>
      </x:c>
    </x:row>
    <x:row r="65">
      <x:c r="F65" t="n">
        <x:f>D65*E65</x:f>
        <x:v>0</x:v>
      </x:c>
      <x:c r="G65" t="str">
        <x:f>IF(F65&gt;=20,"Critical",IF(F65&gt;=12,"High",IF(F65&gt;=6,"Moderate","Low")))</x:f>
        <x:v>Low</x:v>
      </x:c>
    </x:row>
    <x:row r="66">
      <x:c r="F66" t="n">
        <x:f>D66*E66</x:f>
        <x:v>0</x:v>
      </x:c>
      <x:c r="G66" t="str">
        <x:f>IF(F66&gt;=20,"Critical",IF(F66&gt;=12,"High",IF(F66&gt;=6,"Moderate","Low")))</x:f>
        <x:v>Low</x:v>
      </x:c>
    </x:row>
    <x:row r="67">
      <x:c r="F67" t="n">
        <x:f>D67*E67</x:f>
        <x:v>0</x:v>
      </x:c>
      <x:c r="G67" t="str">
        <x:f>IF(F67&gt;=20,"Critical",IF(F67&gt;=12,"High",IF(F67&gt;=6,"Moderate","Low")))</x:f>
        <x:v>Low</x:v>
      </x:c>
    </x:row>
    <x:row r="68">
      <x:c r="F68" t="n">
        <x:f>D68*E68</x:f>
        <x:v>0</x:v>
      </x:c>
      <x:c r="G68" t="str">
        <x:f>IF(F68&gt;=20,"Critical",IF(F68&gt;=12,"High",IF(F68&gt;=6,"Moderate","Low")))</x:f>
        <x:v>Low</x:v>
      </x:c>
    </x:row>
    <x:row r="69">
      <x:c r="F69" t="n">
        <x:f>D69*E69</x:f>
        <x:v>0</x:v>
      </x:c>
      <x:c r="G69" t="str">
        <x:f>IF(F69&gt;=20,"Critical",IF(F69&gt;=12,"High",IF(F69&gt;=6,"Moderate","Low")))</x:f>
        <x:v>Low</x:v>
      </x:c>
    </x:row>
    <x:row r="70">
      <x:c r="F70" t="n">
        <x:f>D70*E70</x:f>
        <x:v>0</x:v>
      </x:c>
      <x:c r="G70" t="str">
        <x:f>IF(F70&gt;=20,"Critical",IF(F70&gt;=12,"High",IF(F70&gt;=6,"Moderate","Low")))</x:f>
        <x:v>Low</x:v>
      </x:c>
    </x:row>
    <x:row r="71">
      <x:c r="F71" t="n">
        <x:f>D71*E71</x:f>
        <x:v>0</x:v>
      </x:c>
      <x:c r="G71" t="str">
        <x:f>IF(F71&gt;=20,"Critical",IF(F71&gt;=12,"High",IF(F71&gt;=6,"Moderate","Low")))</x:f>
        <x:v>Low</x:v>
      </x:c>
    </x:row>
    <x:row r="72">
      <x:c r="F72" t="n">
        <x:f>D72*E72</x:f>
        <x:v>0</x:v>
      </x:c>
      <x:c r="G72" t="str">
        <x:f>IF(F72&gt;=20,"Critical",IF(F72&gt;=12,"High",IF(F72&gt;=6,"Moderate","Low")))</x:f>
        <x:v>Low</x:v>
      </x:c>
    </x:row>
    <x:row r="73">
      <x:c r="F73" t="n">
        <x:f>D73*E73</x:f>
        <x:v>0</x:v>
      </x:c>
      <x:c r="G73" t="str">
        <x:f>IF(F73&gt;=20,"Critical",IF(F73&gt;=12,"High",IF(F73&gt;=6,"Moderate","Low")))</x:f>
        <x:v>Low</x:v>
      </x:c>
    </x:row>
    <x:row r="74">
      <x:c r="F74" t="n">
        <x:f>D74*E74</x:f>
        <x:v>0</x:v>
      </x:c>
      <x:c r="G74" t="str">
        <x:f>IF(F74&gt;=20,"Critical",IF(F74&gt;=12,"High",IF(F74&gt;=6,"Moderate","Low")))</x:f>
        <x:v>Low</x:v>
      </x:c>
    </x:row>
    <x:row r="75">
      <x:c r="F75" t="n">
        <x:f>D75*E75</x:f>
        <x:v>0</x:v>
      </x:c>
      <x:c r="G75" t="str">
        <x:f>IF(F75&gt;=20,"Critical",IF(F75&gt;=12,"High",IF(F75&gt;=6,"Moderate","Low")))</x:f>
        <x:v>Low</x:v>
      </x:c>
    </x:row>
    <x:row r="76">
      <x:c r="F76" t="n">
        <x:f>D76*E76</x:f>
        <x:v>0</x:v>
      </x:c>
      <x:c r="G76" t="str">
        <x:f>IF(F76&gt;=20,"Critical",IF(F76&gt;=12,"High",IF(F76&gt;=6,"Moderate","Low")))</x:f>
        <x:v>Low</x:v>
      </x:c>
    </x:row>
    <x:row r="77">
      <x:c r="F77" t="n">
        <x:f>D77*E77</x:f>
        <x:v>0</x:v>
      </x:c>
      <x:c r="G77" t="str">
        <x:f>IF(F77&gt;=20,"Critical",IF(F77&gt;=12,"High",IF(F77&gt;=6,"Moderate","Low")))</x:f>
        <x:v>Low</x:v>
      </x:c>
    </x:row>
    <x:row r="78">
      <x:c r="F78" t="n">
        <x:f>D78*E78</x:f>
        <x:v>0</x:v>
      </x:c>
      <x:c r="G78" t="str">
        <x:f>IF(F78&gt;=20,"Critical",IF(F78&gt;=12,"High",IF(F78&gt;=6,"Moderate","Low")))</x:f>
        <x:v>Low</x:v>
      </x:c>
    </x:row>
    <x:row r="79">
      <x:c r="F79" t="n">
        <x:f>D79*E79</x:f>
        <x:v>0</x:v>
      </x:c>
      <x:c r="G79" t="str">
        <x:f>IF(F79&gt;=20,"Critical",IF(F79&gt;=12,"High",IF(F79&gt;=6,"Moderate","Low")))</x:f>
        <x:v>Low</x:v>
      </x:c>
    </x:row>
    <x:row r="80">
      <x:c r="F80" t="n">
        <x:f>D80*E80</x:f>
        <x:v>0</x:v>
      </x:c>
      <x:c r="G80" t="str">
        <x:f>IF(F80&gt;=20,"Critical",IF(F80&gt;=12,"High",IF(F80&gt;=6,"Moderate","Low")))</x:f>
        <x:v>Low</x:v>
      </x:c>
    </x:row>
    <x:row r="81">
      <x:c r="F81" t="n">
        <x:f>D81*E81</x:f>
        <x:v>0</x:v>
      </x:c>
      <x:c r="G81" t="str">
        <x:f>IF(F81&gt;=20,"Critical",IF(F81&gt;=12,"High",IF(F81&gt;=6,"Moderate","Low")))</x:f>
        <x:v>Low</x:v>
      </x:c>
    </x:row>
    <x:row r="82">
      <x:c r="F82" t="n">
        <x:f>D82*E82</x:f>
        <x:v>0</x:v>
      </x:c>
      <x:c r="G82" t="str">
        <x:f>IF(F82&gt;=20,"Critical",IF(F82&gt;=12,"High",IF(F82&gt;=6,"Moderate","Low")))</x:f>
        <x:v>Low</x:v>
      </x:c>
    </x:row>
    <x:row r="83">
      <x:c r="F83" t="n">
        <x:f>D83*E83</x:f>
        <x:v>0</x:v>
      </x:c>
      <x:c r="G83" t="str">
        <x:f>IF(F83&gt;=20,"Critical",IF(F83&gt;=12,"High",IF(F83&gt;=6,"Moderate","Low")))</x:f>
        <x:v>Low</x:v>
      </x:c>
    </x:row>
    <x:row r="84">
      <x:c r="F84" t="n">
        <x:f>D84*E84</x:f>
        <x:v>0</x:v>
      </x:c>
      <x:c r="G84" t="str">
        <x:f>IF(F84&gt;=20,"Critical",IF(F84&gt;=12,"High",IF(F84&gt;=6,"Moderate","Low")))</x:f>
        <x:v>Low</x:v>
      </x:c>
    </x:row>
    <x:row r="85">
      <x:c r="F85" t="n">
        <x:f>D85*E85</x:f>
        <x:v>0</x:v>
      </x:c>
      <x:c r="G85" t="str">
        <x:f>IF(F85&gt;=20,"Critical",IF(F85&gt;=12,"High",IF(F85&gt;=6,"Moderate","Low")))</x:f>
        <x:v>Low</x:v>
      </x:c>
    </x:row>
    <x:row r="86">
      <x:c r="F86" t="n">
        <x:f>D86*E86</x:f>
        <x:v>0</x:v>
      </x:c>
      <x:c r="G86" t="str">
        <x:f>IF(F86&gt;=20,"Critical",IF(F86&gt;=12,"High",IF(F86&gt;=6,"Moderate","Low")))</x:f>
        <x:v>Low</x:v>
      </x:c>
    </x:row>
    <x:row r="87">
      <x:c r="F87" t="n">
        <x:f>D87*E87</x:f>
        <x:v>0</x:v>
      </x:c>
      <x:c r="G87" t="str">
        <x:f>IF(F87&gt;=20,"Critical",IF(F87&gt;=12,"High",IF(F87&gt;=6,"Moderate","Low")))</x:f>
        <x:v>Low</x:v>
      </x:c>
    </x:row>
    <x:row r="88">
      <x:c r="F88" t="n">
        <x:f>D88*E88</x:f>
        <x:v>0</x:v>
      </x:c>
      <x:c r="G88" t="str">
        <x:f>IF(F88&gt;=20,"Critical",IF(F88&gt;=12,"High",IF(F88&gt;=6,"Moderate","Low")))</x:f>
        <x:v>Low</x:v>
      </x:c>
    </x:row>
    <x:row r="89">
      <x:c r="F89" t="n">
        <x:f>D89*E89</x:f>
        <x:v>0</x:v>
      </x:c>
      <x:c r="G89" t="str">
        <x:f>IF(F89&gt;=20,"Critical",IF(F89&gt;=12,"High",IF(F89&gt;=6,"Moderate","Low")))</x:f>
        <x:v>Low</x:v>
      </x:c>
    </x:row>
    <x:row r="90">
      <x:c r="F90" t="n">
        <x:f>D90*E90</x:f>
        <x:v>0</x:v>
      </x:c>
      <x:c r="G90" t="str">
        <x:f>IF(F90&gt;=20,"Critical",IF(F90&gt;=12,"High",IF(F90&gt;=6,"Moderate","Low")))</x:f>
        <x:v>Low</x:v>
      </x:c>
    </x:row>
    <x:row r="91">
      <x:c r="F91" t="n">
        <x:f>D91*E91</x:f>
        <x:v>0</x:v>
      </x:c>
      <x:c r="G91" t="str">
        <x:f>IF(F91&gt;=20,"Critical",IF(F91&gt;=12,"High",IF(F91&gt;=6,"Moderate","Low")))</x:f>
        <x:v>Low</x:v>
      </x:c>
    </x:row>
    <x:row r="92">
      <x:c r="F92" t="n">
        <x:f>D92*E92</x:f>
        <x:v>0</x:v>
      </x:c>
      <x:c r="G92" t="str">
        <x:f>IF(F92&gt;=20,"Critical",IF(F92&gt;=12,"High",IF(F92&gt;=6,"Moderate","Low")))</x:f>
        <x:v>Low</x:v>
      </x:c>
    </x:row>
    <x:row r="93">
      <x:c r="F93" t="n">
        <x:f>D93*E93</x:f>
        <x:v>0</x:v>
      </x:c>
      <x:c r="G93" t="str">
        <x:f>IF(F93&gt;=20,"Critical",IF(F93&gt;=12,"High",IF(F93&gt;=6,"Moderate","Low")))</x:f>
        <x:v>Low</x:v>
      </x:c>
    </x:row>
    <x:row r="94">
      <x:c r="F94" t="n">
        <x:f>D94*E94</x:f>
        <x:v>0</x:v>
      </x:c>
      <x:c r="G94" t="str">
        <x:f>IF(F94&gt;=20,"Critical",IF(F94&gt;=12,"High",IF(F94&gt;=6,"Moderate","Low")))</x:f>
        <x:v>Low</x:v>
      </x:c>
    </x:row>
    <x:row r="95">
      <x:c r="F95" t="n">
        <x:f>D95*E95</x:f>
        <x:v>0</x:v>
      </x:c>
      <x:c r="G95" t="str">
        <x:f>IF(F95&gt;=20,"Critical",IF(F95&gt;=12,"High",IF(F95&gt;=6,"Moderate","Low")))</x:f>
        <x:v>Low</x:v>
      </x:c>
    </x:row>
    <x:row r="96">
      <x:c r="F96" t="n">
        <x:f>D96*E96</x:f>
        <x:v>0</x:v>
      </x:c>
      <x:c r="G96" t="str">
        <x:f>IF(F96&gt;=20,"Critical",IF(F96&gt;=12,"High",IF(F96&gt;=6,"Moderate","Low")))</x:f>
        <x:v>Low</x:v>
      </x:c>
    </x:row>
    <x:row r="97">
      <x:c r="F97" t="n">
        <x:f>D97*E97</x:f>
        <x:v>0</x:v>
      </x:c>
      <x:c r="G97" t="str">
        <x:f>IF(F97&gt;=20,"Critical",IF(F97&gt;=12,"High",IF(F97&gt;=6,"Moderate","Low")))</x:f>
        <x:v>Low</x:v>
      </x:c>
    </x:row>
    <x:row r="98">
      <x:c r="F98" t="n">
        <x:f>D98*E98</x:f>
        <x:v>0</x:v>
      </x:c>
      <x:c r="G98" t="str">
        <x:f>IF(F98&gt;=20,"Critical",IF(F98&gt;=12,"High",IF(F98&gt;=6,"Moderate","Low")))</x:f>
        <x:v>Low</x:v>
      </x:c>
    </x:row>
    <x:row r="99">
      <x:c r="F99" t="n">
        <x:f>D99*E99</x:f>
        <x:v>0</x:v>
      </x:c>
      <x:c r="G99" t="str">
        <x:f>IF(F99&gt;=20,"Critical",IF(F99&gt;=12,"High",IF(F99&gt;=6,"Moderate","Low")))</x:f>
        <x:v>Low</x:v>
      </x:c>
    </x:row>
    <x:row r="100">
      <x:c r="F100" t="n">
        <x:f>D100*E100</x:f>
        <x:v>0</x:v>
      </x:c>
      <x:c r="G100" t="str">
        <x:f>IF(F100&gt;=20,"Critical",IF(F100&gt;=12,"High",IF(F100&gt;=6,"Moderate","Low")))</x:f>
        <x:v>Low</x:v>
      </x:c>
    </x:row>
    <x:row r="101">
      <x:c r="F101" t="n">
        <x:f>D101*E101</x:f>
        <x:v>0</x:v>
      </x:c>
      <x:c r="G101" t="str">
        <x:f>IF(F101&gt;=20,"Critical",IF(F101&gt;=12,"High",IF(F101&gt;=6,"Moderate","Low")))</x:f>
        <x:v>Low</x:v>
      </x:c>
    </x:row>
    <x:row r="102">
      <x:c r="F102" t="n">
        <x:f>D102*E102</x:f>
        <x:v>0</x:v>
      </x:c>
      <x:c r="G102" t="str">
        <x:f>IF(F102&gt;=20,"Critical",IF(F102&gt;=12,"High",IF(F102&gt;=6,"Moderate","Low")))</x:f>
        <x:v>Low</x:v>
      </x:c>
    </x:row>
    <x:row r="103">
      <x:c r="F103" t="n">
        <x:f>D103*E103</x:f>
        <x:v>0</x:v>
      </x:c>
      <x:c r="G103" t="str">
        <x:f>IF(F103&gt;=20,"Critical",IF(F103&gt;=12,"High",IF(F103&gt;=6,"Moderate","Low")))</x:f>
        <x:v>Low</x:v>
      </x:c>
    </x:row>
    <x:row r="104">
      <x:c r="F104" t="n">
        <x:f>D104*E104</x:f>
        <x:v>0</x:v>
      </x:c>
      <x:c r="G104" t="str">
        <x:f>IF(F104&gt;=20,"Critical",IF(F104&gt;=12,"High",IF(F104&gt;=6,"Moderate","Low")))</x:f>
        <x:v>Low</x:v>
      </x:c>
    </x:row>
    <x:row r="105">
      <x:c r="F105" t="n">
        <x:f>D105*E105</x:f>
        <x:v>0</x:v>
      </x:c>
      <x:c r="G105" t="str">
        <x:f>IF(F105&gt;=20,"Critical",IF(F105&gt;=12,"High",IF(F105&gt;=6,"Moderate","Low")))</x:f>
        <x:v>Low</x:v>
      </x:c>
    </x:row>
    <x:row r="106">
      <x:c r="F106" t="n">
        <x:f>D106*E106</x:f>
        <x:v>0</x:v>
      </x:c>
      <x:c r="G106" t="str">
        <x:f>IF(F106&gt;=20,"Critical",IF(F106&gt;=12,"High",IF(F106&gt;=6,"Moderate","Low")))</x:f>
        <x:v>Low</x:v>
      </x:c>
    </x:row>
    <x:row r="107">
      <x:c r="F107" t="n">
        <x:f>D107*E107</x:f>
        <x:v>0</x:v>
      </x:c>
      <x:c r="G107" t="str">
        <x:f>IF(F107&gt;=20,"Critical",IF(F107&gt;=12,"High",IF(F107&gt;=6,"Moderate","Low")))</x:f>
        <x:v>Low</x:v>
      </x:c>
    </x:row>
    <x:row r="108">
      <x:c r="F108" t="n">
        <x:f>D108*E108</x:f>
        <x:v>0</x:v>
      </x:c>
      <x:c r="G108" t="str">
        <x:f>IF(F108&gt;=20,"Critical",IF(F108&gt;=12,"High",IF(F108&gt;=6,"Moderate","Low")))</x:f>
        <x:v>Low</x:v>
      </x:c>
    </x:row>
    <x:row r="109">
      <x:c r="F109" t="n">
        <x:f>D109*E109</x:f>
        <x:v>0</x:v>
      </x:c>
      <x:c r="G109" t="str">
        <x:f>IF(F109&gt;=20,"Critical",IF(F109&gt;=12,"High",IF(F109&gt;=6,"Moderate","Low")))</x:f>
        <x:v>Low</x:v>
      </x:c>
    </x:row>
    <x:row r="110">
      <x:c r="F110" t="n">
        <x:f>D110*E110</x:f>
        <x:v>0</x:v>
      </x:c>
      <x:c r="G110" t="str">
        <x:f>IF(F110&gt;=20,"Critical",IF(F110&gt;=12,"High",IF(F110&gt;=6,"Moderate","Low")))</x:f>
        <x:v>Low</x:v>
      </x:c>
    </x:row>
    <x:row r="111">
      <x:c r="F111" t="n">
        <x:f>D111*E111</x:f>
        <x:v>0</x:v>
      </x:c>
      <x:c r="G111" t="str">
        <x:f>IF(F111&gt;=20,"Critical",IF(F111&gt;=12,"High",IF(F111&gt;=6,"Moderate","Low")))</x:f>
        <x:v>Low</x:v>
      </x:c>
    </x:row>
    <x:row r="112">
      <x:c r="F112" t="n">
        <x:f>D112*E112</x:f>
        <x:v>0</x:v>
      </x:c>
      <x:c r="G112" t="str">
        <x:f>IF(F112&gt;=20,"Critical",IF(F112&gt;=12,"High",IF(F112&gt;=6,"Moderate","Low")))</x:f>
        <x:v>Low</x:v>
      </x:c>
    </x:row>
    <x:row r="113">
      <x:c r="F113" t="n">
        <x:f>D113*E113</x:f>
        <x:v>0</x:v>
      </x:c>
      <x:c r="G113" t="str">
        <x:f>IF(F113&gt;=20,"Critical",IF(F113&gt;=12,"High",IF(F113&gt;=6,"Moderate","Low")))</x:f>
        <x:v>Low</x:v>
      </x:c>
    </x:row>
    <x:row r="114">
      <x:c r="F114" t="n">
        <x:f>D114*E114</x:f>
        <x:v>0</x:v>
      </x:c>
      <x:c r="G114" t="str">
        <x:f>IF(F114&gt;=20,"Critical",IF(F114&gt;=12,"High",IF(F114&gt;=6,"Moderate","Low")))</x:f>
        <x:v>Low</x:v>
      </x:c>
    </x:row>
    <x:row r="115">
      <x:c r="F115" t="n">
        <x:f>D115*E115</x:f>
        <x:v>0</x:v>
      </x:c>
      <x:c r="G115" t="str">
        <x:f>IF(F115&gt;=20,"Critical",IF(F115&gt;=12,"High",IF(F115&gt;=6,"Moderate","Low")))</x:f>
        <x:v>Low</x:v>
      </x:c>
    </x:row>
    <x:row r="116">
      <x:c r="F116" t="n">
        <x:f>D116*E116</x:f>
        <x:v>0</x:v>
      </x:c>
      <x:c r="G116" t="str">
        <x:f>IF(F116&gt;=20,"Critical",IF(F116&gt;=12,"High",IF(F116&gt;=6,"Moderate","Low")))</x:f>
        <x:v>Low</x:v>
      </x:c>
    </x:row>
    <x:row r="117">
      <x:c r="F117" t="n">
        <x:f>D117*E117</x:f>
        <x:v>0</x:v>
      </x:c>
      <x:c r="G117" t="str">
        <x:f>IF(F117&gt;=20,"Critical",IF(F117&gt;=12,"High",IF(F117&gt;=6,"Moderate","Low")))</x:f>
        <x:v>Low</x:v>
      </x:c>
    </x:row>
    <x:row r="118">
      <x:c r="F118" t="n">
        <x:f>D118*E118</x:f>
        <x:v>0</x:v>
      </x:c>
      <x:c r="G118" t="str">
        <x:f>IF(F118&gt;=20,"Critical",IF(F118&gt;=12,"High",IF(F118&gt;=6,"Moderate","Low")))</x:f>
        <x:v>Low</x:v>
      </x:c>
    </x:row>
    <x:row r="119">
      <x:c r="F119" t="n">
        <x:f>D119*E119</x:f>
        <x:v>0</x:v>
      </x:c>
      <x:c r="G119" t="str">
        <x:f>IF(F119&gt;=20,"Critical",IF(F119&gt;=12,"High",IF(F119&gt;=6,"Moderate","Low")))</x:f>
        <x:v>Low</x:v>
      </x:c>
    </x:row>
    <x:row r="120">
      <x:c r="F120" t="n">
        <x:f>D120*E120</x:f>
        <x:v>0</x:v>
      </x:c>
      <x:c r="G120" t="str">
        <x:f>IF(F120&gt;=20,"Critical",IF(F120&gt;=12,"High",IF(F120&gt;=6,"Moderate","Low")))</x:f>
        <x:v>Low</x:v>
      </x:c>
    </x:row>
    <x:row r="121">
      <x:c r="F121" t="n">
        <x:f>D121*E121</x:f>
        <x:v>0</x:v>
      </x:c>
      <x:c r="G121" t="str">
        <x:f>IF(F121&gt;=20,"Critical",IF(F121&gt;=12,"High",IF(F121&gt;=6,"Moderate","Low")))</x:f>
        <x:v>Low</x:v>
      </x:c>
    </x:row>
    <x:row r="122">
      <x:c r="F122" t="n">
        <x:f>D122*E122</x:f>
        <x:v>0</x:v>
      </x:c>
      <x:c r="G122" t="str">
        <x:f>IF(F122&gt;=20,"Critical",IF(F122&gt;=12,"High",IF(F122&gt;=6,"Moderate","Low")))</x:f>
        <x:v>Low</x:v>
      </x:c>
    </x:row>
    <x:row r="123">
      <x:c r="F123" t="n">
        <x:f>D123*E123</x:f>
        <x:v>0</x:v>
      </x:c>
      <x:c r="G123" t="str">
        <x:f>IF(F123&gt;=20,"Critical",IF(F123&gt;=12,"High",IF(F123&gt;=6,"Moderate","Low")))</x:f>
        <x:v>Low</x:v>
      </x:c>
    </x:row>
    <x:row r="124">
      <x:c r="F124" t="n">
        <x:f>D124*E124</x:f>
        <x:v>0</x:v>
      </x:c>
      <x:c r="G124" t="str">
        <x:f>IF(F124&gt;=20,"Critical",IF(F124&gt;=12,"High",IF(F124&gt;=6,"Moderate","Low")))</x:f>
        <x:v>Low</x:v>
      </x:c>
    </x:row>
    <x:row r="125">
      <x:c r="F125" t="n">
        <x:f>D125*E125</x:f>
        <x:v>0</x:v>
      </x:c>
      <x:c r="G125" t="str">
        <x:f>IF(F125&gt;=20,"Critical",IF(F125&gt;=12,"High",IF(F125&gt;=6,"Moderate","Low")))</x:f>
        <x:v>Low</x:v>
      </x:c>
    </x:row>
    <x:row r="126">
      <x:c r="F126" t="n">
        <x:f>D126*E126</x:f>
        <x:v>0</x:v>
      </x:c>
      <x:c r="G126" t="str">
        <x:f>IF(F126&gt;=20,"Critical",IF(F126&gt;=12,"High",IF(F126&gt;=6,"Moderate","Low")))</x:f>
        <x:v>Low</x:v>
      </x:c>
    </x:row>
    <x:row r="127">
      <x:c r="F127" t="n">
        <x:f>D127*E127</x:f>
        <x:v>0</x:v>
      </x:c>
      <x:c r="G127" t="str">
        <x:f>IF(F127&gt;=20,"Critical",IF(F127&gt;=12,"High",IF(F127&gt;=6,"Moderate","Low")))</x:f>
        <x:v>Low</x:v>
      </x:c>
    </x:row>
    <x:row r="128">
      <x:c r="F128" t="n">
        <x:f>D128*E128</x:f>
        <x:v>0</x:v>
      </x:c>
      <x:c r="G128" t="str">
        <x:f>IF(F128&gt;=20,"Critical",IF(F128&gt;=12,"High",IF(F128&gt;=6,"Moderate","Low")))</x:f>
        <x:v>Low</x:v>
      </x:c>
    </x:row>
    <x:row r="129">
      <x:c r="F129" t="n">
        <x:f>D129*E129</x:f>
        <x:v>0</x:v>
      </x:c>
      <x:c r="G129" t="str">
        <x:f>IF(F129&gt;=20,"Critical",IF(F129&gt;=12,"High",IF(F129&gt;=6,"Moderate","Low")))</x:f>
        <x:v>Low</x:v>
      </x:c>
    </x:row>
    <x:row r="130">
      <x:c r="F130" t="n">
        <x:f>D130*E130</x:f>
        <x:v>0</x:v>
      </x:c>
      <x:c r="G130" t="str">
        <x:f>IF(F130&gt;=20,"Critical",IF(F130&gt;=12,"High",IF(F130&gt;=6,"Moderate","Low")))</x:f>
        <x:v>Low</x:v>
      </x:c>
    </x:row>
    <x:row r="131">
      <x:c r="F131" t="n">
        <x:f>D131*E131</x:f>
        <x:v>0</x:v>
      </x:c>
      <x:c r="G131" t="str">
        <x:f>IF(F131&gt;=20,"Critical",IF(F131&gt;=12,"High",IF(F131&gt;=6,"Moderate","Low")))</x:f>
        <x:v>Low</x:v>
      </x:c>
    </x:row>
    <x:row r="132">
      <x:c r="F132" t="n">
        <x:f>D132*E132</x:f>
        <x:v>0</x:v>
      </x:c>
      <x:c r="G132" t="str">
        <x:f>IF(F132&gt;=20,"Critical",IF(F132&gt;=12,"High",IF(F132&gt;=6,"Moderate","Low")))</x:f>
        <x:v>Low</x:v>
      </x:c>
    </x:row>
    <x:row r="133">
      <x:c r="F133" t="n">
        <x:f>D133*E133</x:f>
        <x:v>0</x:v>
      </x:c>
      <x:c r="G133" t="str">
        <x:f>IF(F133&gt;=20,"Critical",IF(F133&gt;=12,"High",IF(F133&gt;=6,"Moderate","Low")))</x:f>
        <x:v>Low</x:v>
      </x:c>
    </x:row>
    <x:row r="134">
      <x:c r="F134" t="n">
        <x:f>D134*E134</x:f>
        <x:v>0</x:v>
      </x:c>
      <x:c r="G134" t="str">
        <x:f>IF(F134&gt;=20,"Critical",IF(F134&gt;=12,"High",IF(F134&gt;=6,"Moderate","Low")))</x:f>
        <x:v>Low</x:v>
      </x:c>
    </x:row>
    <x:row r="135">
      <x:c r="F135" t="n">
        <x:f>D135*E135</x:f>
        <x:v>0</x:v>
      </x:c>
      <x:c r="G135" t="str">
        <x:f>IF(F135&gt;=20,"Critical",IF(F135&gt;=12,"High",IF(F135&gt;=6,"Moderate","Low")))</x:f>
        <x:v>Low</x:v>
      </x:c>
    </x:row>
    <x:row r="136">
      <x:c r="F136" t="n">
        <x:f>D136*E136</x:f>
        <x:v>0</x:v>
      </x:c>
      <x:c r="G136" t="str">
        <x:f>IF(F136&gt;=20,"Critical",IF(F136&gt;=12,"High",IF(F136&gt;=6,"Moderate","Low")))</x:f>
        <x:v>Low</x:v>
      </x:c>
    </x:row>
    <x:row r="137">
      <x:c r="F137" t="n">
        <x:f>D137*E137</x:f>
        <x:v>0</x:v>
      </x:c>
      <x:c r="G137" t="str">
        <x:f>IF(F137&gt;=20,"Critical",IF(F137&gt;=12,"High",IF(F137&gt;=6,"Moderate","Low")))</x:f>
        <x:v>Low</x:v>
      </x:c>
    </x:row>
    <x:row r="138">
      <x:c r="F138" t="n">
        <x:f>D138*E138</x:f>
        <x:v>0</x:v>
      </x:c>
      <x:c r="G138" t="str">
        <x:f>IF(F138&gt;=20,"Critical",IF(F138&gt;=12,"High",IF(F138&gt;=6,"Moderate","Low")))</x:f>
        <x:v>Low</x:v>
      </x:c>
    </x:row>
    <x:row r="139">
      <x:c r="F139" t="n">
        <x:f>D139*E139</x:f>
        <x:v>0</x:v>
      </x:c>
      <x:c r="G139" t="str">
        <x:f>IF(F139&gt;=20,"Critical",IF(F139&gt;=12,"High",IF(F139&gt;=6,"Moderate","Low")))</x:f>
        <x:v>Low</x:v>
      </x:c>
    </x:row>
    <x:row r="140">
      <x:c r="F140" t="n">
        <x:f>D140*E140</x:f>
        <x:v>0</x:v>
      </x:c>
      <x:c r="G140" t="str">
        <x:f>IF(F140&gt;=20,"Critical",IF(F140&gt;=12,"High",IF(F140&gt;=6,"Moderate","Low")))</x:f>
        <x:v>Low</x:v>
      </x:c>
    </x:row>
    <x:row r="141">
      <x:c r="F141" t="n">
        <x:f>D141*E141</x:f>
        <x:v>0</x:v>
      </x:c>
      <x:c r="G141" t="str">
        <x:f>IF(F141&gt;=20,"Critical",IF(F141&gt;=12,"High",IF(F141&gt;=6,"Moderate","Low")))</x:f>
        <x:v>Low</x:v>
      </x:c>
    </x:row>
    <x:row r="142">
      <x:c r="F142" t="n">
        <x:f>D142*E142</x:f>
        <x:v>0</x:v>
      </x:c>
      <x:c r="G142" t="str">
        <x:f>IF(F142&gt;=20,"Critical",IF(F142&gt;=12,"High",IF(F142&gt;=6,"Moderate","Low")))</x:f>
        <x:v>Low</x:v>
      </x:c>
    </x:row>
    <x:row r="143">
      <x:c r="F143" t="n">
        <x:f>D143*E143</x:f>
        <x:v>0</x:v>
      </x:c>
      <x:c r="G143" t="str">
        <x:f>IF(F143&gt;=20,"Critical",IF(F143&gt;=12,"High",IF(F143&gt;=6,"Moderate","Low")))</x:f>
        <x:v>Low</x:v>
      </x:c>
    </x:row>
    <x:row r="144">
      <x:c r="F144" t="n">
        <x:f>D144*E144</x:f>
        <x:v>0</x:v>
      </x:c>
      <x:c r="G144" t="str">
        <x:f>IF(F144&gt;=20,"Critical",IF(F144&gt;=12,"High",IF(F144&gt;=6,"Moderate","Low")))</x:f>
        <x:v>Low</x:v>
      </x:c>
    </x:row>
    <x:row r="145">
      <x:c r="F145" t="n">
        <x:f>D145*E145</x:f>
        <x:v>0</x:v>
      </x:c>
      <x:c r="G145" t="str">
        <x:f>IF(F145&gt;=20,"Critical",IF(F145&gt;=12,"High",IF(F145&gt;=6,"Moderate","Low")))</x:f>
        <x:v>Low</x:v>
      </x:c>
    </x:row>
    <x:row r="146">
      <x:c r="F146" t="n">
        <x:f>D146*E146</x:f>
        <x:v>0</x:v>
      </x:c>
      <x:c r="G146" t="str">
        <x:f>IF(F146&gt;=20,"Critical",IF(F146&gt;=12,"High",IF(F146&gt;=6,"Moderate","Low")))</x:f>
        <x:v>Low</x:v>
      </x:c>
    </x:row>
    <x:row r="147">
      <x:c r="F147" t="n">
        <x:f>D147*E147</x:f>
        <x:v>0</x:v>
      </x:c>
      <x:c r="G147" t="str">
        <x:f>IF(F147&gt;=20,"Critical",IF(F147&gt;=12,"High",IF(F147&gt;=6,"Moderate","Low")))</x:f>
        <x:v>Low</x:v>
      </x:c>
    </x:row>
    <x:row r="148">
      <x:c r="F148" t="n">
        <x:f>D148*E148</x:f>
        <x:v>0</x:v>
      </x:c>
      <x:c r="G148" t="str">
        <x:f>IF(F148&gt;=20,"Critical",IF(F148&gt;=12,"High",IF(F148&gt;=6,"Moderate","Low")))</x:f>
        <x:v>Low</x:v>
      </x:c>
    </x:row>
    <x:row r="149">
      <x:c r="F149" t="n">
        <x:f>D149*E149</x:f>
        <x:v>0</x:v>
      </x:c>
      <x:c r="G149" t="str">
        <x:f>IF(F149&gt;=20,"Critical",IF(F149&gt;=12,"High",IF(F149&gt;=6,"Moderate","Low")))</x:f>
        <x:v>Low</x:v>
      </x:c>
    </x:row>
    <x:row r="150">
      <x:c r="F150" t="n">
        <x:f>D150*E150</x:f>
        <x:v>0</x:v>
      </x:c>
      <x:c r="G150" t="str">
        <x:f>IF(F150&gt;=20,"Critical",IF(F150&gt;=12,"High",IF(F150&gt;=6,"Moderate","Low")))</x:f>
        <x:v>Low</x:v>
      </x:c>
    </x:row>
    <x:row r="151">
      <x:c r="F151" t="n">
        <x:f>D151*E151</x:f>
        <x:v>0</x:v>
      </x:c>
      <x:c r="G151" t="str">
        <x:f>IF(F151&gt;=20,"Critical",IF(F151&gt;=12,"High",IF(F151&gt;=6,"Moderate","Low")))</x:f>
        <x:v>Low</x:v>
      </x:c>
    </x:row>
    <x:row r="152">
      <x:c r="F152" t="n">
        <x:f>D152*E152</x:f>
        <x:v>0</x:v>
      </x:c>
      <x:c r="G152" t="str">
        <x:f>IF(F152&gt;=20,"Critical",IF(F152&gt;=12,"High",IF(F152&gt;=6,"Moderate","Low")))</x:f>
        <x:v>Low</x:v>
      </x:c>
    </x:row>
    <x:row r="153">
      <x:c r="F153" t="n">
        <x:f>D153*E153</x:f>
        <x:v>0</x:v>
      </x:c>
      <x:c r="G153" t="str">
        <x:f>IF(F153&gt;=20,"Critical",IF(F153&gt;=12,"High",IF(F153&gt;=6,"Moderate","Low")))</x:f>
        <x:v>Low</x:v>
      </x:c>
    </x:row>
    <x:row r="154">
      <x:c r="F154" t="n">
        <x:f>D154*E154</x:f>
        <x:v>0</x:v>
      </x:c>
      <x:c r="G154" t="str">
        <x:f>IF(F154&gt;=20,"Critical",IF(F154&gt;=12,"High",IF(F154&gt;=6,"Moderate","Low")))</x:f>
        <x:v>Low</x:v>
      </x:c>
    </x:row>
    <x:row r="155">
      <x:c r="F155" t="n">
        <x:f>D155*E155</x:f>
        <x:v>0</x:v>
      </x:c>
      <x:c r="G155" t="str">
        <x:f>IF(F155&gt;=20,"Critical",IF(F155&gt;=12,"High",IF(F155&gt;=6,"Moderate","Low")))</x:f>
        <x:v>Low</x:v>
      </x:c>
    </x:row>
    <x:row r="156">
      <x:c r="F156" t="n">
        <x:f>D156*E156</x:f>
        <x:v>0</x:v>
      </x:c>
      <x:c r="G156" t="str">
        <x:f>IF(F156&gt;=20,"Critical",IF(F156&gt;=12,"High",IF(F156&gt;=6,"Moderate","Low")))</x:f>
        <x:v>Low</x:v>
      </x:c>
    </x:row>
    <x:row r="157">
      <x:c r="F157" t="n">
        <x:f>D157*E157</x:f>
        <x:v>0</x:v>
      </x:c>
      <x:c r="G157" t="str">
        <x:f>IF(F157&gt;=20,"Critical",IF(F157&gt;=12,"High",IF(F157&gt;=6,"Moderate","Low")))</x:f>
        <x:v>Low</x:v>
      </x:c>
    </x:row>
    <x:row r="158">
      <x:c r="F158" t="n">
        <x:f>D158*E158</x:f>
        <x:v>0</x:v>
      </x:c>
      <x:c r="G158" t="str">
        <x:f>IF(F158&gt;=20,"Critical",IF(F158&gt;=12,"High",IF(F158&gt;=6,"Moderate","Low")))</x:f>
        <x:v>Low</x:v>
      </x:c>
    </x:row>
    <x:row r="159">
      <x:c r="F159" t="n">
        <x:f>D159*E159</x:f>
        <x:v>0</x:v>
      </x:c>
      <x:c r="G159" t="str">
        <x:f>IF(F159&gt;=20,"Critical",IF(F159&gt;=12,"High",IF(F159&gt;=6,"Moderate","Low")))</x:f>
        <x:v>Low</x:v>
      </x:c>
    </x:row>
    <x:row r="160">
      <x:c r="F160" t="n">
        <x:f>D160*E160</x:f>
        <x:v>0</x:v>
      </x:c>
      <x:c r="G160" t="str">
        <x:f>IF(F160&gt;=20,"Critical",IF(F160&gt;=12,"High",IF(F160&gt;=6,"Moderate","Low")))</x:f>
        <x:v>Low</x:v>
      </x:c>
    </x:row>
    <x:row r="161">
      <x:c r="F161" t="n">
        <x:f>D161*E161</x:f>
        <x:v>0</x:v>
      </x:c>
      <x:c r="G161" t="str">
        <x:f>IF(F161&gt;=20,"Critical",IF(F161&gt;=12,"High",IF(F161&gt;=6,"Moderate","Low")))</x:f>
        <x:v>Low</x:v>
      </x:c>
    </x:row>
    <x:row r="162">
      <x:c r="F162" t="n">
        <x:f>D162*E162</x:f>
        <x:v>0</x:v>
      </x:c>
      <x:c r="G162" t="str">
        <x:f>IF(F162&gt;=20,"Critical",IF(F162&gt;=12,"High",IF(F162&gt;=6,"Moderate","Low")))</x:f>
        <x:v>Low</x:v>
      </x:c>
    </x:row>
    <x:row r="163">
      <x:c r="F163" t="n">
        <x:f>D163*E163</x:f>
        <x:v>0</x:v>
      </x:c>
      <x:c r="G163" t="str">
        <x:f>IF(F163&gt;=20,"Critical",IF(F163&gt;=12,"High",IF(F163&gt;=6,"Moderate","Low")))</x:f>
        <x:v>Low</x:v>
      </x:c>
    </x:row>
    <x:row r="164">
      <x:c r="F164" t="n">
        <x:f>D164*E164</x:f>
        <x:v>0</x:v>
      </x:c>
      <x:c r="G164" t="str">
        <x:f>IF(F164&gt;=20,"Critical",IF(F164&gt;=12,"High",IF(F164&gt;=6,"Moderate","Low")))</x:f>
        <x:v>Low</x:v>
      </x:c>
    </x:row>
    <x:row r="165">
      <x:c r="F165" t="n">
        <x:f>D165*E165</x:f>
        <x:v>0</x:v>
      </x:c>
      <x:c r="G165" t="str">
        <x:f>IF(F165&gt;=20,"Critical",IF(F165&gt;=12,"High",IF(F165&gt;=6,"Moderate","Low")))</x:f>
        <x:v>Low</x:v>
      </x:c>
    </x:row>
    <x:row r="166">
      <x:c r="F166" t="n">
        <x:f>D166*E166</x:f>
        <x:v>0</x:v>
      </x:c>
      <x:c r="G166" t="str">
        <x:f>IF(F166&gt;=20,"Critical",IF(F166&gt;=12,"High",IF(F166&gt;=6,"Moderate","Low")))</x:f>
        <x:v>Low</x:v>
      </x:c>
    </x:row>
    <x:row r="167">
      <x:c r="F167" t="n">
        <x:f>D167*E167</x:f>
        <x:v>0</x:v>
      </x:c>
      <x:c r="G167" t="str">
        <x:f>IF(F167&gt;=20,"Critical",IF(F167&gt;=12,"High",IF(F167&gt;=6,"Moderate","Low")))</x:f>
        <x:v>Low</x:v>
      </x:c>
    </x:row>
    <x:row r="168">
      <x:c r="F168" t="n">
        <x:f>D168*E168</x:f>
        <x:v>0</x:v>
      </x:c>
      <x:c r="G168" t="str">
        <x:f>IF(F168&gt;=20,"Critical",IF(F168&gt;=12,"High",IF(F168&gt;=6,"Moderate","Low")))</x:f>
        <x:v>Low</x:v>
      </x:c>
    </x:row>
    <x:row r="169">
      <x:c r="F169" t="n">
        <x:f>D169*E169</x:f>
        <x:v>0</x:v>
      </x:c>
      <x:c r="G169" t="str">
        <x:f>IF(F169&gt;=20,"Critical",IF(F169&gt;=12,"High",IF(F169&gt;=6,"Moderate","Low")))</x:f>
        <x:v>Low</x:v>
      </x:c>
    </x:row>
    <x:row r="170">
      <x:c r="F170" t="n">
        <x:f>D170*E170</x:f>
        <x:v>0</x:v>
      </x:c>
      <x:c r="G170" t="str">
        <x:f>IF(F170&gt;=20,"Critical",IF(F170&gt;=12,"High",IF(F170&gt;=6,"Moderate","Low")))</x:f>
        <x:v>Low</x:v>
      </x:c>
    </x:row>
    <x:row r="171">
      <x:c r="F171" t="n">
        <x:f>D171*E171</x:f>
        <x:v>0</x:v>
      </x:c>
      <x:c r="G171" t="str">
        <x:f>IF(F171&gt;=20,"Critical",IF(F171&gt;=12,"High",IF(F171&gt;=6,"Moderate","Low")))</x:f>
        <x:v>Low</x:v>
      </x:c>
    </x:row>
    <x:row r="172">
      <x:c r="F172" t="n">
        <x:f>D172*E172</x:f>
        <x:v>0</x:v>
      </x:c>
      <x:c r="G172" t="str">
        <x:f>IF(F172&gt;=20,"Critical",IF(F172&gt;=12,"High",IF(F172&gt;=6,"Moderate","Low")))</x:f>
        <x:v>Low</x:v>
      </x:c>
    </x:row>
    <x:row r="173">
      <x:c r="F173" t="n">
        <x:f>D173*E173</x:f>
        <x:v>0</x:v>
      </x:c>
      <x:c r="G173" t="str">
        <x:f>IF(F173&gt;=20,"Critical",IF(F173&gt;=12,"High",IF(F173&gt;=6,"Moderate","Low")))</x:f>
        <x:v>Low</x:v>
      </x:c>
    </x:row>
    <x:row r="174">
      <x:c r="F174" t="n">
        <x:f>D174*E174</x:f>
        <x:v>0</x:v>
      </x:c>
      <x:c r="G174" t="str">
        <x:f>IF(F174&gt;=20,"Critical",IF(F174&gt;=12,"High",IF(F174&gt;=6,"Moderate","Low")))</x:f>
        <x:v>Low</x:v>
      </x:c>
    </x:row>
    <x:row r="175">
      <x:c r="F175" t="n">
        <x:f>D175*E175</x:f>
        <x:v>0</x:v>
      </x:c>
      <x:c r="G175" t="str">
        <x:f>IF(F175&gt;=20,"Critical",IF(F175&gt;=12,"High",IF(F175&gt;=6,"Moderate","Low")))</x:f>
        <x:v>Low</x:v>
      </x:c>
    </x:row>
    <x:row r="176">
      <x:c r="F176" t="n">
        <x:f>D176*E176</x:f>
        <x:v>0</x:v>
      </x:c>
      <x:c r="G176" t="str">
        <x:f>IF(F176&gt;=20,"Critical",IF(F176&gt;=12,"High",IF(F176&gt;=6,"Moderate","Low")))</x:f>
        <x:v>Low</x:v>
      </x:c>
    </x:row>
    <x:row r="177">
      <x:c r="F177" t="n">
        <x:f>D177*E177</x:f>
        <x:v>0</x:v>
      </x:c>
      <x:c r="G177" t="str">
        <x:f>IF(F177&gt;=20,"Critical",IF(F177&gt;=12,"High",IF(F177&gt;=6,"Moderate","Low")))</x:f>
        <x:v>Low</x:v>
      </x:c>
    </x:row>
    <x:row r="178">
      <x:c r="F178" t="n">
        <x:f>D178*E178</x:f>
        <x:v>0</x:v>
      </x:c>
      <x:c r="G178" t="str">
        <x:f>IF(F178&gt;=20,"Critical",IF(F178&gt;=12,"High",IF(F178&gt;=6,"Moderate","Low")))</x:f>
        <x:v>Low</x:v>
      </x:c>
    </x:row>
    <x:row r="179">
      <x:c r="F179" t="n">
        <x:f>D179*E179</x:f>
        <x:v>0</x:v>
      </x:c>
      <x:c r="G179" t="str">
        <x:f>IF(F179&gt;=20,"Critical",IF(F179&gt;=12,"High",IF(F179&gt;=6,"Moderate","Low")))</x:f>
        <x:v>Low</x:v>
      </x:c>
    </x:row>
    <x:row r="180">
      <x:c r="F180" t="n">
        <x:f>D180*E180</x:f>
        <x:v>0</x:v>
      </x:c>
      <x:c r="G180" t="str">
        <x:f>IF(F180&gt;=20,"Critical",IF(F180&gt;=12,"High",IF(F180&gt;=6,"Moderate","Low")))</x:f>
        <x:v>Low</x:v>
      </x:c>
    </x:row>
    <x:row r="181">
      <x:c r="F181" t="n">
        <x:f>D181*E181</x:f>
        <x:v>0</x:v>
      </x:c>
      <x:c r="G181" t="str">
        <x:f>IF(F181&gt;=20,"Critical",IF(F181&gt;=12,"High",IF(F181&gt;=6,"Moderate","Low")))</x:f>
        <x:v>Low</x:v>
      </x:c>
    </x:row>
    <x:row r="182">
      <x:c r="F182" t="n">
        <x:f>D182*E182</x:f>
        <x:v>0</x:v>
      </x:c>
      <x:c r="G182" t="str">
        <x:f>IF(F182&gt;=20,"Critical",IF(F182&gt;=12,"High",IF(F182&gt;=6,"Moderate","Low")))</x:f>
        <x:v>Low</x:v>
      </x:c>
    </x:row>
    <x:row r="183">
      <x:c r="F183" t="n">
        <x:f>D183*E183</x:f>
        <x:v>0</x:v>
      </x:c>
      <x:c r="G183" t="str">
        <x:f>IF(F183&gt;=20,"Critical",IF(F183&gt;=12,"High",IF(F183&gt;=6,"Moderate","Low")))</x:f>
        <x:v>Low</x:v>
      </x:c>
    </x:row>
    <x:row r="184">
      <x:c r="F184" t="n">
        <x:f>D184*E184</x:f>
        <x:v>0</x:v>
      </x:c>
      <x:c r="G184" t="str">
        <x:f>IF(F184&gt;=20,"Critical",IF(F184&gt;=12,"High",IF(F184&gt;=6,"Moderate","Low")))</x:f>
        <x:v>Low</x:v>
      </x:c>
    </x:row>
    <x:row r="185">
      <x:c r="F185" t="n">
        <x:f>D185*E185</x:f>
        <x:v>0</x:v>
      </x:c>
      <x:c r="G185" t="str">
        <x:f>IF(F185&gt;=20,"Critical",IF(F185&gt;=12,"High",IF(F185&gt;=6,"Moderate","Low")))</x:f>
        <x:v>Low</x:v>
      </x:c>
    </x:row>
    <x:row r="186">
      <x:c r="F186" t="n">
        <x:f>D186*E186</x:f>
        <x:v>0</x:v>
      </x:c>
      <x:c r="G186" t="str">
        <x:f>IF(F186&gt;=20,"Critical",IF(F186&gt;=12,"High",IF(F186&gt;=6,"Moderate","Low")))</x:f>
        <x:v>Low</x:v>
      </x:c>
    </x:row>
    <x:row r="187">
      <x:c r="F187" t="n">
        <x:f>D187*E187</x:f>
        <x:v>0</x:v>
      </x:c>
      <x:c r="G187" t="str">
        <x:f>IF(F187&gt;=20,"Critical",IF(F187&gt;=12,"High",IF(F187&gt;=6,"Moderate","Low")))</x:f>
        <x:v>Low</x:v>
      </x:c>
    </x:row>
    <x:row r="188">
      <x:c r="F188" t="n">
        <x:f>D188*E188</x:f>
        <x:v>0</x:v>
      </x:c>
      <x:c r="G188" t="str">
        <x:f>IF(F188&gt;=20,"Critical",IF(F188&gt;=12,"High",IF(F188&gt;=6,"Moderate","Low")))</x:f>
        <x:v>Low</x:v>
      </x:c>
    </x:row>
    <x:row r="189">
      <x:c r="F189" t="n">
        <x:f>D189*E189</x:f>
        <x:v>0</x:v>
      </x:c>
      <x:c r="G189" t="str">
        <x:f>IF(F189&gt;=20,"Critical",IF(F189&gt;=12,"High",IF(F189&gt;=6,"Moderate","Low")))</x:f>
        <x:v>Low</x:v>
      </x:c>
    </x:row>
    <x:row r="190">
      <x:c r="F190" t="n">
        <x:f>D190*E190</x:f>
        <x:v>0</x:v>
      </x:c>
      <x:c r="G190" t="str">
        <x:f>IF(F190&gt;=20,"Critical",IF(F190&gt;=12,"High",IF(F190&gt;=6,"Moderate","Low")))</x:f>
        <x:v>Low</x:v>
      </x:c>
    </x:row>
    <x:row r="191">
      <x:c r="F191" t="n">
        <x:f>D191*E191</x:f>
        <x:v>0</x:v>
      </x:c>
      <x:c r="G191" t="str">
        <x:f>IF(F191&gt;=20,"Critical",IF(F191&gt;=12,"High",IF(F191&gt;=6,"Moderate","Low")))</x:f>
        <x:v>Low</x:v>
      </x:c>
    </x:row>
    <x:row r="192">
      <x:c r="F192" t="n">
        <x:f>D192*E192</x:f>
        <x:v>0</x:v>
      </x:c>
      <x:c r="G192" t="str">
        <x:f>IF(F192&gt;=20,"Critical",IF(F192&gt;=12,"High",IF(F192&gt;=6,"Moderate","Low")))</x:f>
        <x:v>Low</x:v>
      </x:c>
    </x:row>
    <x:row r="193">
      <x:c r="F193" t="n">
        <x:f>D193*E193</x:f>
        <x:v>0</x:v>
      </x:c>
      <x:c r="G193" t="str">
        <x:f>IF(F193&gt;=20,"Critical",IF(F193&gt;=12,"High",IF(F193&gt;=6,"Moderate","Low")))</x:f>
        <x:v>Low</x:v>
      </x:c>
    </x:row>
    <x:row r="194">
      <x:c r="F194" t="n">
        <x:f>D194*E194</x:f>
        <x:v>0</x:v>
      </x:c>
      <x:c r="G194" t="str">
        <x:f>IF(F194&gt;=20,"Critical",IF(F194&gt;=12,"High",IF(F194&gt;=6,"Moderate","Low")))</x:f>
        <x:v>Low</x:v>
      </x:c>
    </x:row>
    <x:row r="195">
      <x:c r="F195" t="n">
        <x:f>D195*E195</x:f>
        <x:v>0</x:v>
      </x:c>
      <x:c r="G195" t="str">
        <x:f>IF(F195&gt;=20,"Critical",IF(F195&gt;=12,"High",IF(F195&gt;=6,"Moderate","Low")))</x:f>
        <x:v>Low</x:v>
      </x:c>
    </x:row>
    <x:row r="196">
      <x:c r="F196" t="n">
        <x:f>D196*E196</x:f>
        <x:v>0</x:v>
      </x:c>
      <x:c r="G196" t="str">
        <x:f>IF(F196&gt;=20,"Critical",IF(F196&gt;=12,"High",IF(F196&gt;=6,"Moderate","Low")))</x:f>
        <x:v>Low</x:v>
      </x:c>
    </x:row>
    <x:row r="197">
      <x:c r="F197" t="n">
        <x:f>D197*E197</x:f>
        <x:v>0</x:v>
      </x:c>
      <x:c r="G197" t="str">
        <x:f>IF(F197&gt;=20,"Critical",IF(F197&gt;=12,"High",IF(F197&gt;=6,"Moderate","Low")))</x:f>
        <x:v>Low</x:v>
      </x:c>
    </x:row>
    <x:row r="198">
      <x:c r="F198" t="n">
        <x:f>D198*E198</x:f>
        <x:v>0</x:v>
      </x:c>
      <x:c r="G198" t="str">
        <x:f>IF(F198&gt;=20,"Critical",IF(F198&gt;=12,"High",IF(F198&gt;=6,"Moderate","Low")))</x:f>
        <x:v>Low</x:v>
      </x:c>
    </x:row>
    <x:row r="199">
      <x:c r="F199" t="n">
        <x:f>D199*E199</x:f>
        <x:v>0</x:v>
      </x:c>
      <x:c r="G199" t="str">
        <x:f>IF(F199&gt;=20,"Critical",IF(F199&gt;=12,"High",IF(F199&gt;=6,"Moderate","Low")))</x:f>
        <x:v>Low</x:v>
      </x:c>
    </x:row>
    <x:row r="200">
      <x:c r="F200" t="n">
        <x:f>D200*E200</x:f>
        <x:v>0</x:v>
      </x:c>
      <x:c r="G200" t="str">
        <x:f>IF(F200&gt;=20,"Critical",IF(F200&gt;=12,"High",IF(F200&gt;=6,"Moderate","Low")))</x:f>
        <x:v>Low</x:v>
      </x:c>
    </x:row>
    <x:row r="201">
      <x:c r="F201" t="n">
        <x:f>D201*E201</x:f>
        <x:v>0</x:v>
      </x:c>
      <x:c r="G201" t="str">
        <x:f>IF(F201&gt;=20,"Critical",IF(F201&gt;=12,"High",IF(F201&gt;=6,"Moderate","Low")))</x:f>
        <x:v>Low</x:v>
      </x:c>
    </x:row>
    <x:row r="202">
      <x:c r="F202" t="n">
        <x:f>D202*E202</x:f>
        <x:v>0</x:v>
      </x:c>
      <x:c r="G202" t="str">
        <x:f>IF(F202&gt;=20,"Critical",IF(F202&gt;=12,"High",IF(F202&gt;=6,"Moderate","Low")))</x:f>
        <x:v>Low</x:v>
      </x:c>
    </x:row>
    <x:row r="203">
      <x:c r="F203" t="n">
        <x:f>D203*E203</x:f>
        <x:v>0</x:v>
      </x:c>
      <x:c r="G203" t="str">
        <x:f>IF(F203&gt;=20,"Critical",IF(F203&gt;=12,"High",IF(F203&gt;=6,"Moderate","Low")))</x:f>
        <x:v>Low</x:v>
      </x:c>
    </x:row>
    <x:row r="204">
      <x:c r="F204" t="n">
        <x:f>D204*E204</x:f>
        <x:v>0</x:v>
      </x:c>
      <x:c r="G204" t="str">
        <x:f>IF(F204&gt;=20,"Critical",IF(F204&gt;=12,"High",IF(F204&gt;=6,"Moderate","Low")))</x:f>
        <x:v>Low</x:v>
      </x:c>
    </x:row>
    <x:row r="205">
      <x:c r="F205" t="n">
        <x:f>D205*E205</x:f>
        <x:v>0</x:v>
      </x:c>
      <x:c r="G205" t="str">
        <x:f>IF(F205&gt;=20,"Critical",IF(F205&gt;=12,"High",IF(F205&gt;=6,"Moderate","Low")))</x:f>
        <x:v>Low</x:v>
      </x:c>
    </x:row>
    <x:row r="206">
      <x:c r="F206" t="n">
        <x:f>D206*E206</x:f>
        <x:v>0</x:v>
      </x:c>
      <x:c r="G206" t="str">
        <x:f>IF(F206&gt;=20,"Critical",IF(F206&gt;=12,"High",IF(F206&gt;=6,"Moderate","Low")))</x:f>
        <x:v>Low</x:v>
      </x:c>
    </x:row>
    <x:row r="207">
      <x:c r="F207" t="n">
        <x:f>D207*E207</x:f>
        <x:v>0</x:v>
      </x:c>
      <x:c r="G207" t="str">
        <x:f>IF(F207&gt;=20,"Critical",IF(F207&gt;=12,"High",IF(F207&gt;=6,"Moderate","Low")))</x:f>
        <x:v>Low</x:v>
      </x:c>
    </x:row>
    <x:row r="208">
      <x:c r="F208" t="n">
        <x:f>D208*E208</x:f>
        <x:v>0</x:v>
      </x:c>
      <x:c r="G208" t="str">
        <x:f>IF(F208&gt;=20,"Critical",IF(F208&gt;=12,"High",IF(F208&gt;=6,"Moderate","Low")))</x:f>
        <x:v>Low</x:v>
      </x:c>
    </x:row>
    <x:row r="209">
      <x:c r="F209" t="n">
        <x:f>D209*E209</x:f>
        <x:v>0</x:v>
      </x:c>
      <x:c r="G209" t="str">
        <x:f>IF(F209&gt;=20,"Critical",IF(F209&gt;=12,"High",IF(F209&gt;=6,"Moderate","Low")))</x:f>
        <x:v>Low</x:v>
      </x:c>
    </x:row>
    <x:row r="210">
      <x:c r="F210" t="n">
        <x:f>D210*E210</x:f>
        <x:v>0</x:v>
      </x:c>
      <x:c r="G210" t="str">
        <x:f>IF(F210&gt;=20,"Critical",IF(F210&gt;=12,"High",IF(F210&gt;=6,"Moderate","Low")))</x:f>
        <x:v>Low</x:v>
      </x:c>
    </x:row>
    <x:row r="211">
      <x:c r="F211" t="n">
        <x:f>D211*E211</x:f>
        <x:v>0</x:v>
      </x:c>
      <x:c r="G211" t="str">
        <x:f>IF(F211&gt;=20,"Critical",IF(F211&gt;=12,"High",IF(F211&gt;=6,"Moderate","Low")))</x:f>
        <x:v>Low</x:v>
      </x:c>
    </x:row>
    <x:row r="212">
      <x:c r="F212" t="n">
        <x:f>D212*E212</x:f>
        <x:v>0</x:v>
      </x:c>
      <x:c r="G212" t="str">
        <x:f>IF(F212&gt;=20,"Critical",IF(F212&gt;=12,"High",IF(F212&gt;=6,"Moderate","Low")))</x:f>
        <x:v>Low</x:v>
      </x:c>
    </x:row>
    <x:row r="213">
      <x:c r="F213" t="n">
        <x:f>D213*E213</x:f>
        <x:v>0</x:v>
      </x:c>
      <x:c r="G213" t="str">
        <x:f>IF(F213&gt;=20,"Critical",IF(F213&gt;=12,"High",IF(F213&gt;=6,"Moderate","Low")))</x:f>
        <x:v>Low</x:v>
      </x:c>
    </x:row>
    <x:row r="214">
      <x:c r="F214" t="n">
        <x:f>D214*E214</x:f>
        <x:v>0</x:v>
      </x:c>
      <x:c r="G214" t="str">
        <x:f>IF(F214&gt;=20,"Critical",IF(F214&gt;=12,"High",IF(F214&gt;=6,"Moderate","Low")))</x:f>
        <x:v>Low</x:v>
      </x:c>
    </x:row>
    <x:row r="215">
      <x:c r="F215" t="n">
        <x:f>D215*E215</x:f>
        <x:v>0</x:v>
      </x:c>
      <x:c r="G215" t="str">
        <x:f>IF(F215&gt;=20,"Critical",IF(F215&gt;=12,"High",IF(F215&gt;=6,"Moderate","Low")))</x:f>
        <x:v>Low</x:v>
      </x:c>
    </x:row>
    <x:row r="216">
      <x:c r="F216" t="n">
        <x:f>D216*E216</x:f>
        <x:v>0</x:v>
      </x:c>
      <x:c r="G216" t="str">
        <x:f>IF(F216&gt;=20,"Critical",IF(F216&gt;=12,"High",IF(F216&gt;=6,"Moderate","Low")))</x:f>
        <x:v>Low</x:v>
      </x:c>
    </x:row>
    <x:row r="217">
      <x:c r="F217" t="n">
        <x:f>D217*E217</x:f>
        <x:v>0</x:v>
      </x:c>
      <x:c r="G217" t="str">
        <x:f>IF(F217&gt;=20,"Critical",IF(F217&gt;=12,"High",IF(F217&gt;=6,"Moderate","Low")))</x:f>
        <x:v>Low</x:v>
      </x:c>
    </x:row>
    <x:row r="218">
      <x:c r="F218" t="n">
        <x:f>D218*E218</x:f>
        <x:v>0</x:v>
      </x:c>
      <x:c r="G218" t="str">
        <x:f>IF(F218&gt;=20,"Critical",IF(F218&gt;=12,"High",IF(F218&gt;=6,"Moderate","Low")))</x:f>
        <x:v>Low</x:v>
      </x:c>
    </x:row>
    <x:row r="219">
      <x:c r="F219" t="n">
        <x:f>D219*E219</x:f>
        <x:v>0</x:v>
      </x:c>
      <x:c r="G219" t="str">
        <x:f>IF(F219&gt;=20,"Critical",IF(F219&gt;=12,"High",IF(F219&gt;=6,"Moderate","Low")))</x:f>
        <x:v>Low</x:v>
      </x:c>
    </x:row>
    <x:row r="220">
      <x:c r="F220" t="n">
        <x:f>D220*E220</x:f>
        <x:v>0</x:v>
      </x:c>
      <x:c r="G220" t="str">
        <x:f>IF(F220&gt;=20,"Critical",IF(F220&gt;=12,"High",IF(F220&gt;=6,"Moderate","Low")))</x:f>
        <x:v>Low</x:v>
      </x:c>
    </x:row>
    <x:row r="221">
      <x:c r="F221" t="n">
        <x:f>D221*E221</x:f>
        <x:v>0</x:v>
      </x:c>
      <x:c r="G221" t="str">
        <x:f>IF(F221&gt;=20,"Critical",IF(F221&gt;=12,"High",IF(F221&gt;=6,"Moderate","Low")))</x:f>
        <x:v>Low</x:v>
      </x:c>
    </x:row>
    <x:row r="222">
      <x:c r="F222" t="n">
        <x:f>D222*E222</x:f>
        <x:v>0</x:v>
      </x:c>
      <x:c r="G222" t="str">
        <x:f>IF(F222&gt;=20,"Critical",IF(F222&gt;=12,"High",IF(F222&gt;=6,"Moderate","Low")))</x:f>
        <x:v>Low</x:v>
      </x:c>
    </x:row>
    <x:row r="223">
      <x:c r="F223" t="n">
        <x:f>D223*E223</x:f>
        <x:v>0</x:v>
      </x:c>
      <x:c r="G223" t="str">
        <x:f>IF(F223&gt;=20,"Critical",IF(F223&gt;=12,"High",IF(F223&gt;=6,"Moderate","Low")))</x:f>
        <x:v>Low</x:v>
      </x:c>
    </x:row>
    <x:row r="224">
      <x:c r="F224" t="n">
        <x:f>D224*E224</x:f>
        <x:v>0</x:v>
      </x:c>
      <x:c r="G224" t="str">
        <x:f>IF(F224&gt;=20,"Critical",IF(F224&gt;=12,"High",IF(F224&gt;=6,"Moderate","Low")))</x:f>
        <x:v>Low</x:v>
      </x:c>
    </x:row>
    <x:row r="225">
      <x:c r="F225" t="n">
        <x:f>D225*E225</x:f>
        <x:v>0</x:v>
      </x:c>
      <x:c r="G225" t="str">
        <x:f>IF(F225&gt;=20,"Critical",IF(F225&gt;=12,"High",IF(F225&gt;=6,"Moderate","Low")))</x:f>
        <x:v>Low</x:v>
      </x:c>
    </x:row>
    <x:row r="226">
      <x:c r="F226" t="n">
        <x:f>D226*E226</x:f>
        <x:v>0</x:v>
      </x:c>
      <x:c r="G226" t="str">
        <x:f>IF(F226&gt;=20,"Critical",IF(F226&gt;=12,"High",IF(F226&gt;=6,"Moderate","Low")))</x:f>
        <x:v>Low</x:v>
      </x:c>
    </x:row>
    <x:row r="227">
      <x:c r="F227" t="n">
        <x:f>D227*E227</x:f>
        <x:v>0</x:v>
      </x:c>
      <x:c r="G227" t="str">
        <x:f>IF(F227&gt;=20,"Critical",IF(F227&gt;=12,"High",IF(F227&gt;=6,"Moderate","Low")))</x:f>
        <x:v>Low</x:v>
      </x:c>
    </x:row>
    <x:row r="228">
      <x:c r="F228" t="n">
        <x:f>D228*E228</x:f>
        <x:v>0</x:v>
      </x:c>
      <x:c r="G228" t="str">
        <x:f>IF(F228&gt;=20,"Critical",IF(F228&gt;=12,"High",IF(F228&gt;=6,"Moderate","Low")))</x:f>
        <x:v>Low</x:v>
      </x:c>
    </x:row>
    <x:row r="229">
      <x:c r="F229" t="n">
        <x:f>D229*E229</x:f>
        <x:v>0</x:v>
      </x:c>
      <x:c r="G229" t="str">
        <x:f>IF(F229&gt;=20,"Critical",IF(F229&gt;=12,"High",IF(F229&gt;=6,"Moderate","Low")))</x:f>
        <x:v>Low</x:v>
      </x:c>
    </x:row>
    <x:row r="230">
      <x:c r="F230" t="n">
        <x:f>D230*E230</x:f>
        <x:v>0</x:v>
      </x:c>
      <x:c r="G230" t="str">
        <x:f>IF(F230&gt;=20,"Critical",IF(F230&gt;=12,"High",IF(F230&gt;=6,"Moderate","Low")))</x:f>
        <x:v>Low</x:v>
      </x:c>
    </x:row>
    <x:row r="231">
      <x:c r="F231" t="n">
        <x:f>D231*E231</x:f>
        <x:v>0</x:v>
      </x:c>
      <x:c r="G231" t="str">
        <x:f>IF(F231&gt;=20,"Critical",IF(F231&gt;=12,"High",IF(F231&gt;=6,"Moderate","Low")))</x:f>
        <x:v>Low</x:v>
      </x:c>
    </x:row>
    <x:row r="232">
      <x:c r="F232" t="n">
        <x:f>D232*E232</x:f>
        <x:v>0</x:v>
      </x:c>
      <x:c r="G232" t="str">
        <x:f>IF(F232&gt;=20,"Critical",IF(F232&gt;=12,"High",IF(F232&gt;=6,"Moderate","Low")))</x:f>
        <x:v>Low</x:v>
      </x:c>
    </x:row>
    <x:row r="233">
      <x:c r="F233" t="n">
        <x:f>D233*E233</x:f>
        <x:v>0</x:v>
      </x:c>
      <x:c r="G233" t="str">
        <x:f>IF(F233&gt;=20,"Critical",IF(F233&gt;=12,"High",IF(F233&gt;=6,"Moderate","Low")))</x:f>
        <x:v>Low</x:v>
      </x:c>
    </x:row>
    <x:row r="234">
      <x:c r="F234" t="n">
        <x:f>D234*E234</x:f>
        <x:v>0</x:v>
      </x:c>
      <x:c r="G234" t="str">
        <x:f>IF(F234&gt;=20,"Critical",IF(F234&gt;=12,"High",IF(F234&gt;=6,"Moderate","Low")))</x:f>
        <x:v>Low</x:v>
      </x:c>
    </x:row>
    <x:row r="235">
      <x:c r="F235" t="n">
        <x:f>D235*E235</x:f>
        <x:v>0</x:v>
      </x:c>
      <x:c r="G235" t="str">
        <x:f>IF(F235&gt;=20,"Critical",IF(F235&gt;=12,"High",IF(F235&gt;=6,"Moderate","Low")))</x:f>
        <x:v>Low</x:v>
      </x:c>
    </x:row>
    <x:row r="236">
      <x:c r="F236" t="n">
        <x:f>D236*E236</x:f>
        <x:v>0</x:v>
      </x:c>
      <x:c r="G236" t="str">
        <x:f>IF(F236&gt;=20,"Critical",IF(F236&gt;=12,"High",IF(F236&gt;=6,"Moderate","Low")))</x:f>
        <x:v>Low</x:v>
      </x:c>
    </x:row>
    <x:row r="237">
      <x:c r="F237" t="n">
        <x:f>D237*E237</x:f>
        <x:v>0</x:v>
      </x:c>
      <x:c r="G237" t="str">
        <x:f>IF(F237&gt;=20,"Critical",IF(F237&gt;=12,"High",IF(F237&gt;=6,"Moderate","Low")))</x:f>
        <x:v>Low</x:v>
      </x:c>
    </x:row>
    <x:row r="238">
      <x:c r="F238" t="n">
        <x:f>D238*E238</x:f>
        <x:v>0</x:v>
      </x:c>
      <x:c r="G238" t="str">
        <x:f>IF(F238&gt;=20,"Critical",IF(F238&gt;=12,"High",IF(F238&gt;=6,"Moderate","Low")))</x:f>
        <x:v>Low</x:v>
      </x:c>
    </x:row>
    <x:row r="239">
      <x:c r="F239" t="n">
        <x:f>D239*E239</x:f>
        <x:v>0</x:v>
      </x:c>
      <x:c r="G239" t="str">
        <x:f>IF(F239&gt;=20,"Critical",IF(F239&gt;=12,"High",IF(F239&gt;=6,"Moderate","Low")))</x:f>
        <x:v>Low</x:v>
      </x:c>
    </x:row>
    <x:row r="240">
      <x:c r="F240" t="n">
        <x:f>D240*E240</x:f>
        <x:v>0</x:v>
      </x:c>
      <x:c r="G240" t="str">
        <x:f>IF(F240&gt;=20,"Critical",IF(F240&gt;=12,"High",IF(F240&gt;=6,"Moderate","Low")))</x:f>
        <x:v>Low</x:v>
      </x:c>
    </x:row>
    <x:row r="241">
      <x:c r="F241" t="n">
        <x:f>D241*E241</x:f>
        <x:v>0</x:v>
      </x:c>
      <x:c r="G241" t="str">
        <x:f>IF(F241&gt;=20,"Critical",IF(F241&gt;=12,"High",IF(F241&gt;=6,"Moderate","Low")))</x:f>
        <x:v>Low</x:v>
      </x:c>
    </x:row>
    <x:row r="242">
      <x:c r="F242" t="n">
        <x:f>D242*E242</x:f>
        <x:v>0</x:v>
      </x:c>
      <x:c r="G242" t="str">
        <x:f>IF(F242&gt;=20,"Critical",IF(F242&gt;=12,"High",IF(F242&gt;=6,"Moderate","Low")))</x:f>
        <x:v>Low</x:v>
      </x:c>
    </x:row>
    <x:row r="243">
      <x:c r="F243" t="n">
        <x:f>D243*E243</x:f>
        <x:v>0</x:v>
      </x:c>
      <x:c r="G243" t="str">
        <x:f>IF(F243&gt;=20,"Critical",IF(F243&gt;=12,"High",IF(F243&gt;=6,"Moderate","Low")))</x:f>
        <x:v>Low</x:v>
      </x:c>
    </x:row>
    <x:row r="244">
      <x:c r="F244" t="n">
        <x:f>D244*E244</x:f>
        <x:v>0</x:v>
      </x:c>
      <x:c r="G244" t="str">
        <x:f>IF(F244&gt;=20,"Critical",IF(F244&gt;=12,"High",IF(F244&gt;=6,"Moderate","Low")))</x:f>
        <x:v>Low</x:v>
      </x:c>
    </x:row>
    <x:row r="245">
      <x:c r="F245" t="n">
        <x:f>D245*E245</x:f>
        <x:v>0</x:v>
      </x:c>
      <x:c r="G245" t="str">
        <x:f>IF(F245&gt;=20,"Critical",IF(F245&gt;=12,"High",IF(F245&gt;=6,"Moderate","Low")))</x:f>
        <x:v>Low</x:v>
      </x:c>
    </x:row>
    <x:row r="246">
      <x:c r="F246" t="n">
        <x:f>D246*E246</x:f>
        <x:v>0</x:v>
      </x:c>
      <x:c r="G246" t="str">
        <x:f>IF(F246&gt;=20,"Critical",IF(F246&gt;=12,"High",IF(F246&gt;=6,"Moderate","Low")))</x:f>
        <x:v>Low</x:v>
      </x:c>
    </x:row>
    <x:row r="247">
      <x:c r="F247" t="n">
        <x:f>D247*E247</x:f>
        <x:v>0</x:v>
      </x:c>
      <x:c r="G247" t="str">
        <x:f>IF(F247&gt;=20,"Critical",IF(F247&gt;=12,"High",IF(F247&gt;=6,"Moderate","Low")))</x:f>
        <x:v>Low</x:v>
      </x:c>
    </x:row>
    <x:row r="248">
      <x:c r="F248" t="n">
        <x:f>D248*E248</x:f>
        <x:v>0</x:v>
      </x:c>
      <x:c r="G248" t="str">
        <x:f>IF(F248&gt;=20,"Critical",IF(F248&gt;=12,"High",IF(F248&gt;=6,"Moderate","Low")))</x:f>
        <x:v>Low</x:v>
      </x:c>
    </x:row>
    <x:row r="249">
      <x:c r="F249" t="n">
        <x:f>D249*E249</x:f>
        <x:v>0</x:v>
      </x:c>
      <x:c r="G249" t="str">
        <x:f>IF(F249&gt;=20,"Critical",IF(F249&gt;=12,"High",IF(F249&gt;=6,"Moderate","Low")))</x:f>
        <x:v>Low</x:v>
      </x:c>
    </x:row>
    <x:row r="250">
      <x:c r="F250" t="n">
        <x:f>D250*E250</x:f>
        <x:v>0</x:v>
      </x:c>
      <x:c r="G250" t="str">
        <x:f>IF(F250&gt;=20,"Critical",IF(F250&gt;=12,"High",IF(F250&gt;=6,"Moderate","Low")))</x:f>
        <x:v>Low</x:v>
      </x:c>
    </x:row>
    <x:row r="251">
      <x:c r="F251" t="n">
        <x:f>D251*E251</x:f>
        <x:v>0</x:v>
      </x:c>
      <x:c r="G251" t="str">
        <x:f>IF(F251&gt;=20,"Critical",IF(F251&gt;=12,"High",IF(F251&gt;=6,"Moderate","Low")))</x:f>
        <x:v>Low</x:v>
      </x:c>
    </x:row>
    <x:row r="252">
      <x:c r="F252" t="n">
        <x:f>D252*E252</x:f>
        <x:v>0</x:v>
      </x:c>
      <x:c r="G252" t="str">
        <x:f>IF(F252&gt;=20,"Critical",IF(F252&gt;=12,"High",IF(F252&gt;=6,"Moderate","Low")))</x:f>
        <x:v>Low</x:v>
      </x:c>
    </x:row>
    <x:row r="253">
      <x:c r="F253" t="n">
        <x:f>D253*E253</x:f>
        <x:v>0</x:v>
      </x:c>
      <x:c r="G253" t="str">
        <x:f>IF(F253&gt;=20,"Critical",IF(F253&gt;=12,"High",IF(F253&gt;=6,"Moderate","Low")))</x:f>
        <x:v>Low</x:v>
      </x:c>
    </x:row>
    <x:row r="254">
      <x:c r="F254" t="n">
        <x:f>D254*E254</x:f>
        <x:v>0</x:v>
      </x:c>
      <x:c r="G254" t="str">
        <x:f>IF(F254&gt;=20,"Critical",IF(F254&gt;=12,"High",IF(F254&gt;=6,"Moderate","Low")))</x:f>
        <x:v>Low</x:v>
      </x:c>
    </x:row>
    <x:row r="255">
      <x:c r="F255" t="n">
        <x:f>D255*E255</x:f>
        <x:v>0</x:v>
      </x:c>
      <x:c r="G255" t="str">
        <x:f>IF(F255&gt;=20,"Critical",IF(F255&gt;=12,"High",IF(F255&gt;=6,"Moderate","Low")))</x:f>
        <x:v>Low</x:v>
      </x:c>
    </x:row>
    <x:row r="256">
      <x:c r="F256" t="n">
        <x:f>D256*E256</x:f>
        <x:v>0</x:v>
      </x:c>
      <x:c r="G256" t="str">
        <x:f>IF(F256&gt;=20,"Critical",IF(F256&gt;=12,"High",IF(F256&gt;=6,"Moderate","Low")))</x:f>
        <x:v>Low</x:v>
      </x:c>
    </x:row>
    <x:row r="257">
      <x:c r="F257" t="n">
        <x:f>D257*E257</x:f>
        <x:v>0</x:v>
      </x:c>
      <x:c r="G257" t="str">
        <x:f>IF(F257&gt;=20,"Critical",IF(F257&gt;=12,"High",IF(F257&gt;=6,"Moderate","Low")))</x:f>
        <x:v>Low</x:v>
      </x:c>
    </x:row>
    <x:row r="258">
      <x:c r="F258" t="n">
        <x:f>D258*E258</x:f>
        <x:v>0</x:v>
      </x:c>
      <x:c r="G258" t="str">
        <x:f>IF(F258&gt;=20,"Critical",IF(F258&gt;=12,"High",IF(F258&gt;=6,"Moderate","Low")))</x:f>
        <x:v>Low</x:v>
      </x:c>
    </x:row>
    <x:row r="259">
      <x:c r="F259" t="n">
        <x:f>D259*E259</x:f>
        <x:v>0</x:v>
      </x:c>
      <x:c r="G259" t="str">
        <x:f>IF(F259&gt;=20,"Critical",IF(F259&gt;=12,"High",IF(F259&gt;=6,"Moderate","Low")))</x:f>
        <x:v>Low</x:v>
      </x:c>
    </x:row>
    <x:row r="260">
      <x:c r="F260" t="n">
        <x:f>D260*E260</x:f>
        <x:v>0</x:v>
      </x:c>
      <x:c r="G260" t="str">
        <x:f>IF(F260&gt;=20,"Critical",IF(F260&gt;=12,"High",IF(F260&gt;=6,"Moderate","Low")))</x:f>
        <x:v>Low</x:v>
      </x:c>
    </x:row>
    <x:row r="261">
      <x:c r="F261" t="n">
        <x:f>D261*E261</x:f>
        <x:v>0</x:v>
      </x:c>
      <x:c r="G261" t="str">
        <x:f>IF(F261&gt;=20,"Critical",IF(F261&gt;=12,"High",IF(F261&gt;=6,"Moderate","Low")))</x:f>
        <x:v>Low</x:v>
      </x:c>
    </x:row>
    <x:row r="262">
      <x:c r="F262" t="n">
        <x:f>D262*E262</x:f>
        <x:v>0</x:v>
      </x:c>
      <x:c r="G262" t="str">
        <x:f>IF(F262&gt;=20,"Critical",IF(F262&gt;=12,"High",IF(F262&gt;=6,"Moderate","Low")))</x:f>
        <x:v>Low</x:v>
      </x:c>
    </x:row>
    <x:row r="263">
      <x:c r="F263" t="n">
        <x:f>D263*E263</x:f>
        <x:v>0</x:v>
      </x:c>
      <x:c r="G263" t="str">
        <x:f>IF(F263&gt;=20,"Critical",IF(F263&gt;=12,"High",IF(F263&gt;=6,"Moderate","Low")))</x:f>
        <x:v>Low</x:v>
      </x:c>
    </x:row>
    <x:row r="264">
      <x:c r="F264" t="n">
        <x:f>D264*E264</x:f>
        <x:v>0</x:v>
      </x:c>
      <x:c r="G264" t="str">
        <x:f>IF(F264&gt;=20,"Critical",IF(F264&gt;=12,"High",IF(F264&gt;=6,"Moderate","Low")))</x:f>
        <x:v>Low</x:v>
      </x:c>
    </x:row>
    <x:row r="265">
      <x:c r="F265" t="n">
        <x:f>D265*E265</x:f>
        <x:v>0</x:v>
      </x:c>
      <x:c r="G265" t="str">
        <x:f>IF(F265&gt;=20,"Critical",IF(F265&gt;=12,"High",IF(F265&gt;=6,"Moderate","Low")))</x:f>
        <x:v>Low</x:v>
      </x:c>
    </x:row>
    <x:row r="266">
      <x:c r="F266" t="n">
        <x:f>D266*E266</x:f>
        <x:v>0</x:v>
      </x:c>
      <x:c r="G266" t="str">
        <x:f>IF(F266&gt;=20,"Critical",IF(F266&gt;=12,"High",IF(F266&gt;=6,"Moderate","Low")))</x:f>
        <x:v>Low</x:v>
      </x:c>
    </x:row>
    <x:row r="267">
      <x:c r="F267" t="n">
        <x:f>D267*E267</x:f>
        <x:v>0</x:v>
      </x:c>
      <x:c r="G267" t="str">
        <x:f>IF(F267&gt;=20,"Critical",IF(F267&gt;=12,"High",IF(F267&gt;=6,"Moderate","Low")))</x:f>
        <x:v>Low</x:v>
      </x:c>
    </x:row>
    <x:row r="268">
      <x:c r="F268" t="n">
        <x:f>D268*E268</x:f>
        <x:v>0</x:v>
      </x:c>
      <x:c r="G268" t="str">
        <x:f>IF(F268&gt;=20,"Critical",IF(F268&gt;=12,"High",IF(F268&gt;=6,"Moderate","Low")))</x:f>
        <x:v>Low</x:v>
      </x:c>
    </x:row>
    <x:row r="269">
      <x:c r="F269" t="n">
        <x:f>D269*E269</x:f>
        <x:v>0</x:v>
      </x:c>
      <x:c r="G269" t="str">
        <x:f>IF(F269&gt;=20,"Critical",IF(F269&gt;=12,"High",IF(F269&gt;=6,"Moderate","Low")))</x:f>
        <x:v>Low</x:v>
      </x:c>
    </x:row>
    <x:row r="270">
      <x:c r="F270" t="n">
        <x:f>D270*E270</x:f>
        <x:v>0</x:v>
      </x:c>
      <x:c r="G270" t="str">
        <x:f>IF(F270&gt;=20,"Critical",IF(F270&gt;=12,"High",IF(F270&gt;=6,"Moderate","Low")))</x:f>
        <x:v>Low</x:v>
      </x:c>
    </x:row>
    <x:row r="271">
      <x:c r="F271" t="n">
        <x:f>D271*E271</x:f>
        <x:v>0</x:v>
      </x:c>
      <x:c r="G271" t="str">
        <x:f>IF(F271&gt;=20,"Critical",IF(F271&gt;=12,"High",IF(F271&gt;=6,"Moderate","Low")))</x:f>
        <x:v>Low</x:v>
      </x:c>
    </x:row>
    <x:row r="272">
      <x:c r="F272" t="n">
        <x:f>D272*E272</x:f>
        <x:v>0</x:v>
      </x:c>
      <x:c r="G272" t="str">
        <x:f>IF(F272&gt;=20,"Critical",IF(F272&gt;=12,"High",IF(F272&gt;=6,"Moderate","Low")))</x:f>
        <x:v>Low</x:v>
      </x:c>
    </x:row>
    <x:row r="273">
      <x:c r="F273" t="n">
        <x:f>D273*E273</x:f>
        <x:v>0</x:v>
      </x:c>
      <x:c r="G273" t="str">
        <x:f>IF(F273&gt;=20,"Critical",IF(F273&gt;=12,"High",IF(F273&gt;=6,"Moderate","Low")))</x:f>
        <x:v>Low</x:v>
      </x:c>
    </x:row>
    <x:row r="274">
      <x:c r="F274" t="n">
        <x:f>D274*E274</x:f>
        <x:v>0</x:v>
      </x:c>
      <x:c r="G274" t="str">
        <x:f>IF(F274&gt;=20,"Critical",IF(F274&gt;=12,"High",IF(F274&gt;=6,"Moderate","Low")))</x:f>
        <x:v>Low</x:v>
      </x:c>
    </x:row>
    <x:row r="275">
      <x:c r="F275" t="n">
        <x:f>D275*E275</x:f>
        <x:v>0</x:v>
      </x:c>
      <x:c r="G275" t="str">
        <x:f>IF(F275&gt;=20,"Critical",IF(F275&gt;=12,"High",IF(F275&gt;=6,"Moderate","Low")))</x:f>
        <x:v>Low</x:v>
      </x:c>
    </x:row>
    <x:row r="276">
      <x:c r="F276" t="n">
        <x:f>D276*E276</x:f>
        <x:v>0</x:v>
      </x:c>
      <x:c r="G276" t="str">
        <x:f>IF(F276&gt;=20,"Critical",IF(F276&gt;=12,"High",IF(F276&gt;=6,"Moderate","Low")))</x:f>
        <x:v>Low</x:v>
      </x:c>
    </x:row>
    <x:row r="277">
      <x:c r="F277" t="n">
        <x:f>D277*E277</x:f>
        <x:v>0</x:v>
      </x:c>
      <x:c r="G277" t="str">
        <x:f>IF(F277&gt;=20,"Critical",IF(F277&gt;=12,"High",IF(F277&gt;=6,"Moderate","Low")))</x:f>
        <x:v>Low</x:v>
      </x:c>
    </x:row>
    <x:row r="278">
      <x:c r="F278" t="n">
        <x:f>D278*E278</x:f>
        <x:v>0</x:v>
      </x:c>
      <x:c r="G278" t="str">
        <x:f>IF(F278&gt;=20,"Critical",IF(F278&gt;=12,"High",IF(F278&gt;=6,"Moderate","Low")))</x:f>
        <x:v>Low</x:v>
      </x:c>
    </x:row>
    <x:row r="279">
      <x:c r="F279" t="n">
        <x:f>D279*E279</x:f>
        <x:v>0</x:v>
      </x:c>
      <x:c r="G279" t="str">
        <x:f>IF(F279&gt;=20,"Critical",IF(F279&gt;=12,"High",IF(F279&gt;=6,"Moderate","Low")))</x:f>
        <x:v>Low</x:v>
      </x:c>
    </x:row>
    <x:row r="280">
      <x:c r="F280" t="n">
        <x:f>D280*E280</x:f>
        <x:v>0</x:v>
      </x:c>
      <x:c r="G280" t="str">
        <x:f>IF(F280&gt;=20,"Critical",IF(F280&gt;=12,"High",IF(F280&gt;=6,"Moderate","Low")))</x:f>
        <x:v>Low</x:v>
      </x:c>
    </x:row>
    <x:row r="281">
      <x:c r="F281" t="n">
        <x:f>D281*E281</x:f>
        <x:v>0</x:v>
      </x:c>
      <x:c r="G281" t="str">
        <x:f>IF(F281&gt;=20,"Critical",IF(F281&gt;=12,"High",IF(F281&gt;=6,"Moderate","Low")))</x:f>
        <x:v>Low</x:v>
      </x:c>
    </x:row>
    <x:row r="282">
      <x:c r="F282" t="n">
        <x:f>D282*E282</x:f>
        <x:v>0</x:v>
      </x:c>
      <x:c r="G282" t="str">
        <x:f>IF(F282&gt;=20,"Critical",IF(F282&gt;=12,"High",IF(F282&gt;=6,"Moderate","Low")))</x:f>
        <x:v>Low</x:v>
      </x:c>
    </x:row>
    <x:row r="283">
      <x:c r="F283" t="n">
        <x:f>D283*E283</x:f>
        <x:v>0</x:v>
      </x:c>
      <x:c r="G283" t="str">
        <x:f>IF(F283&gt;=20,"Critical",IF(F283&gt;=12,"High",IF(F283&gt;=6,"Moderate","Low")))</x:f>
        <x:v>Low</x:v>
      </x:c>
    </x:row>
    <x:row r="284">
      <x:c r="F284" t="n">
        <x:f>D284*E284</x:f>
        <x:v>0</x:v>
      </x:c>
      <x:c r="G284" t="str">
        <x:f>IF(F284&gt;=20,"Critical",IF(F284&gt;=12,"High",IF(F284&gt;=6,"Moderate","Low")))</x:f>
        <x:v>Low</x:v>
      </x:c>
    </x:row>
    <x:row r="285">
      <x:c r="F285" t="n">
        <x:f>D285*E285</x:f>
        <x:v>0</x:v>
      </x:c>
      <x:c r="G285" t="str">
        <x:f>IF(F285&gt;=20,"Critical",IF(F285&gt;=12,"High",IF(F285&gt;=6,"Moderate","Low")))</x:f>
        <x:v>Low</x:v>
      </x:c>
    </x:row>
    <x:row r="286">
      <x:c r="F286" t="n">
        <x:f>D286*E286</x:f>
        <x:v>0</x:v>
      </x:c>
      <x:c r="G286" t="str">
        <x:f>IF(F286&gt;=20,"Critical",IF(F286&gt;=12,"High",IF(F286&gt;=6,"Moderate","Low")))</x:f>
        <x:v>Low</x:v>
      </x:c>
    </x:row>
    <x:row r="287">
      <x:c r="F287" t="n">
        <x:f>D287*E287</x:f>
        <x:v>0</x:v>
      </x:c>
      <x:c r="G287" t="str">
        <x:f>IF(F287&gt;=20,"Critical",IF(F287&gt;=12,"High",IF(F287&gt;=6,"Moderate","Low")))</x:f>
        <x:v>Low</x:v>
      </x:c>
    </x:row>
    <x:row r="288">
      <x:c r="F288" t="n">
        <x:f>D288*E288</x:f>
        <x:v>0</x:v>
      </x:c>
      <x:c r="G288" t="str">
        <x:f>IF(F288&gt;=20,"Critical",IF(F288&gt;=12,"High",IF(F288&gt;=6,"Moderate","Low")))</x:f>
        <x:v>Low</x:v>
      </x:c>
    </x:row>
    <x:row r="289">
      <x:c r="F289" t="n">
        <x:f>D289*E289</x:f>
        <x:v>0</x:v>
      </x:c>
      <x:c r="G289" t="str">
        <x:f>IF(F289&gt;=20,"Critical",IF(F289&gt;=12,"High",IF(F289&gt;=6,"Moderate","Low")))</x:f>
        <x:v>Low</x:v>
      </x:c>
    </x:row>
    <x:row r="290">
      <x:c r="F290" t="n">
        <x:f>D290*E290</x:f>
        <x:v>0</x:v>
      </x:c>
      <x:c r="G290" t="str">
        <x:f>IF(F290&gt;=20,"Critical",IF(F290&gt;=12,"High",IF(F290&gt;=6,"Moderate","Low")))</x:f>
        <x:v>Low</x:v>
      </x:c>
    </x:row>
    <x:row r="291">
      <x:c r="F291" t="n">
        <x:f>D291*E291</x:f>
        <x:v>0</x:v>
      </x:c>
      <x:c r="G291" t="str">
        <x:f>IF(F291&gt;=20,"Critical",IF(F291&gt;=12,"High",IF(F291&gt;=6,"Moderate","Low")))</x:f>
        <x:v>Low</x:v>
      </x:c>
    </x:row>
    <x:row r="292">
      <x:c r="F292" t="n">
        <x:f>D292*E292</x:f>
        <x:v>0</x:v>
      </x:c>
      <x:c r="G292" t="str">
        <x:f>IF(F292&gt;=20,"Critical",IF(F292&gt;=12,"High",IF(F292&gt;=6,"Moderate","Low")))</x:f>
        <x:v>Low</x:v>
      </x:c>
    </x:row>
    <x:row r="293">
      <x:c r="F293" t="n">
        <x:f>D293*E293</x:f>
        <x:v>0</x:v>
      </x:c>
      <x:c r="G293" t="str">
        <x:f>IF(F293&gt;=20,"Critical",IF(F293&gt;=12,"High",IF(F293&gt;=6,"Moderate","Low")))</x:f>
        <x:v>Low</x:v>
      </x:c>
    </x:row>
    <x:row r="294">
      <x:c r="F294" t="n">
        <x:f>D294*E294</x:f>
        <x:v>0</x:v>
      </x:c>
      <x:c r="G294" t="str">
        <x:f>IF(F294&gt;=20,"Critical",IF(F294&gt;=12,"High",IF(F294&gt;=6,"Moderate","Low")))</x:f>
        <x:v>Low</x:v>
      </x:c>
    </x:row>
    <x:row r="295">
      <x:c r="F295" t="n">
        <x:f>D295*E295</x:f>
        <x:v>0</x:v>
      </x:c>
      <x:c r="G295" t="str">
        <x:f>IF(F295&gt;=20,"Critical",IF(F295&gt;=12,"High",IF(F295&gt;=6,"Moderate","Low")))</x:f>
        <x:v>Low</x:v>
      </x:c>
    </x:row>
    <x:row r="296">
      <x:c r="F296" t="n">
        <x:f>D296*E296</x:f>
        <x:v>0</x:v>
      </x:c>
      <x:c r="G296" t="str">
        <x:f>IF(F296&gt;=20,"Critical",IF(F296&gt;=12,"High",IF(F296&gt;=6,"Moderate","Low")))</x:f>
        <x:v>Low</x:v>
      </x:c>
    </x:row>
    <x:row r="297">
      <x:c r="F297" t="n">
        <x:f>D297*E297</x:f>
        <x:v>0</x:v>
      </x:c>
      <x:c r="G297" t="str">
        <x:f>IF(F297&gt;=20,"Critical",IF(F297&gt;=12,"High",IF(F297&gt;=6,"Moderate","Low")))</x:f>
        <x:v>Low</x:v>
      </x:c>
    </x:row>
    <x:row r="298">
      <x:c r="F298" t="n">
        <x:f>D298*E298</x:f>
        <x:v>0</x:v>
      </x:c>
      <x:c r="G298" t="str">
        <x:f>IF(F298&gt;=20,"Critical",IF(F298&gt;=12,"High",IF(F298&gt;=6,"Moderate","Low")))</x:f>
        <x:v>Low</x:v>
      </x:c>
    </x:row>
    <x:row r="299">
      <x:c r="F299" t="n">
        <x:f>D299*E299</x:f>
        <x:v>0</x:v>
      </x:c>
      <x:c r="G299" t="str">
        <x:f>IF(F299&gt;=20,"Critical",IF(F299&gt;=12,"High",IF(F299&gt;=6,"Moderate","Low")))</x:f>
        <x:v>Low</x:v>
      </x:c>
    </x:row>
    <x:row r="300">
      <x:c r="F300" t="n">
        <x:f>D300*E300</x:f>
        <x:v>0</x:v>
      </x:c>
      <x:c r="G300" t="str">
        <x:f>IF(F300&gt;=20,"Critical",IF(F300&gt;=12,"High",IF(F300&gt;=6,"Moderate","Low")))</x:f>
        <x:v>Low</x:v>
      </x:c>
    </x:row>
    <x:row r="301">
      <x:c r="F301" t="n">
        <x:f>D301*E301</x:f>
        <x:v>0</x:v>
      </x:c>
      <x:c r="G301" t="str">
        <x:f>IF(F301&gt;=20,"Critical",IF(F301&gt;=12,"High",IF(F301&gt;=6,"Moderate","Low")))</x:f>
        <x:v>Low</x:v>
      </x:c>
    </x:row>
    <x:row r="302">
      <x:c r="F302" t="n">
        <x:f>D302*E302</x:f>
        <x:v>0</x:v>
      </x:c>
      <x:c r="G302" t="str">
        <x:f>IF(F302&gt;=20,"Critical",IF(F302&gt;=12,"High",IF(F302&gt;=6,"Moderate","Low")))</x:f>
        <x:v>Low</x:v>
      </x:c>
    </x:row>
    <x:row r="303">
      <x:c r="F303" t="n">
        <x:f>D303*E303</x:f>
        <x:v>0</x:v>
      </x:c>
      <x:c r="G303" t="str">
        <x:f>IF(F303&gt;=20,"Critical",IF(F303&gt;=12,"High",IF(F303&gt;=6,"Moderate","Low")))</x:f>
        <x:v>Low</x:v>
      </x:c>
    </x:row>
  </x:sheetData>
  <x:mergeCells>
    <x:mergeCell ref="A1:J1"/>
  </x:mergeCells>
  <x:conditionalFormatting sqref="F4:F30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I4:I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2e69f137f44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Risk Trends</x:v>
      </x:c>
      <x:c r="B1" s="4"/>
      <x:c r="C1" s="4"/>
      <x:c r="D1" s="4"/>
      <x:c r="E1" s="4"/>
      <x:c r="F1" s="4"/>
    </x:row>
    <x:row r="3">
      <x:c r="A3" s="12" t="str">
        <x:v>Quarter</x:v>
      </x:c>
      <x:c r="B3" s="12" t="str">
        <x:v>Open Risks</x:v>
      </x:c>
      <x:c r="C3" s="12" t="str">
        <x:v>Critical Risks</x:v>
      </x:c>
      <x:c r="D3" s="12" t="str">
        <x:v>High Risks</x:v>
      </x:c>
      <x:c r="E3" s="12" t="str">
        <x:v>Average Score</x:v>
      </x:c>
      <x:c r="F3" s="12" t="str">
        <x:v>Treatment Completion %</x:v>
      </x:c>
    </x:row>
    <x:row r="4">
      <x:c r="A4" s="20" t="str">
        <x:v>Q4 2025</x:v>
      </x:c>
      <x:c r="B4" s="20" t="n">
        <x:v>24</x:v>
      </x:c>
      <x:c r="C4" s="20" t="n">
        <x:v>4</x:v>
      </x:c>
      <x:c r="D4" s="20" t="n">
        <x:v>8</x:v>
      </x:c>
      <x:c r="E4" s="20" t="n">
        <x:v>12.8</x:v>
      </x:c>
      <x:c r="F4" s="20" t="n">
        <x:v>42</x:v>
      </x:c>
    </x:row>
    <x:row r="5">
      <x:c r="A5" s="20" t="str">
        <x:v>Q1 2026</x:v>
      </x:c>
      <x:c r="B5" s="20" t="n">
        <x:v>23</x:v>
      </x:c>
      <x:c r="C5" s="20" t="n">
        <x:v>4</x:v>
      </x:c>
      <x:c r="D5" s="20" t="n">
        <x:v>8</x:v>
      </x:c>
      <x:c r="E5" s="20" t="n">
        <x:v>12.2</x:v>
      </x:c>
      <x:c r="F5" s="20" t="n">
        <x:v>48</x:v>
      </x:c>
    </x:row>
    <x:row r="6">
      <x:c r="A6" s="20" t="str">
        <x:v>Q2 2026</x:v>
      </x:c>
      <x:c r="B6" s="20" t="n">
        <x:v>21</x:v>
      </x:c>
      <x:c r="C6" s="20" t="n">
        <x:v>3</x:v>
      </x:c>
      <x:c r="D6" s="20" t="n">
        <x:v>7</x:v>
      </x:c>
      <x:c r="E6" s="20" t="n">
        <x:v>11.5</x:v>
      </x:c>
      <x:c r="F6" s="20" t="n">
        <x:v>56</x:v>
      </x:c>
    </x:row>
    <x:row r="7">
      <x:c r="A7" s="20" t="str">
        <x:v>Q3 2026</x:v>
      </x:c>
      <x:c r="B7" s="20" t="n">
        <x:v>19</x:v>
      </x:c>
      <x:c r="C7" s="20" t="n">
        <x:v>2</x:v>
      </x:c>
      <x:c r="D7" s="20" t="n">
        <x:v>7</x:v>
      </x:c>
      <x:c r="E7" s="20" t="n">
        <x:v>10.9</x:v>
      </x:c>
      <x:c r="F7" s="20" t="n">
        <x:v>63</x:v>
      </x:c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0852aab8fa84e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</x:cols>
  <x:sheetData>
    <x:row r="1">
      <x:c r="A1" s="4" t="str">
        <x:v>Department Summary</x:v>
      </x:c>
      <x:c r="B1" s="4"/>
      <x:c r="C1" s="4"/>
      <x:c r="D1" s="4"/>
      <x:c r="E1" s="4"/>
      <x:c r="F1" s="4"/>
    </x:row>
    <x:row r="3">
      <x:c r="A3" s="12" t="str">
        <x:v>Department</x:v>
      </x:c>
      <x:c r="B3" s="12" t="str">
        <x:v>Risk Count</x:v>
      </x:c>
      <x:c r="C3" s="12" t="str">
        <x:v>Average Score</x:v>
      </x:c>
      <x:c r="D3" s="12" t="str">
        <x:v>Critical / High Count</x:v>
      </x:c>
      <x:c r="E3" s="12" t="str">
        <x:v>Open Actions</x:v>
      </x:c>
      <x:c r="F3" s="12" t="str">
        <x:v>Trend</x:v>
      </x:c>
    </x:row>
    <x:row r="4">
      <x:c r="A4" s="20" t="str">
        <x:v>Digital Services</x:v>
      </x:c>
      <x:c r="B4" s="20" t="n">
        <x:f>COUNTIF('Risk Data'!$C$4:$C$303,A4)</x:f>
        <x:v>1</x:v>
      </x:c>
      <x:c r="C4" s="20" t="n">
        <x:f>IFERROR(SUMIF('Risk Data'!$C$4:$C$303,A4,'Risk Data'!$F$4:$F$303)/B4,0)</x:f>
        <x:v>20</x:v>
      </x:c>
      <x:c r="D4" s="20" t="n">
        <x:f>COUNTIFS('Risk Data'!$C$4:$C$303,A4,'Risk Data'!$G$4:$G$303,"High")+COUNTIFS('Risk Data'!$C$4:$C$303,A4,'Risk Data'!$G$4:$G$303,"Critical")</x:f>
        <x:v>1</x:v>
      </x:c>
      <x:c r="E4" s="20" t="n">
        <x:v>1</x:v>
      </x:c>
      <x:c r="F4" s="20" t="str">
        <x:v>Improving</x:v>
      </x:c>
    </x:row>
    <x:row r="5">
      <x:c r="A5" s="20" t="str">
        <x:v>Human Resources</x:v>
      </x:c>
      <x:c r="B5" s="20" t="n">
        <x:f>COUNTIF('Risk Data'!$C$4:$C$303,A5)</x:f>
        <x:v>1</x:v>
      </x:c>
      <x:c r="C5" s="20" t="n">
        <x:f>IFERROR(SUMIF('Risk Data'!$C$4:$C$303,A5,'Risk Data'!$F$4:$F$303)/B5,0)</x:f>
        <x:v>15</x:v>
      </x:c>
      <x:c r="D5" s="20" t="n">
        <x:f>COUNTIFS('Risk Data'!$C$4:$C$303,A5,'Risk Data'!$G$4:$G$303,"High")+COUNTIFS('Risk Data'!$C$4:$C$303,A5,'Risk Data'!$G$4:$G$303,"Critical")</x:f>
        <x:v>1</x:v>
      </x:c>
      <x:c r="E5" s="20" t="n">
        <x:v>1</x:v>
      </x:c>
      <x:c r="F5" s="20" t="str">
        <x:v>Stable</x:v>
      </x:c>
    </x:row>
    <x:row r="6">
      <x:c r="A6" s="20" t="str">
        <x:v>Customer Operations</x:v>
      </x:c>
      <x:c r="B6" s="20" t="n">
        <x:f>COUNTIF('Risk Data'!$C$4:$C$303,A6)</x:f>
        <x:v>1</x:v>
      </x:c>
      <x:c r="C6" s="20" t="n">
        <x:f>IFERROR(SUMIF('Risk Data'!$C$4:$C$303,A6,'Risk Data'!$F$4:$F$303)/B6,0)</x:f>
        <x:v>12</x:v>
      </x:c>
      <x:c r="D6" s="20" t="n">
        <x:f>COUNTIFS('Risk Data'!$C$4:$C$303,A6,'Risk Data'!$G$4:$G$303,"High")+COUNTIFS('Risk Data'!$C$4:$C$303,A6,'Risk Data'!$G$4:$G$303,"Critical")</x:f>
        <x:v>1</x:v>
      </x:c>
      <x:c r="E6" s="20" t="n">
        <x:v>1</x:v>
      </x:c>
      <x:c r="F6" s="20" t="str">
        <x:v>Stable</x:v>
      </x:c>
    </x:row>
    <x:row r="7">
      <x:c r="A7" s="20" t="str">
        <x:v>Analytics</x:v>
      </x:c>
      <x:c r="B7" s="20" t="n">
        <x:f>COUNTIF('Risk Data'!$C$4:$C$303,A7)</x:f>
        <x:v>1</x:v>
      </x:c>
      <x:c r="C7" s="20" t="n">
        <x:f>IFERROR(SUMIF('Risk Data'!$C$4:$C$303,A7,'Risk Data'!$F$4:$F$303)/B7,0)</x:f>
        <x:v>15</x:v>
      </x:c>
      <x:c r="D7" s="20" t="n">
        <x:f>COUNTIFS('Risk Data'!$C$4:$C$303,A7,'Risk Data'!$G$4:$G$303,"High")+COUNTIFS('Risk Data'!$C$4:$C$303,A7,'Risk Data'!$G$4:$G$303,"Critical")</x:f>
        <x:v>1</x:v>
      </x:c>
      <x:c r="E7" s="20" t="n">
        <x:v>1</x:v>
      </x:c>
      <x:c r="F7" s="20" t="str">
        <x:v>Improving</x:v>
      </x:c>
    </x:row>
    <x:row r="8">
      <x:c r="A8" s="20" t="str">
        <x:v>Security Operations</x:v>
      </x:c>
      <x:c r="B8" s="20" t="n">
        <x:f>COUNTIF('Risk Data'!$C$4:$C$303,A8)</x:f>
        <x:v>1</x:v>
      </x:c>
      <x:c r="C8" s="20" t="n">
        <x:f>IFERROR(SUMIF('Risk Data'!$C$4:$C$303,A8,'Risk Data'!$F$4:$F$303)/B8,0)</x:f>
        <x:v>12</x:v>
      </x:c>
      <x:c r="D8" s="20" t="n">
        <x:f>COUNTIFS('Risk Data'!$C$4:$C$303,A8,'Risk Data'!$G$4:$G$303,"High")+COUNTIFS('Risk Data'!$C$4:$C$303,A8,'Risk Data'!$G$4:$G$303,"Critical")</x:f>
        <x:v>1</x:v>
      </x:c>
      <x:c r="E8" s="20" t="n">
        <x:v>1</x:v>
      </x:c>
      <x:c r="F8" s="20" t="str">
        <x:v>Improving</x:v>
      </x:c>
    </x:row>
    <x:row r="9">
      <x:c r="A9" s="20" t="str">
        <x:v>Finance</x:v>
      </x:c>
      <x:c r="B9" s="20" t="n">
        <x:f>COUNTIF('Risk Data'!$C$4:$C$303,A9)</x:f>
        <x:v>1</x:v>
      </x:c>
      <x:c r="C9" s="20" t="n">
        <x:f>IFERROR(SUMIF('Risk Data'!$C$4:$C$303,A9,'Risk Data'!$F$4:$F$303)/B9,0)</x:f>
        <x:v>16</x:v>
      </x:c>
      <x:c r="D9" s="20" t="n">
        <x:f>COUNTIFS('Risk Data'!$C$4:$C$303,A9,'Risk Data'!$G$4:$G$303,"High")+COUNTIFS('Risk Data'!$C$4:$C$303,A9,'Risk Data'!$G$4:$G$303,"Critical")</x:f>
        <x:v>1</x:v>
      </x:c>
      <x:c r="E9" s="20" t="n">
        <x:v>1</x:v>
      </x:c>
      <x:c r="F9" s="20" t="str">
        <x:v>Worsening</x:v>
      </x:c>
    </x:row>
    <x:row r="10">
      <x:c r="A10" s="20"/>
      <x:c r="B10" s="20" t="n">
        <x:f>COUNTIF('Risk Data'!$C$4:$C$303,A10)</x:f>
        <x:v>0</x:v>
      </x:c>
      <x:c r="C10" s="20" t="n">
        <x:f>IFERROR(SUMIF('Risk Data'!$C$4:$C$303,A10,'Risk Data'!$F$4:$F$303)/B10,0)</x:f>
        <x:v>0</x:v>
      </x:c>
      <x:c r="D10" s="20" t="n">
        <x:f>COUNTIFS('Risk Data'!$C$4:$C$303,A10,'Risk Data'!$G$4:$G$303,"High")+COUNTIFS('Risk Data'!$C$4:$C$303,A10,'Risk Data'!$G$4:$G$303,"Critical")</x:f>
        <x:v>0</x:v>
      </x:c>
      <x:c r="E10" s="20" t="n">
        <x:v>1</x:v>
      </x:c>
      <x:c r="F10" s="20"/>
    </x:row>
    <x:row r="11">
      <x:c r="A11" s="20"/>
      <x:c r="B11" s="20" t="n">
        <x:f>COUNTIF('Risk Data'!$C$4:$C$303,A11)</x:f>
        <x:v>0</x:v>
      </x:c>
      <x:c r="C11" s="20" t="n">
        <x:f>IFERROR(SUMIF('Risk Data'!$C$4:$C$303,A11,'Risk Data'!$F$4:$F$303)/B11,0)</x:f>
        <x:v>0</x:v>
      </x:c>
      <x:c r="D11" s="20" t="n">
        <x:f>COUNTIFS('Risk Data'!$C$4:$C$303,A11,'Risk Data'!$G$4:$G$303,"High")+COUNTIFS('Risk Data'!$C$4:$C$303,A11,'Risk Data'!$G$4:$G$303,"Critical")</x:f>
        <x:v>0</x:v>
      </x:c>
      <x:c r="E11" s="20" t="n">
        <x:v>1</x:v>
      </x:c>
      <x:c r="F11" s="20"/>
    </x:row>
    <x:row r="12">
      <x:c r="A12" s="20"/>
      <x:c r="B12" s="20" t="n">
        <x:f>COUNTIF('Risk Data'!$C$4:$C$303,A12)</x:f>
        <x:v>0</x:v>
      </x:c>
      <x:c r="C12" s="20" t="n">
        <x:f>IFERROR(SUMIF('Risk Data'!$C$4:$C$303,A12,'Risk Data'!$F$4:$F$303)/B12,0)</x:f>
        <x:v>0</x:v>
      </x:c>
      <x:c r="D12" s="20" t="n">
        <x:f>COUNTIFS('Risk Data'!$C$4:$C$303,A12,'Risk Data'!$G$4:$G$303,"High")+COUNTIFS('Risk Data'!$C$4:$C$303,A12,'Risk Data'!$G$4:$G$303,"Critical")</x:f>
        <x:v>0</x:v>
      </x:c>
      <x:c r="E12" s="20" t="n">
        <x:v>1</x:v>
      </x:c>
      <x:c r="F12" s="20"/>
    </x:row>
    <x:row r="13">
      <x:c r="A13" s="20"/>
      <x:c r="B13" s="20" t="n">
        <x:f>COUNTIF('Risk Data'!$C$4:$C$303,A13)</x:f>
        <x:v>0</x:v>
      </x:c>
      <x:c r="C13" s="20" t="n">
        <x:f>IFERROR(SUMIF('Risk Data'!$C$4:$C$303,A13,'Risk Data'!$F$4:$F$303)/B13,0)</x:f>
        <x:v>0</x:v>
      </x:c>
      <x:c r="D13" s="20" t="n">
        <x:f>COUNTIFS('Risk Data'!$C$4:$C$303,A13,'Risk Data'!$G$4:$G$303,"High")+COUNTIFS('Risk Data'!$C$4:$C$303,A13,'Risk Data'!$G$4:$G$303,"Critical")</x:f>
        <x:v>0</x:v>
      </x:c>
      <x:c r="E13" s="20" t="n">
        <x:v>1</x:v>
      </x:c>
      <x:c r="F13" s="20"/>
    </x:row>
    <x:row r="14">
      <x:c r="A14" s="20"/>
      <x:c r="B14" s="20" t="n">
        <x:f>COUNTIF('Risk Data'!$C$4:$C$303,A14)</x:f>
        <x:v>0</x:v>
      </x:c>
      <x:c r="C14" s="20" t="n">
        <x:f>IFERROR(SUMIF('Risk Data'!$C$4:$C$303,A14,'Risk Data'!$F$4:$F$303)/B14,0)</x:f>
        <x:v>0</x:v>
      </x:c>
      <x:c r="D14" s="20" t="n">
        <x:f>COUNTIFS('Risk Data'!$C$4:$C$303,A14,'Risk Data'!$G$4:$G$303,"High")+COUNTIFS('Risk Data'!$C$4:$C$303,A14,'Risk Data'!$G$4:$G$303,"Critical")</x:f>
        <x:v>0</x:v>
      </x:c>
      <x:c r="E14" s="20" t="n">
        <x:v>1</x:v>
      </x:c>
      <x:c r="F14" s="20"/>
    </x:row>
    <x:row r="15">
      <x:c r="A15" s="20"/>
      <x:c r="B15" s="20" t="n">
        <x:f>COUNTIF('Risk Data'!$C$4:$C$303,A15)</x:f>
        <x:v>0</x:v>
      </x:c>
      <x:c r="C15" s="20" t="n">
        <x:f>IFERROR(SUMIF('Risk Data'!$C$4:$C$303,A15,'Risk Data'!$F$4:$F$303)/B15,0)</x:f>
        <x:v>0</x:v>
      </x:c>
      <x:c r="D15" s="20" t="n">
        <x:f>COUNTIFS('Risk Data'!$C$4:$C$303,A15,'Risk Data'!$G$4:$G$303,"High")+COUNTIFS('Risk Data'!$C$4:$C$303,A15,'Risk Data'!$G$4:$G$303,"Critical")</x:f>
        <x:v>0</x:v>
      </x:c>
      <x:c r="E15" s="20" t="n">
        <x:v>1</x:v>
      </x:c>
      <x:c r="F15" s="20"/>
    </x:row>
    <x:row r="16">
      <x:c r="A16" s="20"/>
      <x:c r="B16" s="20" t="n">
        <x:f>COUNTIF('Risk Data'!$C$4:$C$303,A16)</x:f>
        <x:v>0</x:v>
      </x:c>
      <x:c r="C16" s="20" t="n">
        <x:f>IFERROR(SUMIF('Risk Data'!$C$4:$C$303,A16,'Risk Data'!$F$4:$F$303)/B16,0)</x:f>
        <x:v>0</x:v>
      </x:c>
      <x:c r="D16" s="20" t="n">
        <x:f>COUNTIFS('Risk Data'!$C$4:$C$303,A16,'Risk Data'!$G$4:$G$303,"High")+COUNTIFS('Risk Data'!$C$4:$C$303,A16,'Risk Data'!$G$4:$G$303,"Critical")</x:f>
        <x:v>0</x:v>
      </x:c>
      <x:c r="E16" s="20" t="n">
        <x:v>1</x:v>
      </x:c>
      <x:c r="F16" s="20"/>
    </x:row>
    <x:row r="17">
      <x:c r="A17" s="20"/>
      <x:c r="B17" s="20" t="n">
        <x:f>COUNTIF('Risk Data'!$C$4:$C$303,A17)</x:f>
        <x:v>0</x:v>
      </x:c>
      <x:c r="C17" s="20" t="n">
        <x:f>IFERROR(SUMIF('Risk Data'!$C$4:$C$303,A17,'Risk Data'!$F$4:$F$303)/B17,0)</x:f>
        <x:v>0</x:v>
      </x:c>
      <x:c r="D17" s="20" t="n">
        <x:f>COUNTIFS('Risk Data'!$C$4:$C$303,A17,'Risk Data'!$G$4:$G$303,"High")+COUNTIFS('Risk Data'!$C$4:$C$303,A17,'Risk Data'!$G$4:$G$303,"Critical")</x:f>
        <x:v>0</x:v>
      </x:c>
      <x:c r="E17" s="20" t="n">
        <x:v>1</x:v>
      </x:c>
      <x:c r="F17" s="20"/>
    </x:row>
    <x:row r="18">
      <x:c r="A18" s="20"/>
      <x:c r="B18" s="20" t="n">
        <x:f>COUNTIF('Risk Data'!$C$4:$C$303,A18)</x:f>
        <x:v>0</x:v>
      </x:c>
      <x:c r="C18" s="20" t="n">
        <x:f>IFERROR(SUMIF('Risk Data'!$C$4:$C$303,A18,'Risk Data'!$F$4:$F$303)/B18,0)</x:f>
        <x:v>0</x:v>
      </x:c>
      <x:c r="D18" s="20" t="n">
        <x:f>COUNTIFS('Risk Data'!$C$4:$C$303,A18,'Risk Data'!$G$4:$G$303,"High")+COUNTIFS('Risk Data'!$C$4:$C$303,A18,'Risk Data'!$G$4:$G$303,"Critical")</x:f>
        <x:v>0</x:v>
      </x:c>
      <x:c r="E18" s="20" t="n">
        <x:v>1</x:v>
      </x:c>
      <x:c r="F18" s="20"/>
    </x:row>
    <x:row r="19">
      <x:c r="A19" s="20"/>
      <x:c r="B19" s="20" t="n">
        <x:f>COUNTIF('Risk Data'!$C$4:$C$303,A19)</x:f>
        <x:v>0</x:v>
      </x:c>
      <x:c r="C19" s="20" t="n">
        <x:f>IFERROR(SUMIF('Risk Data'!$C$4:$C$303,A19,'Risk Data'!$F$4:$F$303)/B19,0)</x:f>
        <x:v>0</x:v>
      </x:c>
      <x:c r="D19" s="20" t="n">
        <x:f>COUNTIFS('Risk Data'!$C$4:$C$303,A19,'Risk Data'!$G$4:$G$303,"High")+COUNTIFS('Risk Data'!$C$4:$C$303,A19,'Risk Data'!$G$4:$G$303,"Critical")</x:f>
        <x:v>0</x:v>
      </x:c>
      <x:c r="E19" s="20" t="n">
        <x:v>1</x:v>
      </x:c>
      <x:c r="F19" s="20"/>
    </x:row>
    <x:row r="20">
      <x:c r="A20" s="20"/>
      <x:c r="B20" s="20" t="n">
        <x:f>COUNTIF('Risk Data'!$C$4:$C$303,A20)</x:f>
        <x:v>0</x:v>
      </x:c>
      <x:c r="C20" s="20" t="n">
        <x:f>IFERROR(SUMIF('Risk Data'!$C$4:$C$303,A20,'Risk Data'!$F$4:$F$303)/B20,0)</x:f>
        <x:v>0</x:v>
      </x:c>
      <x:c r="D20" s="20" t="n">
        <x:f>COUNTIFS('Risk Data'!$C$4:$C$303,A20,'Risk Data'!$G$4:$G$303,"High")+COUNTIFS('Risk Data'!$C$4:$C$303,A20,'Risk Data'!$G$4:$G$303,"Critical")</x:f>
        <x:v>0</x:v>
      </x:c>
      <x:c r="E20" s="20" t="n">
        <x:v>1</x:v>
      </x:c>
      <x:c r="F20" s="20"/>
    </x:row>
    <x:row r="21">
      <x:c r="B21" t="n">
        <x:f>COUNTIF('Risk Data'!$C$4:$C$303,A21)</x:f>
        <x:v>0</x:v>
      </x:c>
      <x:c r="C21" t="n">
        <x:f>IFERROR(SUMIF('Risk Data'!$C$4:$C$303,A21,'Risk Data'!$F$4:$F$303)/B21,0)</x:f>
        <x:v>0</x:v>
      </x:c>
      <x:c r="D21" t="n">
        <x:f>COUNTIFS('Risk Data'!$C$4:$C$303,A21,'Risk Data'!$G$4:$G$303,"High")+COUNTIFS('Risk Data'!$C$4:$C$303,A21,'Risk Data'!$G$4:$G$303,"Critical")</x:f>
        <x:v>0</x:v>
      </x:c>
      <x:c r="E21" t="n">
        <x:v>1</x:v>
      </x:c>
    </x:row>
    <x:row r="22">
      <x:c r="B22" t="n">
        <x:f>COUNTIF('Risk Data'!$C$4:$C$303,A22)</x:f>
        <x:v>0</x:v>
      </x:c>
      <x:c r="C22" t="n">
        <x:f>IFERROR(SUMIF('Risk Data'!$C$4:$C$303,A22,'Risk Data'!$F$4:$F$303)/B22,0)</x:f>
        <x:v>0</x:v>
      </x:c>
      <x:c r="D22" t="n">
        <x:f>COUNTIFS('Risk Data'!$C$4:$C$303,A22,'Risk Data'!$G$4:$G$303,"High")+COUNTIFS('Risk Data'!$C$4:$C$303,A22,'Risk Data'!$G$4:$G$303,"Critical")</x:f>
        <x:v>0</x:v>
      </x:c>
      <x:c r="E22" t="n">
        <x:v>1</x:v>
      </x:c>
    </x:row>
    <x:row r="23">
      <x:c r="B23" t="n">
        <x:f>COUNTIF('Risk Data'!$C$4:$C$303,A23)</x:f>
        <x:v>0</x:v>
      </x:c>
      <x:c r="C23" t="n">
        <x:f>IFERROR(SUMIF('Risk Data'!$C$4:$C$303,A23,'Risk Data'!$F$4:$F$303)/B23,0)</x:f>
        <x:v>0</x:v>
      </x:c>
      <x:c r="D23" t="n">
        <x:f>COUNTIFS('Risk Data'!$C$4:$C$303,A23,'Risk Data'!$G$4:$G$303,"High")+COUNTIFS('Risk Data'!$C$4:$C$303,A23,'Risk Data'!$G$4:$G$303,"Critical")</x:f>
        <x:v>0</x:v>
      </x:c>
      <x:c r="E23" t="n">
        <x:v>1</x:v>
      </x:c>
    </x:row>
    <x:row r="24">
      <x:c r="B24" t="n">
        <x:f>COUNTIF('Risk Data'!$C$4:$C$303,A24)</x:f>
        <x:v>0</x:v>
      </x:c>
      <x:c r="C24" t="n">
        <x:f>IFERROR(SUMIF('Risk Data'!$C$4:$C$303,A24,'Risk Data'!$F$4:$F$303)/B24,0)</x:f>
        <x:v>0</x:v>
      </x:c>
      <x:c r="D24" t="n">
        <x:f>COUNTIFS('Risk Data'!$C$4:$C$303,A24,'Risk Data'!$G$4:$G$303,"High")+COUNTIFS('Risk Data'!$C$4:$C$303,A24,'Risk Data'!$G$4:$G$303,"Critical")</x:f>
        <x:v>0</x:v>
      </x:c>
      <x:c r="E24" t="n">
        <x:v>1</x:v>
      </x:c>
    </x:row>
    <x:row r="25">
      <x:c r="B25" t="n">
        <x:f>COUNTIF('Risk Data'!$C$4:$C$303,A25)</x:f>
        <x:v>0</x:v>
      </x:c>
      <x:c r="C25" t="n">
        <x:f>IFERROR(SUMIF('Risk Data'!$C$4:$C$303,A25,'Risk Data'!$F$4:$F$303)/B25,0)</x:f>
        <x:v>0</x:v>
      </x:c>
      <x:c r="D25" t="n">
        <x:f>COUNTIFS('Risk Data'!$C$4:$C$303,A25,'Risk Data'!$G$4:$G$303,"High")+COUNTIFS('Risk Data'!$C$4:$C$303,A25,'Risk Data'!$G$4:$G$303,"Critical")</x:f>
        <x:v>0</x:v>
      </x:c>
      <x:c r="E25" t="n">
        <x:v>1</x:v>
      </x:c>
    </x:row>
    <x:row r="26">
      <x:c r="B26" t="n">
        <x:f>COUNTIF('Risk Data'!$C$4:$C$303,A26)</x:f>
        <x:v>0</x:v>
      </x:c>
      <x:c r="C26" t="n">
        <x:f>IFERROR(SUMIF('Risk Data'!$C$4:$C$303,A26,'Risk Data'!$F$4:$F$303)/B26,0)</x:f>
        <x:v>0</x:v>
      </x:c>
      <x:c r="D26" t="n">
        <x:f>COUNTIFS('Risk Data'!$C$4:$C$303,A26,'Risk Data'!$G$4:$G$303,"High")+COUNTIFS('Risk Data'!$C$4:$C$303,A26,'Risk Data'!$G$4:$G$303,"Critical")</x:f>
        <x:v>0</x:v>
      </x:c>
      <x:c r="E26" t="n">
        <x:v>1</x:v>
      </x:c>
    </x:row>
    <x:row r="27">
      <x:c r="B27" t="n">
        <x:f>COUNTIF('Risk Data'!$C$4:$C$303,A27)</x:f>
        <x:v>0</x:v>
      </x:c>
      <x:c r="C27" t="n">
        <x:f>IFERROR(SUMIF('Risk Data'!$C$4:$C$303,A27,'Risk Data'!$F$4:$F$303)/B27,0)</x:f>
        <x:v>0</x:v>
      </x:c>
      <x:c r="D27" t="n">
        <x:f>COUNTIFS('Risk Data'!$C$4:$C$303,A27,'Risk Data'!$G$4:$G$303,"High")+COUNTIFS('Risk Data'!$C$4:$C$303,A27,'Risk Data'!$G$4:$G$303,"Critical")</x:f>
        <x:v>0</x:v>
      </x:c>
      <x:c r="E27" t="n">
        <x:v>1</x:v>
      </x:c>
    </x:row>
    <x:row r="28">
      <x:c r="B28" t="n">
        <x:f>COUNTIF('Risk Data'!$C$4:$C$303,A28)</x:f>
        <x:v>0</x:v>
      </x:c>
      <x:c r="C28" t="n">
        <x:f>IFERROR(SUMIF('Risk Data'!$C$4:$C$303,A28,'Risk Data'!$F$4:$F$303)/B28,0)</x:f>
        <x:v>0</x:v>
      </x:c>
      <x:c r="D28" t="n">
        <x:f>COUNTIFS('Risk Data'!$C$4:$C$303,A28,'Risk Data'!$G$4:$G$303,"High")+COUNTIFS('Risk Data'!$C$4:$C$303,A28,'Risk Data'!$G$4:$G$303,"Critical")</x:f>
        <x:v>0</x:v>
      </x:c>
      <x:c r="E28" t="n">
        <x:v>1</x:v>
      </x:c>
    </x:row>
    <x:row r="29">
      <x:c r="B29" t="n">
        <x:f>COUNTIF('Risk Data'!$C$4:$C$303,A29)</x:f>
        <x:v>0</x:v>
      </x:c>
      <x:c r="C29" t="n">
        <x:f>IFERROR(SUMIF('Risk Data'!$C$4:$C$303,A29,'Risk Data'!$F$4:$F$303)/B29,0)</x:f>
        <x:v>0</x:v>
      </x:c>
      <x:c r="D29" t="n">
        <x:f>COUNTIFS('Risk Data'!$C$4:$C$303,A29,'Risk Data'!$G$4:$G$303,"High")+COUNTIFS('Risk Data'!$C$4:$C$303,A29,'Risk Data'!$G$4:$G$303,"Critical")</x:f>
        <x:v>0</x:v>
      </x:c>
      <x:c r="E29" t="n">
        <x:v>1</x:v>
      </x:c>
    </x:row>
    <x:row r="30">
      <x:c r="B30" t="n">
        <x:f>COUNTIF('Risk Data'!$C$4:$C$303,A30)</x:f>
        <x:v>0</x:v>
      </x:c>
      <x:c r="C30" t="n">
        <x:f>IFERROR(SUMIF('Risk Data'!$C$4:$C$303,A30,'Risk Data'!$F$4:$F$303)/B30,0)</x:f>
        <x:v>0</x:v>
      </x:c>
      <x:c r="D30" t="n">
        <x:f>COUNTIFS('Risk Data'!$C$4:$C$303,A30,'Risk Data'!$G$4:$G$303,"High")+COUNTIFS('Risk Data'!$C$4:$C$303,A30,'Risk Data'!$G$4:$G$303,"Critical")</x:f>
        <x:v>0</x:v>
      </x:c>
      <x:c r="E30" t="n">
        <x:v>1</x:v>
      </x:c>
    </x:row>
    <x:row r="31">
      <x:c r="B31" t="n">
        <x:f>COUNTIF('Risk Data'!$C$4:$C$303,A31)</x:f>
        <x:v>0</x:v>
      </x:c>
      <x:c r="C31" t="n">
        <x:f>IFERROR(SUMIF('Risk Data'!$C$4:$C$303,A31,'Risk Data'!$F$4:$F$303)/B31,0)</x:f>
        <x:v>0</x:v>
      </x:c>
      <x:c r="D31" t="n">
        <x:f>COUNTIFS('Risk Data'!$C$4:$C$303,A31,'Risk Data'!$G$4:$G$303,"High")+COUNTIFS('Risk Data'!$C$4:$C$303,A31,'Risk Data'!$G$4:$G$303,"Critical")</x:f>
        <x:v>0</x:v>
      </x:c>
      <x:c r="E31" t="n">
        <x:v>1</x:v>
      </x:c>
    </x:row>
    <x:row r="32">
      <x:c r="B32" t="n">
        <x:f>COUNTIF('Risk Data'!$C$4:$C$303,A32)</x:f>
        <x:v>0</x:v>
      </x:c>
      <x:c r="C32" t="n">
        <x:f>IFERROR(SUMIF('Risk Data'!$C$4:$C$303,A32,'Risk Data'!$F$4:$F$303)/B32,0)</x:f>
        <x:v>0</x:v>
      </x:c>
      <x:c r="D32" t="n">
        <x:f>COUNTIFS('Risk Data'!$C$4:$C$303,A32,'Risk Data'!$G$4:$G$303,"High")+COUNTIFS('Risk Data'!$C$4:$C$303,A32,'Risk Data'!$G$4:$G$303,"Critical")</x:f>
        <x:v>0</x:v>
      </x:c>
      <x:c r="E32" t="n">
        <x:v>1</x:v>
      </x:c>
    </x:row>
    <x:row r="33">
      <x:c r="B33" t="n">
        <x:f>COUNTIF('Risk Data'!$C$4:$C$303,A33)</x:f>
        <x:v>0</x:v>
      </x:c>
      <x:c r="C33" t="n">
        <x:f>IFERROR(SUMIF('Risk Data'!$C$4:$C$303,A33,'Risk Data'!$F$4:$F$303)/B33,0)</x:f>
        <x:v>0</x:v>
      </x:c>
      <x:c r="D33" t="n">
        <x:f>COUNTIFS('Risk Data'!$C$4:$C$303,A33,'Risk Data'!$G$4:$G$303,"High")+COUNTIFS('Risk Data'!$C$4:$C$303,A33,'Risk Data'!$G$4:$G$303,"Critical")</x:f>
        <x:v>0</x:v>
      </x:c>
      <x:c r="E33" t="n">
        <x:v>1</x:v>
      </x:c>
    </x:row>
    <x:row r="34">
      <x:c r="B34" t="n">
        <x:f>COUNTIF('Risk Data'!$C$4:$C$303,A34)</x:f>
        <x:v>0</x:v>
      </x:c>
      <x:c r="C34" t="n">
        <x:f>IFERROR(SUMIF('Risk Data'!$C$4:$C$303,A34,'Risk Data'!$F$4:$F$303)/B34,0)</x:f>
        <x:v>0</x:v>
      </x:c>
      <x:c r="D34" t="n">
        <x:f>COUNTIFS('Risk Data'!$C$4:$C$303,A34,'Risk Data'!$G$4:$G$303,"High")+COUNTIFS('Risk Data'!$C$4:$C$303,A34,'Risk Data'!$G$4:$G$303,"Critical")</x:f>
        <x:v>0</x:v>
      </x:c>
      <x:c r="E34" t="n">
        <x:v>1</x:v>
      </x:c>
    </x:row>
    <x:row r="35">
      <x:c r="B35" t="n">
        <x:f>COUNTIF('Risk Data'!$C$4:$C$303,A35)</x:f>
        <x:v>0</x:v>
      </x:c>
      <x:c r="C35" t="n">
        <x:f>IFERROR(SUMIF('Risk Data'!$C$4:$C$303,A35,'Risk Data'!$F$4:$F$303)/B35,0)</x:f>
        <x:v>0</x:v>
      </x:c>
      <x:c r="D35" t="n">
        <x:f>COUNTIFS('Risk Data'!$C$4:$C$303,A35,'Risk Data'!$G$4:$G$303,"High")+COUNTIFS('Risk Data'!$C$4:$C$303,A35,'Risk Data'!$G$4:$G$303,"Critical")</x:f>
        <x:v>0</x:v>
      </x:c>
      <x:c r="E35" t="n">
        <x:v>1</x:v>
      </x:c>
    </x:row>
    <x:row r="36">
      <x:c r="B36" t="n">
        <x:f>COUNTIF('Risk Data'!$C$4:$C$303,A36)</x:f>
        <x:v>0</x:v>
      </x:c>
      <x:c r="C36" t="n">
        <x:f>IFERROR(SUMIF('Risk Data'!$C$4:$C$303,A36,'Risk Data'!$F$4:$F$303)/B36,0)</x:f>
        <x:v>0</x:v>
      </x:c>
      <x:c r="D36" t="n">
        <x:f>COUNTIFS('Risk Data'!$C$4:$C$303,A36,'Risk Data'!$G$4:$G$303,"High")+COUNTIFS('Risk Data'!$C$4:$C$303,A36,'Risk Data'!$G$4:$G$303,"Critical")</x:f>
        <x:v>0</x:v>
      </x:c>
      <x:c r="E36" t="n">
        <x:v>1</x:v>
      </x:c>
    </x:row>
    <x:row r="37">
      <x:c r="B37" t="n">
        <x:f>COUNTIF('Risk Data'!$C$4:$C$303,A37)</x:f>
        <x:v>0</x:v>
      </x:c>
      <x:c r="C37" t="n">
        <x:f>IFERROR(SUMIF('Risk Data'!$C$4:$C$303,A37,'Risk Data'!$F$4:$F$303)/B37,0)</x:f>
        <x:v>0</x:v>
      </x:c>
      <x:c r="D37" t="n">
        <x:f>COUNTIFS('Risk Data'!$C$4:$C$303,A37,'Risk Data'!$G$4:$G$303,"High")+COUNTIFS('Risk Data'!$C$4:$C$303,A37,'Risk Data'!$G$4:$G$303,"Critical")</x:f>
        <x:v>0</x:v>
      </x:c>
      <x:c r="E37" t="n">
        <x:v>1</x:v>
      </x:c>
    </x:row>
    <x:row r="38">
      <x:c r="B38" t="n">
        <x:f>COUNTIF('Risk Data'!$C$4:$C$303,A38)</x:f>
        <x:v>0</x:v>
      </x:c>
      <x:c r="C38" t="n">
        <x:f>IFERROR(SUMIF('Risk Data'!$C$4:$C$303,A38,'Risk Data'!$F$4:$F$303)/B38,0)</x:f>
        <x:v>0</x:v>
      </x:c>
      <x:c r="D38" t="n">
        <x:f>COUNTIFS('Risk Data'!$C$4:$C$303,A38,'Risk Data'!$G$4:$G$303,"High")+COUNTIFS('Risk Data'!$C$4:$C$303,A38,'Risk Data'!$G$4:$G$303,"Critical")</x:f>
        <x:v>0</x:v>
      </x:c>
      <x:c r="E38" t="n">
        <x:v>1</x:v>
      </x:c>
    </x:row>
    <x:row r="39">
      <x:c r="B39" t="n">
        <x:f>COUNTIF('Risk Data'!$C$4:$C$303,A39)</x:f>
        <x:v>0</x:v>
      </x:c>
      <x:c r="C39" t="n">
        <x:f>IFERROR(SUMIF('Risk Data'!$C$4:$C$303,A39,'Risk Data'!$F$4:$F$303)/B39,0)</x:f>
        <x:v>0</x:v>
      </x:c>
      <x:c r="D39" t="n">
        <x:f>COUNTIFS('Risk Data'!$C$4:$C$303,A39,'Risk Data'!$G$4:$G$303,"High")+COUNTIFS('Risk Data'!$C$4:$C$303,A39,'Risk Data'!$G$4:$G$303,"Critical")</x:f>
        <x:v>0</x:v>
      </x:c>
      <x:c r="E39" t="n">
        <x:v>1</x:v>
      </x:c>
    </x:row>
    <x:row r="40">
      <x:c r="B40" t="n">
        <x:f>COUNTIF('Risk Data'!$C$4:$C$303,A40)</x:f>
        <x:v>0</x:v>
      </x:c>
      <x:c r="C40" t="n">
        <x:f>IFERROR(SUMIF('Risk Data'!$C$4:$C$303,A40,'Risk Data'!$F$4:$F$303)/B40,0)</x:f>
        <x:v>0</x:v>
      </x:c>
      <x:c r="D40" t="n">
        <x:f>COUNTIFS('Risk Data'!$C$4:$C$303,A40,'Risk Data'!$G$4:$G$303,"High")+COUNTIFS('Risk Data'!$C$4:$C$303,A40,'Risk Data'!$G$4:$G$303,"Critical")</x:f>
        <x:v>0</x:v>
      </x:c>
      <x:c r="E40" t="n">
        <x:v>1</x:v>
      </x:c>
    </x:row>
    <x:row r="41">
      <x:c r="B41" t="n">
        <x:f>COUNTIF('Risk Data'!$C$4:$C$303,A41)</x:f>
        <x:v>0</x:v>
      </x:c>
      <x:c r="C41" t="n">
        <x:f>IFERROR(SUMIF('Risk Data'!$C$4:$C$303,A41,'Risk Data'!$F$4:$F$303)/B41,0)</x:f>
        <x:v>0</x:v>
      </x:c>
      <x:c r="D41" t="n">
        <x:f>COUNTIFS('Risk Data'!$C$4:$C$303,A41,'Risk Data'!$G$4:$G$303,"High")+COUNTIFS('Risk Data'!$C$4:$C$303,A41,'Risk Data'!$G$4:$G$303,"Critical")</x:f>
        <x:v>0</x:v>
      </x:c>
      <x:c r="E41" t="n">
        <x:v>1</x:v>
      </x:c>
    </x:row>
    <x:row r="42">
      <x:c r="B42" t="n">
        <x:f>COUNTIF('Risk Data'!$C$4:$C$303,A42)</x:f>
        <x:v>0</x:v>
      </x:c>
      <x:c r="C42" t="n">
        <x:f>IFERROR(SUMIF('Risk Data'!$C$4:$C$303,A42,'Risk Data'!$F$4:$F$303)/B42,0)</x:f>
        <x:v>0</x:v>
      </x:c>
      <x:c r="D42" t="n">
        <x:f>COUNTIFS('Risk Data'!$C$4:$C$303,A42,'Risk Data'!$G$4:$G$303,"High")+COUNTIFS('Risk Data'!$C$4:$C$303,A42,'Risk Data'!$G$4:$G$303,"Critical")</x:f>
        <x:v>0</x:v>
      </x:c>
      <x:c r="E42" t="n">
        <x:v>1</x:v>
      </x:c>
    </x:row>
    <x:row r="43">
      <x:c r="B43" t="n">
        <x:f>COUNTIF('Risk Data'!$C$4:$C$303,A43)</x:f>
        <x:v>0</x:v>
      </x:c>
      <x:c r="C43" t="n">
        <x:f>IFERROR(SUMIF('Risk Data'!$C$4:$C$303,A43,'Risk Data'!$F$4:$F$303)/B43,0)</x:f>
        <x:v>0</x:v>
      </x:c>
      <x:c r="D43" t="n">
        <x:f>COUNTIFS('Risk Data'!$C$4:$C$303,A43,'Risk Data'!$G$4:$G$303,"High")+COUNTIFS('Risk Data'!$C$4:$C$303,A43,'Risk Data'!$G$4:$G$303,"Critical")</x:f>
        <x:v>0</x:v>
      </x:c>
      <x:c r="E43" t="n">
        <x:v>1</x:v>
      </x:c>
    </x:row>
    <x:row r="44">
      <x:c r="B44" t="n">
        <x:f>COUNTIF('Risk Data'!$C$4:$C$303,A44)</x:f>
        <x:v>0</x:v>
      </x:c>
      <x:c r="C44" t="n">
        <x:f>IFERROR(SUMIF('Risk Data'!$C$4:$C$303,A44,'Risk Data'!$F$4:$F$303)/B44,0)</x:f>
        <x:v>0</x:v>
      </x:c>
      <x:c r="D44" t="n">
        <x:f>COUNTIFS('Risk Data'!$C$4:$C$303,A44,'Risk Data'!$G$4:$G$303,"High")+COUNTIFS('Risk Data'!$C$4:$C$303,A44,'Risk Data'!$G$4:$G$303,"Critical")</x:f>
        <x:v>0</x:v>
      </x:c>
      <x:c r="E44" t="n">
        <x:v>1</x:v>
      </x:c>
    </x:row>
    <x:row r="45">
      <x:c r="B45" t="n">
        <x:f>COUNTIF('Risk Data'!$C$4:$C$303,A45)</x:f>
        <x:v>0</x:v>
      </x:c>
      <x:c r="C45" t="n">
        <x:f>IFERROR(SUMIF('Risk Data'!$C$4:$C$303,A45,'Risk Data'!$F$4:$F$303)/B45,0)</x:f>
        <x:v>0</x:v>
      </x:c>
      <x:c r="D45" t="n">
        <x:f>COUNTIFS('Risk Data'!$C$4:$C$303,A45,'Risk Data'!$G$4:$G$303,"High")+COUNTIFS('Risk Data'!$C$4:$C$303,A45,'Risk Data'!$G$4:$G$303,"Critical")</x:f>
        <x:v>0</x:v>
      </x:c>
      <x:c r="E45" t="n">
        <x:v>1</x:v>
      </x:c>
    </x:row>
    <x:row r="46">
      <x:c r="B46" t="n">
        <x:f>COUNTIF('Risk Data'!$C$4:$C$303,A46)</x:f>
        <x:v>0</x:v>
      </x:c>
      <x:c r="C46" t="n">
        <x:f>IFERROR(SUMIF('Risk Data'!$C$4:$C$303,A46,'Risk Data'!$F$4:$F$303)/B46,0)</x:f>
        <x:v>0</x:v>
      </x:c>
      <x:c r="D46" t="n">
        <x:f>COUNTIFS('Risk Data'!$C$4:$C$303,A46,'Risk Data'!$G$4:$G$303,"High")+COUNTIFS('Risk Data'!$C$4:$C$303,A46,'Risk Data'!$G$4:$G$303,"Critical")</x:f>
        <x:v>0</x:v>
      </x:c>
      <x:c r="E46" t="n">
        <x:v>1</x:v>
      </x:c>
    </x:row>
    <x:row r="47">
      <x:c r="B47" t="n">
        <x:f>COUNTIF('Risk Data'!$C$4:$C$303,A47)</x:f>
        <x:v>0</x:v>
      </x:c>
      <x:c r="C47" t="n">
        <x:f>IFERROR(SUMIF('Risk Data'!$C$4:$C$303,A47,'Risk Data'!$F$4:$F$303)/B47,0)</x:f>
        <x:v>0</x:v>
      </x:c>
      <x:c r="D47" t="n">
        <x:f>COUNTIFS('Risk Data'!$C$4:$C$303,A47,'Risk Data'!$G$4:$G$303,"High")+COUNTIFS('Risk Data'!$C$4:$C$303,A47,'Risk Data'!$G$4:$G$303,"Critical")</x:f>
        <x:v>0</x:v>
      </x:c>
      <x:c r="E47" t="n">
        <x:v>1</x:v>
      </x:c>
    </x:row>
    <x:row r="48">
      <x:c r="B48" t="n">
        <x:f>COUNTIF('Risk Data'!$C$4:$C$303,A48)</x:f>
        <x:v>0</x:v>
      </x:c>
      <x:c r="C48" t="n">
        <x:f>IFERROR(SUMIF('Risk Data'!$C$4:$C$303,A48,'Risk Data'!$F$4:$F$303)/B48,0)</x:f>
        <x:v>0</x:v>
      </x:c>
      <x:c r="D48" t="n">
        <x:f>COUNTIFS('Risk Data'!$C$4:$C$303,A48,'Risk Data'!$G$4:$G$303,"High")+COUNTIFS('Risk Data'!$C$4:$C$303,A48,'Risk Data'!$G$4:$G$303,"Critical")</x:f>
        <x:v>0</x:v>
      </x:c>
      <x:c r="E48" t="n">
        <x:v>1</x:v>
      </x:c>
    </x:row>
    <x:row r="49">
      <x:c r="B49" t="n">
        <x:f>COUNTIF('Risk Data'!$C$4:$C$303,A49)</x:f>
        <x:v>0</x:v>
      </x:c>
      <x:c r="C49" t="n">
        <x:f>IFERROR(SUMIF('Risk Data'!$C$4:$C$303,A49,'Risk Data'!$F$4:$F$303)/B49,0)</x:f>
        <x:v>0</x:v>
      </x:c>
      <x:c r="D49" t="n">
        <x:f>COUNTIFS('Risk Data'!$C$4:$C$303,A49,'Risk Data'!$G$4:$G$303,"High")+COUNTIFS('Risk Data'!$C$4:$C$303,A49,'Risk Data'!$G$4:$G$303,"Critical")</x:f>
        <x:v>0</x:v>
      </x:c>
      <x:c r="E49" t="n">
        <x:v>1</x:v>
      </x:c>
    </x:row>
    <x:row r="50">
      <x:c r="B50" t="n">
        <x:f>COUNTIF('Risk Data'!$C$4:$C$303,A50)</x:f>
        <x:v>0</x:v>
      </x:c>
      <x:c r="C50" t="n">
        <x:f>IFERROR(SUMIF('Risk Data'!$C$4:$C$303,A50,'Risk Data'!$F$4:$F$303)/B50,0)</x:f>
        <x:v>0</x:v>
      </x:c>
      <x:c r="D50" t="n">
        <x:f>COUNTIFS('Risk Data'!$C$4:$C$303,A50,'Risk Data'!$G$4:$G$303,"High")+COUNTIFS('Risk Data'!$C$4:$C$303,A50,'Risk Data'!$G$4:$G$303,"Critical")</x:f>
        <x:v>0</x:v>
      </x:c>
      <x:c r="E50" t="n">
        <x:v>1</x:v>
      </x:c>
    </x:row>
    <x:row r="51">
      <x:c r="B51" t="n">
        <x:f>COUNTIF('Risk Data'!$C$4:$C$303,A51)</x:f>
        <x:v>0</x:v>
      </x:c>
      <x:c r="C51" t="n">
        <x:f>IFERROR(SUMIF('Risk Data'!$C$4:$C$303,A51,'Risk Data'!$F$4:$F$303)/B51,0)</x:f>
        <x:v>0</x:v>
      </x:c>
      <x:c r="D51" t="n">
        <x:f>COUNTIFS('Risk Data'!$C$4:$C$303,A51,'Risk Data'!$G$4:$G$303,"High")+COUNTIFS('Risk Data'!$C$4:$C$303,A51,'Risk Data'!$G$4:$G$303,"Critical")</x:f>
        <x:v>0</x:v>
      </x:c>
      <x:c r="E51" t="n">
        <x:v>1</x:v>
      </x:c>
    </x:row>
    <x:row r="52">
      <x:c r="B52" t="n">
        <x:f>COUNTIF('Risk Data'!$C$4:$C$303,A52)</x:f>
        <x:v>0</x:v>
      </x:c>
      <x:c r="C52" t="n">
        <x:f>IFERROR(SUMIF('Risk Data'!$C$4:$C$303,A52,'Risk Data'!$F$4:$F$303)/B52,0)</x:f>
        <x:v>0</x:v>
      </x:c>
      <x:c r="D52" t="n">
        <x:f>COUNTIFS('Risk Data'!$C$4:$C$303,A52,'Risk Data'!$G$4:$G$303,"High")+COUNTIFS('Risk Data'!$C$4:$C$303,A52,'Risk Data'!$G$4:$G$303,"Critical")</x:f>
        <x:v>0</x:v>
      </x:c>
      <x:c r="E52" t="n">
        <x:v>1</x:v>
      </x:c>
    </x:row>
    <x:row r="53">
      <x:c r="B53" t="n">
        <x:f>COUNTIF('Risk Data'!$C$4:$C$303,A53)</x:f>
        <x:v>0</x:v>
      </x:c>
      <x:c r="C53" t="n">
        <x:f>IFERROR(SUMIF('Risk Data'!$C$4:$C$303,A53,'Risk Data'!$F$4:$F$303)/B53,0)</x:f>
        <x:v>0</x:v>
      </x:c>
      <x:c r="D53" t="n">
        <x:f>COUNTIFS('Risk Data'!$C$4:$C$303,A53,'Risk Data'!$G$4:$G$303,"High")+COUNTIFS('Risk Data'!$C$4:$C$303,A53,'Risk Data'!$G$4:$G$303,"Critical")</x:f>
        <x:v>0</x:v>
      </x:c>
      <x:c r="E53" t="n">
        <x:v>1</x:v>
      </x:c>
    </x:row>
    <x:row r="54">
      <x:c r="B54" t="n">
        <x:f>COUNTIF('Risk Data'!$C$4:$C$303,A54)</x:f>
        <x:v>0</x:v>
      </x:c>
      <x:c r="C54" t="n">
        <x:f>IFERROR(SUMIF('Risk Data'!$C$4:$C$303,A54,'Risk Data'!$F$4:$F$303)/B54,0)</x:f>
        <x:v>0</x:v>
      </x:c>
      <x:c r="D54" t="n">
        <x:f>COUNTIFS('Risk Data'!$C$4:$C$303,A54,'Risk Data'!$G$4:$G$303,"High")+COUNTIFS('Risk Data'!$C$4:$C$303,A54,'Risk Data'!$G$4:$G$303,"Critical")</x:f>
        <x:v>0</x:v>
      </x:c>
      <x:c r="E54" t="n">
        <x:v>1</x:v>
      </x:c>
    </x:row>
    <x:row r="55">
      <x:c r="B55" t="n">
        <x:f>COUNTIF('Risk Data'!$C$4:$C$303,A55)</x:f>
        <x:v>0</x:v>
      </x:c>
      <x:c r="C55" t="n">
        <x:f>IFERROR(SUMIF('Risk Data'!$C$4:$C$303,A55,'Risk Data'!$F$4:$F$303)/B55,0)</x:f>
        <x:v>0</x:v>
      </x:c>
      <x:c r="D55" t="n">
        <x:f>COUNTIFS('Risk Data'!$C$4:$C$303,A55,'Risk Data'!$G$4:$G$303,"High")+COUNTIFS('Risk Data'!$C$4:$C$303,A55,'Risk Data'!$G$4:$G$303,"Critical")</x:f>
        <x:v>0</x:v>
      </x:c>
      <x:c r="E55" t="n">
        <x:v>1</x:v>
      </x:c>
    </x:row>
    <x:row r="56">
      <x:c r="B56" t="n">
        <x:f>COUNTIF('Risk Data'!$C$4:$C$303,A56)</x:f>
        <x:v>0</x:v>
      </x:c>
      <x:c r="C56" t="n">
        <x:f>IFERROR(SUMIF('Risk Data'!$C$4:$C$303,A56,'Risk Data'!$F$4:$F$303)/B56,0)</x:f>
        <x:v>0</x:v>
      </x:c>
      <x:c r="D56" t="n">
        <x:f>COUNTIFS('Risk Data'!$C$4:$C$303,A56,'Risk Data'!$G$4:$G$303,"High")+COUNTIFS('Risk Data'!$C$4:$C$303,A56,'Risk Data'!$G$4:$G$303,"Critical")</x:f>
        <x:v>0</x:v>
      </x:c>
      <x:c r="E56" t="n">
        <x:v>1</x:v>
      </x:c>
    </x:row>
    <x:row r="57">
      <x:c r="B57" t="n">
        <x:f>COUNTIF('Risk Data'!$C$4:$C$303,A57)</x:f>
        <x:v>0</x:v>
      </x:c>
      <x:c r="C57" t="n">
        <x:f>IFERROR(SUMIF('Risk Data'!$C$4:$C$303,A57,'Risk Data'!$F$4:$F$303)/B57,0)</x:f>
        <x:v>0</x:v>
      </x:c>
      <x:c r="D57" t="n">
        <x:f>COUNTIFS('Risk Data'!$C$4:$C$303,A57,'Risk Data'!$G$4:$G$303,"High")+COUNTIFS('Risk Data'!$C$4:$C$303,A57,'Risk Data'!$G$4:$G$303,"Critical")</x:f>
        <x:v>0</x:v>
      </x:c>
      <x:c r="E57" t="n">
        <x:v>1</x:v>
      </x:c>
    </x:row>
    <x:row r="58">
      <x:c r="B58" t="n">
        <x:f>COUNTIF('Risk Data'!$C$4:$C$303,A58)</x:f>
        <x:v>0</x:v>
      </x:c>
      <x:c r="C58" t="n">
        <x:f>IFERROR(SUMIF('Risk Data'!$C$4:$C$303,A58,'Risk Data'!$F$4:$F$303)/B58,0)</x:f>
        <x:v>0</x:v>
      </x:c>
      <x:c r="D58" t="n">
        <x:f>COUNTIFS('Risk Data'!$C$4:$C$303,A58,'Risk Data'!$G$4:$G$303,"High")+COUNTIFS('Risk Data'!$C$4:$C$303,A58,'Risk Data'!$G$4:$G$303,"Critical")</x:f>
        <x:v>0</x:v>
      </x:c>
      <x:c r="E58" t="n">
        <x:v>1</x:v>
      </x:c>
    </x:row>
    <x:row r="59">
      <x:c r="B59" t="n">
        <x:f>COUNTIF('Risk Data'!$C$4:$C$303,A59)</x:f>
        <x:v>0</x:v>
      </x:c>
      <x:c r="C59" t="n">
        <x:f>IFERROR(SUMIF('Risk Data'!$C$4:$C$303,A59,'Risk Data'!$F$4:$F$303)/B59,0)</x:f>
        <x:v>0</x:v>
      </x:c>
      <x:c r="D59" t="n">
        <x:f>COUNTIFS('Risk Data'!$C$4:$C$303,A59,'Risk Data'!$G$4:$G$303,"High")+COUNTIFS('Risk Data'!$C$4:$C$303,A59,'Risk Data'!$G$4:$G$303,"Critical")</x:f>
        <x:v>0</x:v>
      </x:c>
      <x:c r="E59" t="n">
        <x:v>1</x:v>
      </x:c>
    </x:row>
    <x:row r="60">
      <x:c r="B60" t="n">
        <x:f>COUNTIF('Risk Data'!$C$4:$C$303,A60)</x:f>
        <x:v>0</x:v>
      </x:c>
      <x:c r="C60" t="n">
        <x:f>IFERROR(SUMIF('Risk Data'!$C$4:$C$303,A60,'Risk Data'!$F$4:$F$303)/B60,0)</x:f>
        <x:v>0</x:v>
      </x:c>
      <x:c r="D60" t="n">
        <x:f>COUNTIFS('Risk Data'!$C$4:$C$303,A60,'Risk Data'!$G$4:$G$303,"High")+COUNTIFS('Risk Data'!$C$4:$C$303,A60,'Risk Data'!$G$4:$G$303,"Critical")</x:f>
        <x:v>0</x:v>
      </x:c>
      <x:c r="E60" t="n">
        <x:v>1</x:v>
      </x:c>
    </x:row>
    <x:row r="61">
      <x:c r="B61" t="n">
        <x:f>COUNTIF('Risk Data'!$C$4:$C$303,A61)</x:f>
        <x:v>0</x:v>
      </x:c>
      <x:c r="C61" t="n">
        <x:f>IFERROR(SUMIF('Risk Data'!$C$4:$C$303,A61,'Risk Data'!$F$4:$F$303)/B61,0)</x:f>
        <x:v>0</x:v>
      </x:c>
      <x:c r="D61" t="n">
        <x:f>COUNTIFS('Risk Data'!$C$4:$C$303,A61,'Risk Data'!$G$4:$G$303,"High")+COUNTIFS('Risk Data'!$C$4:$C$303,A61,'Risk Data'!$G$4:$G$303,"Critical")</x:f>
        <x:v>0</x:v>
      </x:c>
      <x:c r="E61" t="n">
        <x:v>1</x:v>
      </x:c>
    </x:row>
    <x:row r="62">
      <x:c r="B62" t="n">
        <x:f>COUNTIF('Risk Data'!$C$4:$C$303,A62)</x:f>
        <x:v>0</x:v>
      </x:c>
      <x:c r="C62" t="n">
        <x:f>IFERROR(SUMIF('Risk Data'!$C$4:$C$303,A62,'Risk Data'!$F$4:$F$303)/B62,0)</x:f>
        <x:v>0</x:v>
      </x:c>
      <x:c r="D62" t="n">
        <x:f>COUNTIFS('Risk Data'!$C$4:$C$303,A62,'Risk Data'!$G$4:$G$303,"High")+COUNTIFS('Risk Data'!$C$4:$C$303,A62,'Risk Data'!$G$4:$G$303,"Critical")</x:f>
        <x:v>0</x:v>
      </x:c>
      <x:c r="E62" t="n">
        <x:v>1</x:v>
      </x:c>
    </x:row>
    <x:row r="63">
      <x:c r="B63" t="n">
        <x:f>COUNTIF('Risk Data'!$C$4:$C$303,A63)</x:f>
        <x:v>0</x:v>
      </x:c>
      <x:c r="C63" t="n">
        <x:f>IFERROR(SUMIF('Risk Data'!$C$4:$C$303,A63,'Risk Data'!$F$4:$F$303)/B63,0)</x:f>
        <x:v>0</x:v>
      </x:c>
      <x:c r="D63" t="n">
        <x:f>COUNTIFS('Risk Data'!$C$4:$C$303,A63,'Risk Data'!$G$4:$G$303,"High")+COUNTIFS('Risk Data'!$C$4:$C$303,A63,'Risk Data'!$G$4:$G$303,"Critical")</x:f>
        <x:v>0</x:v>
      </x:c>
      <x:c r="E63" t="n">
        <x:v>1</x:v>
      </x:c>
    </x:row>
    <x:row r="64">
      <x:c r="B64" t="n">
        <x:f>COUNTIF('Risk Data'!$C$4:$C$303,A64)</x:f>
        <x:v>0</x:v>
      </x:c>
      <x:c r="C64" t="n">
        <x:f>IFERROR(SUMIF('Risk Data'!$C$4:$C$303,A64,'Risk Data'!$F$4:$F$303)/B64,0)</x:f>
        <x:v>0</x:v>
      </x:c>
      <x:c r="D64" t="n">
        <x:f>COUNTIFS('Risk Data'!$C$4:$C$303,A64,'Risk Data'!$G$4:$G$303,"High")+COUNTIFS('Risk Data'!$C$4:$C$303,A64,'Risk Data'!$G$4:$G$303,"Critical")</x:f>
        <x:v>0</x:v>
      </x:c>
      <x:c r="E64" t="n">
        <x:v>1</x:v>
      </x:c>
    </x:row>
    <x:row r="65">
      <x:c r="B65" t="n">
        <x:f>COUNTIF('Risk Data'!$C$4:$C$303,A65)</x:f>
        <x:v>0</x:v>
      </x:c>
      <x:c r="C65" t="n">
        <x:f>IFERROR(SUMIF('Risk Data'!$C$4:$C$303,A65,'Risk Data'!$F$4:$F$303)/B65,0)</x:f>
        <x:v>0</x:v>
      </x:c>
      <x:c r="D65" t="n">
        <x:f>COUNTIFS('Risk Data'!$C$4:$C$303,A65,'Risk Data'!$G$4:$G$303,"High")+COUNTIFS('Risk Data'!$C$4:$C$303,A65,'Risk Data'!$G$4:$G$303,"Critical")</x:f>
        <x:v>0</x:v>
      </x:c>
      <x:c r="E65" t="n">
        <x:v>1</x:v>
      </x:c>
    </x:row>
    <x:row r="66">
      <x:c r="B66" t="n">
        <x:f>COUNTIF('Risk Data'!$C$4:$C$303,A66)</x:f>
        <x:v>0</x:v>
      </x:c>
      <x:c r="C66" t="n">
        <x:f>IFERROR(SUMIF('Risk Data'!$C$4:$C$303,A66,'Risk Data'!$F$4:$F$303)/B66,0)</x:f>
        <x:v>0</x:v>
      </x:c>
      <x:c r="D66" t="n">
        <x:f>COUNTIFS('Risk Data'!$C$4:$C$303,A66,'Risk Data'!$G$4:$G$303,"High")+COUNTIFS('Risk Data'!$C$4:$C$303,A66,'Risk Data'!$G$4:$G$303,"Critical")</x:f>
        <x:v>0</x:v>
      </x:c>
      <x:c r="E66" t="n">
        <x:v>1</x:v>
      </x:c>
    </x:row>
    <x:row r="67">
      <x:c r="B67" t="n">
        <x:f>COUNTIF('Risk Data'!$C$4:$C$303,A67)</x:f>
        <x:v>0</x:v>
      </x:c>
      <x:c r="C67" t="n">
        <x:f>IFERROR(SUMIF('Risk Data'!$C$4:$C$303,A67,'Risk Data'!$F$4:$F$303)/B67,0)</x:f>
        <x:v>0</x:v>
      </x:c>
      <x:c r="D67" t="n">
        <x:f>COUNTIFS('Risk Data'!$C$4:$C$303,A67,'Risk Data'!$G$4:$G$303,"High")+COUNTIFS('Risk Data'!$C$4:$C$303,A67,'Risk Data'!$G$4:$G$303,"Critical")</x:f>
        <x:v>0</x:v>
      </x:c>
      <x:c r="E67" t="n">
        <x:v>1</x:v>
      </x:c>
    </x:row>
    <x:row r="68">
      <x:c r="B68" t="n">
        <x:f>COUNTIF('Risk Data'!$C$4:$C$303,A68)</x:f>
        <x:v>0</x:v>
      </x:c>
      <x:c r="C68" t="n">
        <x:f>IFERROR(SUMIF('Risk Data'!$C$4:$C$303,A68,'Risk Data'!$F$4:$F$303)/B68,0)</x:f>
        <x:v>0</x:v>
      </x:c>
      <x:c r="D68" t="n">
        <x:f>COUNTIFS('Risk Data'!$C$4:$C$303,A68,'Risk Data'!$G$4:$G$303,"High")+COUNTIFS('Risk Data'!$C$4:$C$303,A68,'Risk Data'!$G$4:$G$303,"Critical")</x:f>
        <x:v>0</x:v>
      </x:c>
      <x:c r="E68" t="n">
        <x:v>1</x:v>
      </x:c>
    </x:row>
    <x:row r="69">
      <x:c r="B69" t="n">
        <x:f>COUNTIF('Risk Data'!$C$4:$C$303,A69)</x:f>
        <x:v>0</x:v>
      </x:c>
      <x:c r="C69" t="n">
        <x:f>IFERROR(SUMIF('Risk Data'!$C$4:$C$303,A69,'Risk Data'!$F$4:$F$303)/B69,0)</x:f>
        <x:v>0</x:v>
      </x:c>
      <x:c r="D69" t="n">
        <x:f>COUNTIFS('Risk Data'!$C$4:$C$303,A69,'Risk Data'!$G$4:$G$303,"High")+COUNTIFS('Risk Data'!$C$4:$C$303,A69,'Risk Data'!$G$4:$G$303,"Critical")</x:f>
        <x:v>0</x:v>
      </x:c>
      <x:c r="E69" t="n">
        <x:v>1</x:v>
      </x:c>
    </x:row>
    <x:row r="70">
      <x:c r="B70" t="n">
        <x:f>COUNTIF('Risk Data'!$C$4:$C$303,A70)</x:f>
        <x:v>0</x:v>
      </x:c>
      <x:c r="C70" t="n">
        <x:f>IFERROR(SUMIF('Risk Data'!$C$4:$C$303,A70,'Risk Data'!$F$4:$F$303)/B70,0)</x:f>
        <x:v>0</x:v>
      </x:c>
      <x:c r="D70" t="n">
        <x:f>COUNTIFS('Risk Data'!$C$4:$C$303,A70,'Risk Data'!$G$4:$G$303,"High")+COUNTIFS('Risk Data'!$C$4:$C$303,A70,'Risk Data'!$G$4:$G$303,"Critical")</x:f>
        <x:v>0</x:v>
      </x:c>
      <x:c r="E70" t="n">
        <x:v>1</x:v>
      </x:c>
    </x:row>
    <x:row r="71">
      <x:c r="B71" t="n">
        <x:f>COUNTIF('Risk Data'!$C$4:$C$303,A71)</x:f>
        <x:v>0</x:v>
      </x:c>
      <x:c r="C71" t="n">
        <x:f>IFERROR(SUMIF('Risk Data'!$C$4:$C$303,A71,'Risk Data'!$F$4:$F$303)/B71,0)</x:f>
        <x:v>0</x:v>
      </x:c>
      <x:c r="D71" t="n">
        <x:f>COUNTIFS('Risk Data'!$C$4:$C$303,A71,'Risk Data'!$G$4:$G$303,"High")+COUNTIFS('Risk Data'!$C$4:$C$303,A71,'Risk Data'!$G$4:$G$303,"Critical")</x:f>
        <x:v>0</x:v>
      </x:c>
      <x:c r="E71" t="n">
        <x:v>1</x:v>
      </x:c>
    </x:row>
    <x:row r="72">
      <x:c r="B72" t="n">
        <x:f>COUNTIF('Risk Data'!$C$4:$C$303,A72)</x:f>
        <x:v>0</x:v>
      </x:c>
      <x:c r="C72" t="n">
        <x:f>IFERROR(SUMIF('Risk Data'!$C$4:$C$303,A72,'Risk Data'!$F$4:$F$303)/B72,0)</x:f>
        <x:v>0</x:v>
      </x:c>
      <x:c r="D72" t="n">
        <x:f>COUNTIFS('Risk Data'!$C$4:$C$303,A72,'Risk Data'!$G$4:$G$303,"High")+COUNTIFS('Risk Data'!$C$4:$C$303,A72,'Risk Data'!$G$4:$G$303,"Critical")</x:f>
        <x:v>0</x:v>
      </x:c>
      <x:c r="E72" t="n">
        <x:v>1</x:v>
      </x:c>
    </x:row>
    <x:row r="73">
      <x:c r="B73" t="n">
        <x:f>COUNTIF('Risk Data'!$C$4:$C$303,A73)</x:f>
        <x:v>0</x:v>
      </x:c>
      <x:c r="C73" t="n">
        <x:f>IFERROR(SUMIF('Risk Data'!$C$4:$C$303,A73,'Risk Data'!$F$4:$F$303)/B73,0)</x:f>
        <x:v>0</x:v>
      </x:c>
      <x:c r="D73" t="n">
        <x:f>COUNTIFS('Risk Data'!$C$4:$C$303,A73,'Risk Data'!$G$4:$G$303,"High")+COUNTIFS('Risk Data'!$C$4:$C$303,A73,'Risk Data'!$G$4:$G$303,"Critical")</x:f>
        <x:v>0</x:v>
      </x:c>
      <x:c r="E73" t="n">
        <x:v>1</x:v>
      </x:c>
    </x:row>
    <x:row r="74">
      <x:c r="B74" t="n">
        <x:f>COUNTIF('Risk Data'!$C$4:$C$303,A74)</x:f>
        <x:v>0</x:v>
      </x:c>
      <x:c r="C74" t="n">
        <x:f>IFERROR(SUMIF('Risk Data'!$C$4:$C$303,A74,'Risk Data'!$F$4:$F$303)/B74,0)</x:f>
        <x:v>0</x:v>
      </x:c>
      <x:c r="D74" t="n">
        <x:f>COUNTIFS('Risk Data'!$C$4:$C$303,A74,'Risk Data'!$G$4:$G$303,"High")+COUNTIFS('Risk Data'!$C$4:$C$303,A74,'Risk Data'!$G$4:$G$303,"Critical")</x:f>
        <x:v>0</x:v>
      </x:c>
      <x:c r="E74" t="n">
        <x:v>1</x:v>
      </x:c>
    </x:row>
    <x:row r="75">
      <x:c r="B75" t="n">
        <x:f>COUNTIF('Risk Data'!$C$4:$C$303,A75)</x:f>
        <x:v>0</x:v>
      </x:c>
      <x:c r="C75" t="n">
        <x:f>IFERROR(SUMIF('Risk Data'!$C$4:$C$303,A75,'Risk Data'!$F$4:$F$303)/B75,0)</x:f>
        <x:v>0</x:v>
      </x:c>
      <x:c r="D75" t="n">
        <x:f>COUNTIFS('Risk Data'!$C$4:$C$303,A75,'Risk Data'!$G$4:$G$303,"High")+COUNTIFS('Risk Data'!$C$4:$C$303,A75,'Risk Data'!$G$4:$G$303,"Critical")</x:f>
        <x:v>0</x:v>
      </x:c>
      <x:c r="E75" t="n">
        <x:v>1</x:v>
      </x:c>
    </x:row>
    <x:row r="76">
      <x:c r="B76" t="n">
        <x:f>COUNTIF('Risk Data'!$C$4:$C$303,A76)</x:f>
        <x:v>0</x:v>
      </x:c>
      <x:c r="C76" t="n">
        <x:f>IFERROR(SUMIF('Risk Data'!$C$4:$C$303,A76,'Risk Data'!$F$4:$F$303)/B76,0)</x:f>
        <x:v>0</x:v>
      </x:c>
      <x:c r="D76" t="n">
        <x:f>COUNTIFS('Risk Data'!$C$4:$C$303,A76,'Risk Data'!$G$4:$G$303,"High")+COUNTIFS('Risk Data'!$C$4:$C$303,A76,'Risk Data'!$G$4:$G$303,"Critical")</x:f>
        <x:v>0</x:v>
      </x:c>
      <x:c r="E76" t="n">
        <x:v>1</x:v>
      </x:c>
    </x:row>
    <x:row r="77">
      <x:c r="B77" t="n">
        <x:f>COUNTIF('Risk Data'!$C$4:$C$303,A77)</x:f>
        <x:v>0</x:v>
      </x:c>
      <x:c r="C77" t="n">
        <x:f>IFERROR(SUMIF('Risk Data'!$C$4:$C$303,A77,'Risk Data'!$F$4:$F$303)/B77,0)</x:f>
        <x:v>0</x:v>
      </x:c>
      <x:c r="D77" t="n">
        <x:f>COUNTIFS('Risk Data'!$C$4:$C$303,A77,'Risk Data'!$G$4:$G$303,"High")+COUNTIFS('Risk Data'!$C$4:$C$303,A77,'Risk Data'!$G$4:$G$303,"Critical")</x:f>
        <x:v>0</x:v>
      </x:c>
      <x:c r="E77" t="n">
        <x:v>1</x:v>
      </x:c>
    </x:row>
    <x:row r="78">
      <x:c r="B78" t="n">
        <x:f>COUNTIF('Risk Data'!$C$4:$C$303,A78)</x:f>
        <x:v>0</x:v>
      </x:c>
      <x:c r="C78" t="n">
        <x:f>IFERROR(SUMIF('Risk Data'!$C$4:$C$303,A78,'Risk Data'!$F$4:$F$303)/B78,0)</x:f>
        <x:v>0</x:v>
      </x:c>
      <x:c r="D78" t="n">
        <x:f>COUNTIFS('Risk Data'!$C$4:$C$303,A78,'Risk Data'!$G$4:$G$303,"High")+COUNTIFS('Risk Data'!$C$4:$C$303,A78,'Risk Data'!$G$4:$G$303,"Critical")</x:f>
        <x:v>0</x:v>
      </x:c>
      <x:c r="E78" t="n">
        <x:v>1</x:v>
      </x:c>
    </x:row>
    <x:row r="79">
      <x:c r="B79" t="n">
        <x:f>COUNTIF('Risk Data'!$C$4:$C$303,A79)</x:f>
        <x:v>0</x:v>
      </x:c>
      <x:c r="C79" t="n">
        <x:f>IFERROR(SUMIF('Risk Data'!$C$4:$C$303,A79,'Risk Data'!$F$4:$F$303)/B79,0)</x:f>
        <x:v>0</x:v>
      </x:c>
      <x:c r="D79" t="n">
        <x:f>COUNTIFS('Risk Data'!$C$4:$C$303,A79,'Risk Data'!$G$4:$G$303,"High")+COUNTIFS('Risk Data'!$C$4:$C$303,A79,'Risk Data'!$G$4:$G$303,"Critical")</x:f>
        <x:v>0</x:v>
      </x:c>
      <x:c r="E79" t="n">
        <x:v>1</x:v>
      </x:c>
    </x:row>
    <x:row r="80">
      <x:c r="B80" t="n">
        <x:f>COUNTIF('Risk Data'!$C$4:$C$303,A80)</x:f>
        <x:v>0</x:v>
      </x:c>
      <x:c r="C80" t="n">
        <x:f>IFERROR(SUMIF('Risk Data'!$C$4:$C$303,A80,'Risk Data'!$F$4:$F$303)/B80,0)</x:f>
        <x:v>0</x:v>
      </x:c>
      <x:c r="D80" t="n">
        <x:f>COUNTIFS('Risk Data'!$C$4:$C$303,A80,'Risk Data'!$G$4:$G$303,"High")+COUNTIFS('Risk Data'!$C$4:$C$303,A80,'Risk Data'!$G$4:$G$303,"Critical")</x:f>
        <x:v>0</x:v>
      </x:c>
      <x:c r="E80" t="n">
        <x:v>1</x:v>
      </x:c>
    </x:row>
    <x:row r="81">
      <x:c r="B81" t="n">
        <x:f>COUNTIF('Risk Data'!$C$4:$C$303,A81)</x:f>
        <x:v>0</x:v>
      </x:c>
      <x:c r="C81" t="n">
        <x:f>IFERROR(SUMIF('Risk Data'!$C$4:$C$303,A81,'Risk Data'!$F$4:$F$303)/B81,0)</x:f>
        <x:v>0</x:v>
      </x:c>
      <x:c r="D81" t="n">
        <x:f>COUNTIFS('Risk Data'!$C$4:$C$303,A81,'Risk Data'!$G$4:$G$303,"High")+COUNTIFS('Risk Data'!$C$4:$C$303,A81,'Risk Data'!$G$4:$G$303,"Critical")</x:f>
        <x:v>0</x:v>
      </x:c>
      <x:c r="E81" t="n">
        <x:v>1</x:v>
      </x:c>
    </x:row>
    <x:row r="82">
      <x:c r="B82" t="n">
        <x:f>COUNTIF('Risk Data'!$C$4:$C$303,A82)</x:f>
        <x:v>0</x:v>
      </x:c>
      <x:c r="C82" t="n">
        <x:f>IFERROR(SUMIF('Risk Data'!$C$4:$C$303,A82,'Risk Data'!$F$4:$F$303)/B82,0)</x:f>
        <x:v>0</x:v>
      </x:c>
      <x:c r="D82" t="n">
        <x:f>COUNTIFS('Risk Data'!$C$4:$C$303,A82,'Risk Data'!$G$4:$G$303,"High")+COUNTIFS('Risk Data'!$C$4:$C$303,A82,'Risk Data'!$G$4:$G$303,"Critical")</x:f>
        <x:v>0</x:v>
      </x:c>
      <x:c r="E82" t="n">
        <x:v>1</x:v>
      </x:c>
    </x:row>
    <x:row r="83">
      <x:c r="B83" t="n">
        <x:f>COUNTIF('Risk Data'!$C$4:$C$303,A83)</x:f>
        <x:v>0</x:v>
      </x:c>
      <x:c r="C83" t="n">
        <x:f>IFERROR(SUMIF('Risk Data'!$C$4:$C$303,A83,'Risk Data'!$F$4:$F$303)/B83,0)</x:f>
        <x:v>0</x:v>
      </x:c>
      <x:c r="D83" t="n">
        <x:f>COUNTIFS('Risk Data'!$C$4:$C$303,A83,'Risk Data'!$G$4:$G$303,"High")+COUNTIFS('Risk Data'!$C$4:$C$303,A83,'Risk Data'!$G$4:$G$303,"Critical")</x:f>
        <x:v>0</x:v>
      </x:c>
      <x:c r="E83" t="n">
        <x:v>1</x:v>
      </x:c>
    </x:row>
    <x:row r="84">
      <x:c r="B84" t="n">
        <x:f>COUNTIF('Risk Data'!$C$4:$C$303,A84)</x:f>
        <x:v>0</x:v>
      </x:c>
      <x:c r="C84" t="n">
        <x:f>IFERROR(SUMIF('Risk Data'!$C$4:$C$303,A84,'Risk Data'!$F$4:$F$303)/B84,0)</x:f>
        <x:v>0</x:v>
      </x:c>
      <x:c r="D84" t="n">
        <x:f>COUNTIFS('Risk Data'!$C$4:$C$303,A84,'Risk Data'!$G$4:$G$303,"High")+COUNTIFS('Risk Data'!$C$4:$C$303,A84,'Risk Data'!$G$4:$G$303,"Critical")</x:f>
        <x:v>0</x:v>
      </x:c>
      <x:c r="E84" t="n">
        <x:v>1</x:v>
      </x:c>
    </x:row>
    <x:row r="85">
      <x:c r="B85" t="n">
        <x:f>COUNTIF('Risk Data'!$C$4:$C$303,A85)</x:f>
        <x:v>0</x:v>
      </x:c>
      <x:c r="C85" t="n">
        <x:f>IFERROR(SUMIF('Risk Data'!$C$4:$C$303,A85,'Risk Data'!$F$4:$F$303)/B85,0)</x:f>
        <x:v>0</x:v>
      </x:c>
      <x:c r="D85" t="n">
        <x:f>COUNTIFS('Risk Data'!$C$4:$C$303,A85,'Risk Data'!$G$4:$G$303,"High")+COUNTIFS('Risk Data'!$C$4:$C$303,A85,'Risk Data'!$G$4:$G$303,"Critical")</x:f>
        <x:v>0</x:v>
      </x:c>
      <x:c r="E85" t="n">
        <x:v>1</x:v>
      </x:c>
    </x:row>
    <x:row r="86">
      <x:c r="B86" t="n">
        <x:f>COUNTIF('Risk Data'!$C$4:$C$303,A86)</x:f>
        <x:v>0</x:v>
      </x:c>
      <x:c r="C86" t="n">
        <x:f>IFERROR(SUMIF('Risk Data'!$C$4:$C$303,A86,'Risk Data'!$F$4:$F$303)/B86,0)</x:f>
        <x:v>0</x:v>
      </x:c>
      <x:c r="D86" t="n">
        <x:f>COUNTIFS('Risk Data'!$C$4:$C$303,A86,'Risk Data'!$G$4:$G$303,"High")+COUNTIFS('Risk Data'!$C$4:$C$303,A86,'Risk Data'!$G$4:$G$303,"Critical")</x:f>
        <x:v>0</x:v>
      </x:c>
      <x:c r="E86" t="n">
        <x:v>1</x:v>
      </x:c>
    </x:row>
    <x:row r="87">
      <x:c r="B87" t="n">
        <x:f>COUNTIF('Risk Data'!$C$4:$C$303,A87)</x:f>
        <x:v>0</x:v>
      </x:c>
      <x:c r="C87" t="n">
        <x:f>IFERROR(SUMIF('Risk Data'!$C$4:$C$303,A87,'Risk Data'!$F$4:$F$303)/B87,0)</x:f>
        <x:v>0</x:v>
      </x:c>
      <x:c r="D87" t="n">
        <x:f>COUNTIFS('Risk Data'!$C$4:$C$303,A87,'Risk Data'!$G$4:$G$303,"High")+COUNTIFS('Risk Data'!$C$4:$C$303,A87,'Risk Data'!$G$4:$G$303,"Critical")</x:f>
        <x:v>0</x:v>
      </x:c>
      <x:c r="E87" t="n">
        <x:v>1</x:v>
      </x:c>
    </x:row>
    <x:row r="88">
      <x:c r="B88" t="n">
        <x:f>COUNTIF('Risk Data'!$C$4:$C$303,A88)</x:f>
        <x:v>0</x:v>
      </x:c>
      <x:c r="C88" t="n">
        <x:f>IFERROR(SUMIF('Risk Data'!$C$4:$C$303,A88,'Risk Data'!$F$4:$F$303)/B88,0)</x:f>
        <x:v>0</x:v>
      </x:c>
      <x:c r="D88" t="n">
        <x:f>COUNTIFS('Risk Data'!$C$4:$C$303,A88,'Risk Data'!$G$4:$G$303,"High")+COUNTIFS('Risk Data'!$C$4:$C$303,A88,'Risk Data'!$G$4:$G$303,"Critical")</x:f>
        <x:v>0</x:v>
      </x:c>
      <x:c r="E88" t="n">
        <x:v>1</x:v>
      </x:c>
    </x:row>
    <x:row r="89">
      <x:c r="B89" t="n">
        <x:f>COUNTIF('Risk Data'!$C$4:$C$303,A89)</x:f>
        <x:v>0</x:v>
      </x:c>
      <x:c r="C89" t="n">
        <x:f>IFERROR(SUMIF('Risk Data'!$C$4:$C$303,A89,'Risk Data'!$F$4:$F$303)/B89,0)</x:f>
        <x:v>0</x:v>
      </x:c>
      <x:c r="D89" t="n">
        <x:f>COUNTIFS('Risk Data'!$C$4:$C$303,A89,'Risk Data'!$G$4:$G$303,"High")+COUNTIFS('Risk Data'!$C$4:$C$303,A89,'Risk Data'!$G$4:$G$303,"Critical")</x:f>
        <x:v>0</x:v>
      </x:c>
      <x:c r="E89" t="n">
        <x:v>1</x:v>
      </x:c>
    </x:row>
    <x:row r="90">
      <x:c r="B90" t="n">
        <x:f>COUNTIF('Risk Data'!$C$4:$C$303,A90)</x:f>
        <x:v>0</x:v>
      </x:c>
      <x:c r="C90" t="n">
        <x:f>IFERROR(SUMIF('Risk Data'!$C$4:$C$303,A90,'Risk Data'!$F$4:$F$303)/B90,0)</x:f>
        <x:v>0</x:v>
      </x:c>
      <x:c r="D90" t="n">
        <x:f>COUNTIFS('Risk Data'!$C$4:$C$303,A90,'Risk Data'!$G$4:$G$303,"High")+COUNTIFS('Risk Data'!$C$4:$C$303,A90,'Risk Data'!$G$4:$G$303,"Critical")</x:f>
        <x:v>0</x:v>
      </x:c>
      <x:c r="E90" t="n">
        <x:v>1</x:v>
      </x:c>
    </x:row>
    <x:row r="91">
      <x:c r="B91" t="n">
        <x:f>COUNTIF('Risk Data'!$C$4:$C$303,A91)</x:f>
        <x:v>0</x:v>
      </x:c>
      <x:c r="C91" t="n">
        <x:f>IFERROR(SUMIF('Risk Data'!$C$4:$C$303,A91,'Risk Data'!$F$4:$F$303)/B91,0)</x:f>
        <x:v>0</x:v>
      </x:c>
      <x:c r="D91" t="n">
        <x:f>COUNTIFS('Risk Data'!$C$4:$C$303,A91,'Risk Data'!$G$4:$G$303,"High")+COUNTIFS('Risk Data'!$C$4:$C$303,A91,'Risk Data'!$G$4:$G$303,"Critical")</x:f>
        <x:v>0</x:v>
      </x:c>
      <x:c r="E91" t="n">
        <x:v>1</x:v>
      </x:c>
    </x:row>
    <x:row r="92">
      <x:c r="B92" t="n">
        <x:f>COUNTIF('Risk Data'!$C$4:$C$303,A92)</x:f>
        <x:v>0</x:v>
      </x:c>
      <x:c r="C92" t="n">
        <x:f>IFERROR(SUMIF('Risk Data'!$C$4:$C$303,A92,'Risk Data'!$F$4:$F$303)/B92,0)</x:f>
        <x:v>0</x:v>
      </x:c>
      <x:c r="D92" t="n">
        <x:f>COUNTIFS('Risk Data'!$C$4:$C$303,A92,'Risk Data'!$G$4:$G$303,"High")+COUNTIFS('Risk Data'!$C$4:$C$303,A92,'Risk Data'!$G$4:$G$303,"Critical")</x:f>
        <x:v>0</x:v>
      </x:c>
      <x:c r="E92" t="n">
        <x:v>1</x:v>
      </x:c>
    </x:row>
    <x:row r="93">
      <x:c r="B93" t="n">
        <x:f>COUNTIF('Risk Data'!$C$4:$C$303,A93)</x:f>
        <x:v>0</x:v>
      </x:c>
      <x:c r="C93" t="n">
        <x:f>IFERROR(SUMIF('Risk Data'!$C$4:$C$303,A93,'Risk Data'!$F$4:$F$303)/B93,0)</x:f>
        <x:v>0</x:v>
      </x:c>
      <x:c r="D93" t="n">
        <x:f>COUNTIFS('Risk Data'!$C$4:$C$303,A93,'Risk Data'!$G$4:$G$303,"High")+COUNTIFS('Risk Data'!$C$4:$C$303,A93,'Risk Data'!$G$4:$G$303,"Critical")</x:f>
        <x:v>0</x:v>
      </x:c>
      <x:c r="E93" t="n">
        <x:v>1</x:v>
      </x:c>
    </x:row>
    <x:row r="94">
      <x:c r="B94" t="n">
        <x:f>COUNTIF('Risk Data'!$C$4:$C$303,A94)</x:f>
        <x:v>0</x:v>
      </x:c>
      <x:c r="C94" t="n">
        <x:f>IFERROR(SUMIF('Risk Data'!$C$4:$C$303,A94,'Risk Data'!$F$4:$F$303)/B94,0)</x:f>
        <x:v>0</x:v>
      </x:c>
      <x:c r="D94" t="n">
        <x:f>COUNTIFS('Risk Data'!$C$4:$C$303,A94,'Risk Data'!$G$4:$G$303,"High")+COUNTIFS('Risk Data'!$C$4:$C$303,A94,'Risk Data'!$G$4:$G$303,"Critical")</x:f>
        <x:v>0</x:v>
      </x:c>
      <x:c r="E94" t="n">
        <x:v>1</x:v>
      </x:c>
    </x:row>
    <x:row r="95">
      <x:c r="B95" t="n">
        <x:f>COUNTIF('Risk Data'!$C$4:$C$303,A95)</x:f>
        <x:v>0</x:v>
      </x:c>
      <x:c r="C95" t="n">
        <x:f>IFERROR(SUMIF('Risk Data'!$C$4:$C$303,A95,'Risk Data'!$F$4:$F$303)/B95,0)</x:f>
        <x:v>0</x:v>
      </x:c>
      <x:c r="D95" t="n">
        <x:f>COUNTIFS('Risk Data'!$C$4:$C$303,A95,'Risk Data'!$G$4:$G$303,"High")+COUNTIFS('Risk Data'!$C$4:$C$303,A95,'Risk Data'!$G$4:$G$303,"Critical")</x:f>
        <x:v>0</x:v>
      </x:c>
      <x:c r="E95" t="n">
        <x:v>1</x:v>
      </x:c>
    </x:row>
    <x:row r="96">
      <x:c r="B96" t="n">
        <x:f>COUNTIF('Risk Data'!$C$4:$C$303,A96)</x:f>
        <x:v>0</x:v>
      </x:c>
      <x:c r="C96" t="n">
        <x:f>IFERROR(SUMIF('Risk Data'!$C$4:$C$303,A96,'Risk Data'!$F$4:$F$303)/B96,0)</x:f>
        <x:v>0</x:v>
      </x:c>
      <x:c r="D96" t="n">
        <x:f>COUNTIFS('Risk Data'!$C$4:$C$303,A96,'Risk Data'!$G$4:$G$303,"High")+COUNTIFS('Risk Data'!$C$4:$C$303,A96,'Risk Data'!$G$4:$G$303,"Critical")</x:f>
        <x:v>0</x:v>
      </x:c>
      <x:c r="E96" t="n">
        <x:v>1</x:v>
      </x:c>
    </x:row>
    <x:row r="97">
      <x:c r="B97" t="n">
        <x:f>COUNTIF('Risk Data'!$C$4:$C$303,A97)</x:f>
        <x:v>0</x:v>
      </x:c>
      <x:c r="C97" t="n">
        <x:f>IFERROR(SUMIF('Risk Data'!$C$4:$C$303,A97,'Risk Data'!$F$4:$F$303)/B97,0)</x:f>
        <x:v>0</x:v>
      </x:c>
      <x:c r="D97" t="n">
        <x:f>COUNTIFS('Risk Data'!$C$4:$C$303,A97,'Risk Data'!$G$4:$G$303,"High")+COUNTIFS('Risk Data'!$C$4:$C$303,A97,'Risk Data'!$G$4:$G$303,"Critical")</x:f>
        <x:v>0</x:v>
      </x:c>
      <x:c r="E97" t="n">
        <x:v>1</x:v>
      </x:c>
    </x:row>
    <x:row r="98">
      <x:c r="B98" t="n">
        <x:f>COUNTIF('Risk Data'!$C$4:$C$303,A98)</x:f>
        <x:v>0</x:v>
      </x:c>
      <x:c r="C98" t="n">
        <x:f>IFERROR(SUMIF('Risk Data'!$C$4:$C$303,A98,'Risk Data'!$F$4:$F$303)/B98,0)</x:f>
        <x:v>0</x:v>
      </x:c>
      <x:c r="D98" t="n">
        <x:f>COUNTIFS('Risk Data'!$C$4:$C$303,A98,'Risk Data'!$G$4:$G$303,"High")+COUNTIFS('Risk Data'!$C$4:$C$303,A98,'Risk Data'!$G$4:$G$303,"Critical")</x:f>
        <x:v>0</x:v>
      </x:c>
      <x:c r="E98" t="n">
        <x:v>1</x:v>
      </x:c>
    </x:row>
    <x:row r="99">
      <x:c r="B99" t="n">
        <x:f>COUNTIF('Risk Data'!$C$4:$C$303,A99)</x:f>
        <x:v>0</x:v>
      </x:c>
      <x:c r="C99" t="n">
        <x:f>IFERROR(SUMIF('Risk Data'!$C$4:$C$303,A99,'Risk Data'!$F$4:$F$303)/B99,0)</x:f>
        <x:v>0</x:v>
      </x:c>
      <x:c r="D99" t="n">
        <x:f>COUNTIFS('Risk Data'!$C$4:$C$303,A99,'Risk Data'!$G$4:$G$303,"High")+COUNTIFS('Risk Data'!$C$4:$C$303,A99,'Risk Data'!$G$4:$G$303,"Critical")</x:f>
        <x:v>0</x:v>
      </x:c>
      <x:c r="E99" t="n">
        <x:v>1</x:v>
      </x:c>
    </x:row>
    <x:row r="100">
      <x:c r="B100" t="n">
        <x:f>COUNTIF('Risk Data'!$C$4:$C$303,A100)</x:f>
        <x:v>0</x:v>
      </x:c>
      <x:c r="C100" t="n">
        <x:f>IFERROR(SUMIF('Risk Data'!$C$4:$C$303,A100,'Risk Data'!$F$4:$F$303)/B100,0)</x:f>
        <x:v>0</x:v>
      </x:c>
      <x:c r="D100" t="n">
        <x:f>COUNTIFS('Risk Data'!$C$4:$C$303,A100,'Risk Data'!$G$4:$G$303,"High")+COUNTIFS('Risk Data'!$C$4:$C$303,A100,'Risk Data'!$G$4:$G$303,"Critical")</x:f>
        <x:v>0</x:v>
      </x:c>
      <x:c r="E100" t="n">
        <x:v>1</x:v>
      </x:c>
    </x:row>
    <x:row r="101">
      <x:c r="B101" t="n">
        <x:f>COUNTIF('Risk Data'!$C$4:$C$303,A101)</x:f>
        <x:v>0</x:v>
      </x:c>
      <x:c r="C101" t="n">
        <x:f>IFERROR(SUMIF('Risk Data'!$C$4:$C$303,A101,'Risk Data'!$F$4:$F$303)/B101,0)</x:f>
        <x:v>0</x:v>
      </x:c>
      <x:c r="D101" t="n">
        <x:f>COUNTIFS('Risk Data'!$C$4:$C$303,A101,'Risk Data'!$G$4:$G$303,"High")+COUNTIFS('Risk Data'!$C$4:$C$303,A101,'Risk Data'!$G$4:$G$303,"Critical")</x:f>
        <x:v>0</x:v>
      </x:c>
      <x:c r="E101" t="n">
        <x:v>1</x:v>
      </x:c>
    </x:row>
    <x:row r="102">
      <x:c r="B102" t="n">
        <x:f>COUNTIF('Risk Data'!$C$4:$C$303,A102)</x:f>
        <x:v>0</x:v>
      </x:c>
      <x:c r="C102" t="n">
        <x:f>IFERROR(SUMIF('Risk Data'!$C$4:$C$303,A102,'Risk Data'!$F$4:$F$303)/B102,0)</x:f>
        <x:v>0</x:v>
      </x:c>
      <x:c r="D102" t="n">
        <x:f>COUNTIFS('Risk Data'!$C$4:$C$303,A102,'Risk Data'!$G$4:$G$303,"High")+COUNTIFS('Risk Data'!$C$4:$C$303,A102,'Risk Data'!$G$4:$G$303,"Critical")</x:f>
        <x:v>0</x:v>
      </x:c>
      <x:c r="E102" t="n">
        <x:v>1</x:v>
      </x:c>
    </x:row>
    <x:row r="103">
      <x:c r="B103" t="n">
        <x:f>COUNTIF('Risk Data'!$C$4:$C$303,A103)</x:f>
        <x:v>0</x:v>
      </x:c>
      <x:c r="C103" t="n">
        <x:f>IFERROR(SUMIF('Risk Data'!$C$4:$C$303,A103,'Risk Data'!$F$4:$F$303)/B103,0)</x:f>
        <x:v>0</x:v>
      </x:c>
      <x:c r="D103" t="n">
        <x:f>COUNTIFS('Risk Data'!$C$4:$C$303,A103,'Risk Data'!$G$4:$G$303,"High")+COUNTIFS('Risk Data'!$C$4:$C$303,A103,'Risk Data'!$G$4:$G$303,"Critical")</x:f>
        <x:v>0</x:v>
      </x:c>
      <x:c r="E103" t="n">
        <x:v>1</x:v>
      </x:c>
    </x:row>
    <x:row r="104">
      <x:c r="B104" t="n">
        <x:f>COUNTIF('Risk Data'!$C$4:$C$303,A104)</x:f>
        <x:v>0</x:v>
      </x:c>
      <x:c r="C104" t="n">
        <x:f>IFERROR(SUMIF('Risk Data'!$C$4:$C$303,A104,'Risk Data'!$F$4:$F$303)/B104,0)</x:f>
        <x:v>0</x:v>
      </x:c>
      <x:c r="D104" t="n">
        <x:f>COUNTIFS('Risk Data'!$C$4:$C$303,A104,'Risk Data'!$G$4:$G$303,"High")+COUNTIFS('Risk Data'!$C$4:$C$303,A104,'Risk Data'!$G$4:$G$303,"Critical")</x:f>
        <x:v>0</x:v>
      </x:c>
      <x:c r="E104" t="n">
        <x:v>1</x:v>
      </x:c>
    </x:row>
    <x:row r="105">
      <x:c r="B105" t="n">
        <x:f>COUNTIF('Risk Data'!$C$4:$C$303,A105)</x:f>
        <x:v>0</x:v>
      </x:c>
      <x:c r="C105" t="n">
        <x:f>IFERROR(SUMIF('Risk Data'!$C$4:$C$303,A105,'Risk Data'!$F$4:$F$303)/B105,0)</x:f>
        <x:v>0</x:v>
      </x:c>
      <x:c r="D105" t="n">
        <x:f>COUNTIFS('Risk Data'!$C$4:$C$303,A105,'Risk Data'!$G$4:$G$303,"High")+COUNTIFS('Risk Data'!$C$4:$C$303,A105,'Risk Data'!$G$4:$G$303,"Critical")</x:f>
        <x:v>0</x:v>
      </x:c>
      <x:c r="E105" t="n">
        <x:v>1</x:v>
      </x:c>
    </x:row>
    <x:row r="106">
      <x:c r="B106" t="n">
        <x:f>COUNTIF('Risk Data'!$C$4:$C$303,A106)</x:f>
        <x:v>0</x:v>
      </x:c>
      <x:c r="C106" t="n">
        <x:f>IFERROR(SUMIF('Risk Data'!$C$4:$C$303,A106,'Risk Data'!$F$4:$F$303)/B106,0)</x:f>
        <x:v>0</x:v>
      </x:c>
      <x:c r="D106" t="n">
        <x:f>COUNTIFS('Risk Data'!$C$4:$C$303,A106,'Risk Data'!$G$4:$G$303,"High")+COUNTIFS('Risk Data'!$C$4:$C$303,A106,'Risk Data'!$G$4:$G$303,"Critical")</x:f>
        <x:v>0</x:v>
      </x:c>
      <x:c r="E106" t="n">
        <x:v>1</x:v>
      </x:c>
    </x:row>
    <x:row r="107">
      <x:c r="B107" t="n">
        <x:f>COUNTIF('Risk Data'!$C$4:$C$303,A107)</x:f>
        <x:v>0</x:v>
      </x:c>
      <x:c r="C107" t="n">
        <x:f>IFERROR(SUMIF('Risk Data'!$C$4:$C$303,A107,'Risk Data'!$F$4:$F$303)/B107,0)</x:f>
        <x:v>0</x:v>
      </x:c>
      <x:c r="D107" t="n">
        <x:f>COUNTIFS('Risk Data'!$C$4:$C$303,A107,'Risk Data'!$G$4:$G$303,"High")+COUNTIFS('Risk Data'!$C$4:$C$303,A107,'Risk Data'!$G$4:$G$303,"Critical")</x:f>
        <x:v>0</x:v>
      </x:c>
      <x:c r="E107" t="n">
        <x:v>1</x:v>
      </x:c>
    </x:row>
    <x:row r="108">
      <x:c r="B108" t="n">
        <x:f>COUNTIF('Risk Data'!$C$4:$C$303,A108)</x:f>
        <x:v>0</x:v>
      </x:c>
      <x:c r="C108" t="n">
        <x:f>IFERROR(SUMIF('Risk Data'!$C$4:$C$303,A108,'Risk Data'!$F$4:$F$303)/B108,0)</x:f>
        <x:v>0</x:v>
      </x:c>
      <x:c r="D108" t="n">
        <x:f>COUNTIFS('Risk Data'!$C$4:$C$303,A108,'Risk Data'!$G$4:$G$303,"High")+COUNTIFS('Risk Data'!$C$4:$C$303,A108,'Risk Data'!$G$4:$G$303,"Critical")</x:f>
        <x:v>0</x:v>
      </x:c>
      <x:c r="E108" t="n">
        <x:v>1</x:v>
      </x:c>
    </x:row>
    <x:row r="109">
      <x:c r="B109" t="n">
        <x:f>COUNTIF('Risk Data'!$C$4:$C$303,A109)</x:f>
        <x:v>0</x:v>
      </x:c>
      <x:c r="C109" t="n">
        <x:f>IFERROR(SUMIF('Risk Data'!$C$4:$C$303,A109,'Risk Data'!$F$4:$F$303)/B109,0)</x:f>
        <x:v>0</x:v>
      </x:c>
      <x:c r="D109" t="n">
        <x:f>COUNTIFS('Risk Data'!$C$4:$C$303,A109,'Risk Data'!$G$4:$G$303,"High")+COUNTIFS('Risk Data'!$C$4:$C$303,A109,'Risk Data'!$G$4:$G$303,"Critical")</x:f>
        <x:v>0</x:v>
      </x:c>
      <x:c r="E109" t="n">
        <x:v>1</x:v>
      </x:c>
    </x:row>
    <x:row r="110">
      <x:c r="B110" t="n">
        <x:f>COUNTIF('Risk Data'!$C$4:$C$303,A110)</x:f>
        <x:v>0</x:v>
      </x:c>
      <x:c r="C110" t="n">
        <x:f>IFERROR(SUMIF('Risk Data'!$C$4:$C$303,A110,'Risk Data'!$F$4:$F$303)/B110,0)</x:f>
        <x:v>0</x:v>
      </x:c>
      <x:c r="D110" t="n">
        <x:f>COUNTIFS('Risk Data'!$C$4:$C$303,A110,'Risk Data'!$G$4:$G$303,"High")+COUNTIFS('Risk Data'!$C$4:$C$303,A110,'Risk Data'!$G$4:$G$303,"Critical")</x:f>
        <x:v>0</x:v>
      </x:c>
      <x:c r="E110" t="n">
        <x:v>1</x:v>
      </x:c>
    </x:row>
    <x:row r="111">
      <x:c r="B111" t="n">
        <x:f>COUNTIF('Risk Data'!$C$4:$C$303,A111)</x:f>
        <x:v>0</x:v>
      </x:c>
      <x:c r="C111" t="n">
        <x:f>IFERROR(SUMIF('Risk Data'!$C$4:$C$303,A111,'Risk Data'!$F$4:$F$303)/B111,0)</x:f>
        <x:v>0</x:v>
      </x:c>
      <x:c r="D111" t="n">
        <x:f>COUNTIFS('Risk Data'!$C$4:$C$303,A111,'Risk Data'!$G$4:$G$303,"High")+COUNTIFS('Risk Data'!$C$4:$C$303,A111,'Risk Data'!$G$4:$G$303,"Critical")</x:f>
        <x:v>0</x:v>
      </x:c>
      <x:c r="E111" t="n">
        <x:v>1</x:v>
      </x:c>
    </x:row>
    <x:row r="112">
      <x:c r="B112" t="n">
        <x:f>COUNTIF('Risk Data'!$C$4:$C$303,A112)</x:f>
        <x:v>0</x:v>
      </x:c>
      <x:c r="C112" t="n">
        <x:f>IFERROR(SUMIF('Risk Data'!$C$4:$C$303,A112,'Risk Data'!$F$4:$F$303)/B112,0)</x:f>
        <x:v>0</x:v>
      </x:c>
      <x:c r="D112" t="n">
        <x:f>COUNTIFS('Risk Data'!$C$4:$C$303,A112,'Risk Data'!$G$4:$G$303,"High")+COUNTIFS('Risk Data'!$C$4:$C$303,A112,'Risk Data'!$G$4:$G$303,"Critical")</x:f>
        <x:v>0</x:v>
      </x:c>
      <x:c r="E112" t="n">
        <x:v>1</x:v>
      </x:c>
    </x:row>
    <x:row r="113">
      <x:c r="B113" t="n">
        <x:f>COUNTIF('Risk Data'!$C$4:$C$303,A113)</x:f>
        <x:v>0</x:v>
      </x:c>
      <x:c r="C113" t="n">
        <x:f>IFERROR(SUMIF('Risk Data'!$C$4:$C$303,A113,'Risk Data'!$F$4:$F$303)/B113,0)</x:f>
        <x:v>0</x:v>
      </x:c>
      <x:c r="D113" t="n">
        <x:f>COUNTIFS('Risk Data'!$C$4:$C$303,A113,'Risk Data'!$G$4:$G$303,"High")+COUNTIFS('Risk Data'!$C$4:$C$303,A113,'Risk Data'!$G$4:$G$303,"Critical")</x:f>
        <x:v>0</x:v>
      </x:c>
      <x:c r="E113" t="n">
        <x:v>1</x:v>
      </x:c>
    </x:row>
    <x:row r="114">
      <x:c r="B114" t="n">
        <x:f>COUNTIF('Risk Data'!$C$4:$C$303,A114)</x:f>
        <x:v>0</x:v>
      </x:c>
      <x:c r="C114" t="n">
        <x:f>IFERROR(SUMIF('Risk Data'!$C$4:$C$303,A114,'Risk Data'!$F$4:$F$303)/B114,0)</x:f>
        <x:v>0</x:v>
      </x:c>
      <x:c r="D114" t="n">
        <x:f>COUNTIFS('Risk Data'!$C$4:$C$303,A114,'Risk Data'!$G$4:$G$303,"High")+COUNTIFS('Risk Data'!$C$4:$C$303,A114,'Risk Data'!$G$4:$G$303,"Critical")</x:f>
        <x:v>0</x:v>
      </x:c>
      <x:c r="E114" t="n">
        <x:v>1</x:v>
      </x:c>
    </x:row>
    <x:row r="115">
      <x:c r="B115" t="n">
        <x:f>COUNTIF('Risk Data'!$C$4:$C$303,A115)</x:f>
        <x:v>0</x:v>
      </x:c>
      <x:c r="C115" t="n">
        <x:f>IFERROR(SUMIF('Risk Data'!$C$4:$C$303,A115,'Risk Data'!$F$4:$F$303)/B115,0)</x:f>
        <x:v>0</x:v>
      </x:c>
      <x:c r="D115" t="n">
        <x:f>COUNTIFS('Risk Data'!$C$4:$C$303,A115,'Risk Data'!$G$4:$G$303,"High")+COUNTIFS('Risk Data'!$C$4:$C$303,A115,'Risk Data'!$G$4:$G$303,"Critical")</x:f>
        <x:v>0</x:v>
      </x:c>
      <x:c r="E115" t="n">
        <x:v>1</x:v>
      </x:c>
    </x:row>
    <x:row r="116">
      <x:c r="B116" t="n">
        <x:f>COUNTIF('Risk Data'!$C$4:$C$303,A116)</x:f>
        <x:v>0</x:v>
      </x:c>
      <x:c r="C116" t="n">
        <x:f>IFERROR(SUMIF('Risk Data'!$C$4:$C$303,A116,'Risk Data'!$F$4:$F$303)/B116,0)</x:f>
        <x:v>0</x:v>
      </x:c>
      <x:c r="D116" t="n">
        <x:f>COUNTIFS('Risk Data'!$C$4:$C$303,A116,'Risk Data'!$G$4:$G$303,"High")+COUNTIFS('Risk Data'!$C$4:$C$303,A116,'Risk Data'!$G$4:$G$303,"Critical")</x:f>
        <x:v>0</x:v>
      </x:c>
      <x:c r="E116" t="n">
        <x:v>1</x:v>
      </x:c>
    </x:row>
    <x:row r="117">
      <x:c r="B117" t="n">
        <x:f>COUNTIF('Risk Data'!$C$4:$C$303,A117)</x:f>
        <x:v>0</x:v>
      </x:c>
      <x:c r="C117" t="n">
        <x:f>IFERROR(SUMIF('Risk Data'!$C$4:$C$303,A117,'Risk Data'!$F$4:$F$303)/B117,0)</x:f>
        <x:v>0</x:v>
      </x:c>
      <x:c r="D117" t="n">
        <x:f>COUNTIFS('Risk Data'!$C$4:$C$303,A117,'Risk Data'!$G$4:$G$303,"High")+COUNTIFS('Risk Data'!$C$4:$C$303,A117,'Risk Data'!$G$4:$G$303,"Critical")</x:f>
        <x:v>0</x:v>
      </x:c>
      <x:c r="E117" t="n">
        <x:v>1</x:v>
      </x:c>
    </x:row>
    <x:row r="118">
      <x:c r="B118" t="n">
        <x:f>COUNTIF('Risk Data'!$C$4:$C$303,A118)</x:f>
        <x:v>0</x:v>
      </x:c>
      <x:c r="C118" t="n">
        <x:f>IFERROR(SUMIF('Risk Data'!$C$4:$C$303,A118,'Risk Data'!$F$4:$F$303)/B118,0)</x:f>
        <x:v>0</x:v>
      </x:c>
      <x:c r="D118" t="n">
        <x:f>COUNTIFS('Risk Data'!$C$4:$C$303,A118,'Risk Data'!$G$4:$G$303,"High")+COUNTIFS('Risk Data'!$C$4:$C$303,A118,'Risk Data'!$G$4:$G$303,"Critical")</x:f>
        <x:v>0</x:v>
      </x:c>
      <x:c r="E118" t="n">
        <x:v>1</x:v>
      </x:c>
    </x:row>
    <x:row r="119">
      <x:c r="B119" t="n">
        <x:f>COUNTIF('Risk Data'!$C$4:$C$303,A119)</x:f>
        <x:v>0</x:v>
      </x:c>
      <x:c r="C119" t="n">
        <x:f>IFERROR(SUMIF('Risk Data'!$C$4:$C$303,A119,'Risk Data'!$F$4:$F$303)/B119,0)</x:f>
        <x:v>0</x:v>
      </x:c>
      <x:c r="D119" t="n">
        <x:f>COUNTIFS('Risk Data'!$C$4:$C$303,A119,'Risk Data'!$G$4:$G$303,"High")+COUNTIFS('Risk Data'!$C$4:$C$303,A119,'Risk Data'!$G$4:$G$303,"Critical")</x:f>
        <x:v>0</x:v>
      </x:c>
      <x:c r="E119" t="n">
        <x:v>1</x:v>
      </x:c>
    </x:row>
    <x:row r="120">
      <x:c r="B120" t="n">
        <x:f>COUNTIF('Risk Data'!$C$4:$C$303,A120)</x:f>
        <x:v>0</x:v>
      </x:c>
      <x:c r="C120" t="n">
        <x:f>IFERROR(SUMIF('Risk Data'!$C$4:$C$303,A120,'Risk Data'!$F$4:$F$303)/B120,0)</x:f>
        <x:v>0</x:v>
      </x:c>
      <x:c r="D120" t="n">
        <x:f>COUNTIFS('Risk Data'!$C$4:$C$303,A120,'Risk Data'!$G$4:$G$303,"High")+COUNTIFS('Risk Data'!$C$4:$C$303,A120,'Risk Data'!$G$4:$G$303,"Critical")</x:f>
        <x:v>0</x:v>
      </x:c>
      <x:c r="E120" t="n">
        <x:v>1</x:v>
      </x:c>
    </x:row>
    <x:row r="121">
      <x:c r="B121" t="n">
        <x:f>COUNTIF('Risk Data'!$C$4:$C$303,A121)</x:f>
        <x:v>0</x:v>
      </x:c>
      <x:c r="C121" t="n">
        <x:f>IFERROR(SUMIF('Risk Data'!$C$4:$C$303,A121,'Risk Data'!$F$4:$F$303)/B121,0)</x:f>
        <x:v>0</x:v>
      </x:c>
      <x:c r="D121" t="n">
        <x:f>COUNTIFS('Risk Data'!$C$4:$C$303,A121,'Risk Data'!$G$4:$G$303,"High")+COUNTIFS('Risk Data'!$C$4:$C$303,A121,'Risk Data'!$G$4:$G$303,"Critical")</x:f>
        <x:v>0</x:v>
      </x:c>
      <x:c r="E121" t="n">
        <x:v>1</x:v>
      </x:c>
    </x:row>
    <x:row r="122">
      <x:c r="B122" t="n">
        <x:f>COUNTIF('Risk Data'!$C$4:$C$303,A122)</x:f>
        <x:v>0</x:v>
      </x:c>
      <x:c r="C122" t="n">
        <x:f>IFERROR(SUMIF('Risk Data'!$C$4:$C$303,A122,'Risk Data'!$F$4:$F$303)/B122,0)</x:f>
        <x:v>0</x:v>
      </x:c>
      <x:c r="D122" t="n">
        <x:f>COUNTIFS('Risk Data'!$C$4:$C$303,A122,'Risk Data'!$G$4:$G$303,"High")+COUNTIFS('Risk Data'!$C$4:$C$303,A122,'Risk Data'!$G$4:$G$303,"Critical")</x:f>
        <x:v>0</x:v>
      </x:c>
      <x:c r="E122" t="n">
        <x:v>1</x:v>
      </x:c>
    </x:row>
    <x:row r="123">
      <x:c r="B123" t="n">
        <x:f>COUNTIF('Risk Data'!$C$4:$C$303,A123)</x:f>
        <x:v>0</x:v>
      </x:c>
      <x:c r="C123" t="n">
        <x:f>IFERROR(SUMIF('Risk Data'!$C$4:$C$303,A123,'Risk Data'!$F$4:$F$303)/B123,0)</x:f>
        <x:v>0</x:v>
      </x:c>
      <x:c r="D123" t="n">
        <x:f>COUNTIFS('Risk Data'!$C$4:$C$303,A123,'Risk Data'!$G$4:$G$303,"High")+COUNTIFS('Risk Data'!$C$4:$C$303,A123,'Risk Data'!$G$4:$G$303,"Critical")</x:f>
        <x:v>0</x:v>
      </x:c>
      <x:c r="E123" t="n">
        <x:v>1</x:v>
      </x:c>
    </x:row>
    <x:row r="124">
      <x:c r="B124" t="n">
        <x:f>COUNTIF('Risk Data'!$C$4:$C$303,A124)</x:f>
        <x:v>0</x:v>
      </x:c>
      <x:c r="C124" t="n">
        <x:f>IFERROR(SUMIF('Risk Data'!$C$4:$C$303,A124,'Risk Data'!$F$4:$F$303)/B124,0)</x:f>
        <x:v>0</x:v>
      </x:c>
      <x:c r="D124" t="n">
        <x:f>COUNTIFS('Risk Data'!$C$4:$C$303,A124,'Risk Data'!$G$4:$G$303,"High")+COUNTIFS('Risk Data'!$C$4:$C$303,A124,'Risk Data'!$G$4:$G$303,"Critical")</x:f>
        <x:v>0</x:v>
      </x:c>
      <x:c r="E124" t="n">
        <x:v>1</x:v>
      </x:c>
    </x:row>
    <x:row r="125">
      <x:c r="B125" t="n">
        <x:f>COUNTIF('Risk Data'!$C$4:$C$303,A125)</x:f>
        <x:v>0</x:v>
      </x:c>
      <x:c r="C125" t="n">
        <x:f>IFERROR(SUMIF('Risk Data'!$C$4:$C$303,A125,'Risk Data'!$F$4:$F$303)/B125,0)</x:f>
        <x:v>0</x:v>
      </x:c>
      <x:c r="D125" t="n">
        <x:f>COUNTIFS('Risk Data'!$C$4:$C$303,A125,'Risk Data'!$G$4:$G$303,"High")+COUNTIFS('Risk Data'!$C$4:$C$303,A125,'Risk Data'!$G$4:$G$303,"Critical")</x:f>
        <x:v>0</x:v>
      </x:c>
      <x:c r="E125" t="n">
        <x:v>1</x:v>
      </x:c>
    </x:row>
    <x:row r="126">
      <x:c r="B126" t="n">
        <x:f>COUNTIF('Risk Data'!$C$4:$C$303,A126)</x:f>
        <x:v>0</x:v>
      </x:c>
      <x:c r="C126" t="n">
        <x:f>IFERROR(SUMIF('Risk Data'!$C$4:$C$303,A126,'Risk Data'!$F$4:$F$303)/B126,0)</x:f>
        <x:v>0</x:v>
      </x:c>
      <x:c r="D126" t="n">
        <x:f>COUNTIFS('Risk Data'!$C$4:$C$303,A126,'Risk Data'!$G$4:$G$303,"High")+COUNTIFS('Risk Data'!$C$4:$C$303,A126,'Risk Data'!$G$4:$G$303,"Critical")</x:f>
        <x:v>0</x:v>
      </x:c>
      <x:c r="E126" t="n">
        <x:v>1</x:v>
      </x:c>
    </x:row>
    <x:row r="127">
      <x:c r="B127" t="n">
        <x:f>COUNTIF('Risk Data'!$C$4:$C$303,A127)</x:f>
        <x:v>0</x:v>
      </x:c>
      <x:c r="C127" t="n">
        <x:f>IFERROR(SUMIF('Risk Data'!$C$4:$C$303,A127,'Risk Data'!$F$4:$F$303)/B127,0)</x:f>
        <x:v>0</x:v>
      </x:c>
      <x:c r="D127" t="n">
        <x:f>COUNTIFS('Risk Data'!$C$4:$C$303,A127,'Risk Data'!$G$4:$G$303,"High")+COUNTIFS('Risk Data'!$C$4:$C$303,A127,'Risk Data'!$G$4:$G$303,"Critical")</x:f>
        <x:v>0</x:v>
      </x:c>
      <x:c r="E127" t="n">
        <x:v>1</x:v>
      </x:c>
    </x:row>
    <x:row r="128">
      <x:c r="B128" t="n">
        <x:f>COUNTIF('Risk Data'!$C$4:$C$303,A128)</x:f>
        <x:v>0</x:v>
      </x:c>
      <x:c r="C128" t="n">
        <x:f>IFERROR(SUMIF('Risk Data'!$C$4:$C$303,A128,'Risk Data'!$F$4:$F$303)/B128,0)</x:f>
        <x:v>0</x:v>
      </x:c>
      <x:c r="D128" t="n">
        <x:f>COUNTIFS('Risk Data'!$C$4:$C$303,A128,'Risk Data'!$G$4:$G$303,"High")+COUNTIFS('Risk Data'!$C$4:$C$303,A128,'Risk Data'!$G$4:$G$303,"Critical")</x:f>
        <x:v>0</x:v>
      </x:c>
      <x:c r="E128" t="n">
        <x:v>1</x:v>
      </x:c>
    </x:row>
    <x:row r="129">
      <x:c r="B129" t="n">
        <x:f>COUNTIF('Risk Data'!$C$4:$C$303,A129)</x:f>
        <x:v>0</x:v>
      </x:c>
      <x:c r="C129" t="n">
        <x:f>IFERROR(SUMIF('Risk Data'!$C$4:$C$303,A129,'Risk Data'!$F$4:$F$303)/B129,0)</x:f>
        <x:v>0</x:v>
      </x:c>
      <x:c r="D129" t="n">
        <x:f>COUNTIFS('Risk Data'!$C$4:$C$303,A129,'Risk Data'!$G$4:$G$303,"High")+COUNTIFS('Risk Data'!$C$4:$C$303,A129,'Risk Data'!$G$4:$G$303,"Critical")</x:f>
        <x:v>0</x:v>
      </x:c>
      <x:c r="E129" t="n">
        <x:v>1</x:v>
      </x:c>
    </x:row>
    <x:row r="130">
      <x:c r="B130" t="n">
        <x:f>COUNTIF('Risk Data'!$C$4:$C$303,A130)</x:f>
        <x:v>0</x:v>
      </x:c>
      <x:c r="C130" t="n">
        <x:f>IFERROR(SUMIF('Risk Data'!$C$4:$C$303,A130,'Risk Data'!$F$4:$F$303)/B130,0)</x:f>
        <x:v>0</x:v>
      </x:c>
      <x:c r="D130" t="n">
        <x:f>COUNTIFS('Risk Data'!$C$4:$C$303,A130,'Risk Data'!$G$4:$G$303,"High")+COUNTIFS('Risk Data'!$C$4:$C$303,A130,'Risk Data'!$G$4:$G$303,"Critical")</x:f>
        <x:v>0</x:v>
      </x:c>
      <x:c r="E130" t="n">
        <x:v>1</x:v>
      </x:c>
    </x:row>
    <x:row r="131">
      <x:c r="B131" t="n">
        <x:f>COUNTIF('Risk Data'!$C$4:$C$303,A131)</x:f>
        <x:v>0</x:v>
      </x:c>
      <x:c r="C131" t="n">
        <x:f>IFERROR(SUMIF('Risk Data'!$C$4:$C$303,A131,'Risk Data'!$F$4:$F$303)/B131,0)</x:f>
        <x:v>0</x:v>
      </x:c>
      <x:c r="D131" t="n">
        <x:f>COUNTIFS('Risk Data'!$C$4:$C$303,A131,'Risk Data'!$G$4:$G$303,"High")+COUNTIFS('Risk Data'!$C$4:$C$303,A131,'Risk Data'!$G$4:$G$303,"Critical")</x:f>
        <x:v>0</x:v>
      </x:c>
      <x:c r="E131" t="n">
        <x:v>1</x:v>
      </x:c>
    </x:row>
    <x:row r="132">
      <x:c r="B132" t="n">
        <x:f>COUNTIF('Risk Data'!$C$4:$C$303,A132)</x:f>
        <x:v>0</x:v>
      </x:c>
      <x:c r="C132" t="n">
        <x:f>IFERROR(SUMIF('Risk Data'!$C$4:$C$303,A132,'Risk Data'!$F$4:$F$303)/B132,0)</x:f>
        <x:v>0</x:v>
      </x:c>
      <x:c r="D132" t="n">
        <x:f>COUNTIFS('Risk Data'!$C$4:$C$303,A132,'Risk Data'!$G$4:$G$303,"High")+COUNTIFS('Risk Data'!$C$4:$C$303,A132,'Risk Data'!$G$4:$G$303,"Critical")</x:f>
        <x:v>0</x:v>
      </x:c>
      <x:c r="E132" t="n">
        <x:v>1</x:v>
      </x:c>
    </x:row>
    <x:row r="133">
      <x:c r="B133" t="n">
        <x:f>COUNTIF('Risk Data'!$C$4:$C$303,A133)</x:f>
        <x:v>0</x:v>
      </x:c>
      <x:c r="C133" t="n">
        <x:f>IFERROR(SUMIF('Risk Data'!$C$4:$C$303,A133,'Risk Data'!$F$4:$F$303)/B133,0)</x:f>
        <x:v>0</x:v>
      </x:c>
      <x:c r="D133" t="n">
        <x:f>COUNTIFS('Risk Data'!$C$4:$C$303,A133,'Risk Data'!$G$4:$G$303,"High")+COUNTIFS('Risk Data'!$C$4:$C$303,A133,'Risk Data'!$G$4:$G$303,"Critical")</x:f>
        <x:v>0</x:v>
      </x:c>
      <x:c r="E133" t="n">
        <x:v>1</x:v>
      </x:c>
    </x:row>
    <x:row r="134">
      <x:c r="B134" t="n">
        <x:f>COUNTIF('Risk Data'!$C$4:$C$303,A134)</x:f>
        <x:v>0</x:v>
      </x:c>
      <x:c r="C134" t="n">
        <x:f>IFERROR(SUMIF('Risk Data'!$C$4:$C$303,A134,'Risk Data'!$F$4:$F$303)/B134,0)</x:f>
        <x:v>0</x:v>
      </x:c>
      <x:c r="D134" t="n">
        <x:f>COUNTIFS('Risk Data'!$C$4:$C$303,A134,'Risk Data'!$G$4:$G$303,"High")+COUNTIFS('Risk Data'!$C$4:$C$303,A134,'Risk Data'!$G$4:$G$303,"Critical")</x:f>
        <x:v>0</x:v>
      </x:c>
      <x:c r="E134" t="n">
        <x:v>1</x:v>
      </x:c>
    </x:row>
    <x:row r="135">
      <x:c r="B135" t="n">
        <x:f>COUNTIF('Risk Data'!$C$4:$C$303,A135)</x:f>
        <x:v>0</x:v>
      </x:c>
      <x:c r="C135" t="n">
        <x:f>IFERROR(SUMIF('Risk Data'!$C$4:$C$303,A135,'Risk Data'!$F$4:$F$303)/B135,0)</x:f>
        <x:v>0</x:v>
      </x:c>
      <x:c r="D135" t="n">
        <x:f>COUNTIFS('Risk Data'!$C$4:$C$303,A135,'Risk Data'!$G$4:$G$303,"High")+COUNTIFS('Risk Data'!$C$4:$C$303,A135,'Risk Data'!$G$4:$G$303,"Critical")</x:f>
        <x:v>0</x:v>
      </x:c>
      <x:c r="E135" t="n">
        <x:v>1</x:v>
      </x:c>
    </x:row>
    <x:row r="136">
      <x:c r="B136" t="n">
        <x:f>COUNTIF('Risk Data'!$C$4:$C$303,A136)</x:f>
        <x:v>0</x:v>
      </x:c>
      <x:c r="C136" t="n">
        <x:f>IFERROR(SUMIF('Risk Data'!$C$4:$C$303,A136,'Risk Data'!$F$4:$F$303)/B136,0)</x:f>
        <x:v>0</x:v>
      </x:c>
      <x:c r="D136" t="n">
        <x:f>COUNTIFS('Risk Data'!$C$4:$C$303,A136,'Risk Data'!$G$4:$G$303,"High")+COUNTIFS('Risk Data'!$C$4:$C$303,A136,'Risk Data'!$G$4:$G$303,"Critical")</x:f>
        <x:v>0</x:v>
      </x:c>
      <x:c r="E136" t="n">
        <x:v>1</x:v>
      </x:c>
    </x:row>
    <x:row r="137">
      <x:c r="B137" t="n">
        <x:f>COUNTIF('Risk Data'!$C$4:$C$303,A137)</x:f>
        <x:v>0</x:v>
      </x:c>
      <x:c r="C137" t="n">
        <x:f>IFERROR(SUMIF('Risk Data'!$C$4:$C$303,A137,'Risk Data'!$F$4:$F$303)/B137,0)</x:f>
        <x:v>0</x:v>
      </x:c>
      <x:c r="D137" t="n">
        <x:f>COUNTIFS('Risk Data'!$C$4:$C$303,A137,'Risk Data'!$G$4:$G$303,"High")+COUNTIFS('Risk Data'!$C$4:$C$303,A137,'Risk Data'!$G$4:$G$303,"Critical")</x:f>
        <x:v>0</x:v>
      </x:c>
      <x:c r="E137" t="n">
        <x:v>1</x:v>
      </x:c>
    </x:row>
    <x:row r="138">
      <x:c r="B138" t="n">
        <x:f>COUNTIF('Risk Data'!$C$4:$C$303,A138)</x:f>
        <x:v>0</x:v>
      </x:c>
      <x:c r="C138" t="n">
        <x:f>IFERROR(SUMIF('Risk Data'!$C$4:$C$303,A138,'Risk Data'!$F$4:$F$303)/B138,0)</x:f>
        <x:v>0</x:v>
      </x:c>
      <x:c r="D138" t="n">
        <x:f>COUNTIFS('Risk Data'!$C$4:$C$303,A138,'Risk Data'!$G$4:$G$303,"High")+COUNTIFS('Risk Data'!$C$4:$C$303,A138,'Risk Data'!$G$4:$G$303,"Critical")</x:f>
        <x:v>0</x:v>
      </x:c>
      <x:c r="E138" t="n">
        <x:v>1</x:v>
      </x:c>
    </x:row>
    <x:row r="139">
      <x:c r="B139" t="n">
        <x:f>COUNTIF('Risk Data'!$C$4:$C$303,A139)</x:f>
        <x:v>0</x:v>
      </x:c>
      <x:c r="C139" t="n">
        <x:f>IFERROR(SUMIF('Risk Data'!$C$4:$C$303,A139,'Risk Data'!$F$4:$F$303)/B139,0)</x:f>
        <x:v>0</x:v>
      </x:c>
      <x:c r="D139" t="n">
        <x:f>COUNTIFS('Risk Data'!$C$4:$C$303,A139,'Risk Data'!$G$4:$G$303,"High")+COUNTIFS('Risk Data'!$C$4:$C$303,A139,'Risk Data'!$G$4:$G$303,"Critical")</x:f>
        <x:v>0</x:v>
      </x:c>
      <x:c r="E139" t="n">
        <x:v>1</x:v>
      </x:c>
    </x:row>
    <x:row r="140">
      <x:c r="B140" t="n">
        <x:f>COUNTIF('Risk Data'!$C$4:$C$303,A140)</x:f>
        <x:v>0</x:v>
      </x:c>
      <x:c r="C140" t="n">
        <x:f>IFERROR(SUMIF('Risk Data'!$C$4:$C$303,A140,'Risk Data'!$F$4:$F$303)/B140,0)</x:f>
        <x:v>0</x:v>
      </x:c>
      <x:c r="D140" t="n">
        <x:f>COUNTIFS('Risk Data'!$C$4:$C$303,A140,'Risk Data'!$G$4:$G$303,"High")+COUNTIFS('Risk Data'!$C$4:$C$303,A140,'Risk Data'!$G$4:$G$303,"Critical")</x:f>
        <x:v>0</x:v>
      </x:c>
      <x:c r="E140" t="n">
        <x:v>1</x:v>
      </x:c>
    </x:row>
    <x:row r="141">
      <x:c r="B141" t="n">
        <x:f>COUNTIF('Risk Data'!$C$4:$C$303,A141)</x:f>
        <x:v>0</x:v>
      </x:c>
      <x:c r="C141" t="n">
        <x:f>IFERROR(SUMIF('Risk Data'!$C$4:$C$303,A141,'Risk Data'!$F$4:$F$303)/B141,0)</x:f>
        <x:v>0</x:v>
      </x:c>
      <x:c r="D141" t="n">
        <x:f>COUNTIFS('Risk Data'!$C$4:$C$303,A141,'Risk Data'!$G$4:$G$303,"High")+COUNTIFS('Risk Data'!$C$4:$C$303,A141,'Risk Data'!$G$4:$G$303,"Critical")</x:f>
        <x:v>0</x:v>
      </x:c>
      <x:c r="E141" t="n">
        <x:v>1</x:v>
      </x:c>
    </x:row>
    <x:row r="142">
      <x:c r="B142" t="n">
        <x:f>COUNTIF('Risk Data'!$C$4:$C$303,A142)</x:f>
        <x:v>0</x:v>
      </x:c>
      <x:c r="C142" t="n">
        <x:f>IFERROR(SUMIF('Risk Data'!$C$4:$C$303,A142,'Risk Data'!$F$4:$F$303)/B142,0)</x:f>
        <x:v>0</x:v>
      </x:c>
      <x:c r="D142" t="n">
        <x:f>COUNTIFS('Risk Data'!$C$4:$C$303,A142,'Risk Data'!$G$4:$G$303,"High")+COUNTIFS('Risk Data'!$C$4:$C$303,A142,'Risk Data'!$G$4:$G$303,"Critical")</x:f>
        <x:v>0</x:v>
      </x:c>
      <x:c r="E142" t="n">
        <x:v>1</x:v>
      </x:c>
    </x:row>
    <x:row r="143">
      <x:c r="B143" t="n">
        <x:f>COUNTIF('Risk Data'!$C$4:$C$303,A143)</x:f>
        <x:v>0</x:v>
      </x:c>
      <x:c r="C143" t="n">
        <x:f>IFERROR(SUMIF('Risk Data'!$C$4:$C$303,A143,'Risk Data'!$F$4:$F$303)/B143,0)</x:f>
        <x:v>0</x:v>
      </x:c>
      <x:c r="D143" t="n">
        <x:f>COUNTIFS('Risk Data'!$C$4:$C$303,A143,'Risk Data'!$G$4:$G$303,"High")+COUNTIFS('Risk Data'!$C$4:$C$303,A143,'Risk Data'!$G$4:$G$303,"Critical")</x:f>
        <x:v>0</x:v>
      </x:c>
      <x:c r="E143" t="n">
        <x:v>1</x:v>
      </x:c>
    </x:row>
    <x:row r="144">
      <x:c r="B144" t="n">
        <x:f>COUNTIF('Risk Data'!$C$4:$C$303,A144)</x:f>
        <x:v>0</x:v>
      </x:c>
      <x:c r="C144" t="n">
        <x:f>IFERROR(SUMIF('Risk Data'!$C$4:$C$303,A144,'Risk Data'!$F$4:$F$303)/B144,0)</x:f>
        <x:v>0</x:v>
      </x:c>
      <x:c r="D144" t="n">
        <x:f>COUNTIFS('Risk Data'!$C$4:$C$303,A144,'Risk Data'!$G$4:$G$303,"High")+COUNTIFS('Risk Data'!$C$4:$C$303,A144,'Risk Data'!$G$4:$G$303,"Critical")</x:f>
        <x:v>0</x:v>
      </x:c>
      <x:c r="E144" t="n">
        <x:v>1</x:v>
      </x:c>
    </x:row>
    <x:row r="145">
      <x:c r="B145" t="n">
        <x:f>COUNTIF('Risk Data'!$C$4:$C$303,A145)</x:f>
        <x:v>0</x:v>
      </x:c>
      <x:c r="C145" t="n">
        <x:f>IFERROR(SUMIF('Risk Data'!$C$4:$C$303,A145,'Risk Data'!$F$4:$F$303)/B145,0)</x:f>
        <x:v>0</x:v>
      </x:c>
      <x:c r="D145" t="n">
        <x:f>COUNTIFS('Risk Data'!$C$4:$C$303,A145,'Risk Data'!$G$4:$G$303,"High")+COUNTIFS('Risk Data'!$C$4:$C$303,A145,'Risk Data'!$G$4:$G$303,"Critical")</x:f>
        <x:v>0</x:v>
      </x:c>
      <x:c r="E145" t="n">
        <x:v>1</x:v>
      </x:c>
    </x:row>
    <x:row r="146">
      <x:c r="B146" t="n">
        <x:f>COUNTIF('Risk Data'!$C$4:$C$303,A146)</x:f>
        <x:v>0</x:v>
      </x:c>
      <x:c r="C146" t="n">
        <x:f>IFERROR(SUMIF('Risk Data'!$C$4:$C$303,A146,'Risk Data'!$F$4:$F$303)/B146,0)</x:f>
        <x:v>0</x:v>
      </x:c>
      <x:c r="D146" t="n">
        <x:f>COUNTIFS('Risk Data'!$C$4:$C$303,A146,'Risk Data'!$G$4:$G$303,"High")+COUNTIFS('Risk Data'!$C$4:$C$303,A146,'Risk Data'!$G$4:$G$303,"Critical")</x:f>
        <x:v>0</x:v>
      </x:c>
      <x:c r="E146" t="n">
        <x:v>1</x:v>
      </x:c>
    </x:row>
    <x:row r="147">
      <x:c r="B147" t="n">
        <x:f>COUNTIF('Risk Data'!$C$4:$C$303,A147)</x:f>
        <x:v>0</x:v>
      </x:c>
      <x:c r="C147" t="n">
        <x:f>IFERROR(SUMIF('Risk Data'!$C$4:$C$303,A147,'Risk Data'!$F$4:$F$303)/B147,0)</x:f>
        <x:v>0</x:v>
      </x:c>
      <x:c r="D147" t="n">
        <x:f>COUNTIFS('Risk Data'!$C$4:$C$303,A147,'Risk Data'!$G$4:$G$303,"High")+COUNTIFS('Risk Data'!$C$4:$C$303,A147,'Risk Data'!$G$4:$G$303,"Critical")</x:f>
        <x:v>0</x:v>
      </x:c>
      <x:c r="E147" t="n">
        <x:v>1</x:v>
      </x:c>
    </x:row>
    <x:row r="148">
      <x:c r="B148" t="n">
        <x:f>COUNTIF('Risk Data'!$C$4:$C$303,A148)</x:f>
        <x:v>0</x:v>
      </x:c>
      <x:c r="C148" t="n">
        <x:f>IFERROR(SUMIF('Risk Data'!$C$4:$C$303,A148,'Risk Data'!$F$4:$F$303)/B148,0)</x:f>
        <x:v>0</x:v>
      </x:c>
      <x:c r="D148" t="n">
        <x:f>COUNTIFS('Risk Data'!$C$4:$C$303,A148,'Risk Data'!$G$4:$G$303,"High")+COUNTIFS('Risk Data'!$C$4:$C$303,A148,'Risk Data'!$G$4:$G$303,"Critical")</x:f>
        <x:v>0</x:v>
      </x:c>
      <x:c r="E148" t="n">
        <x:v>1</x:v>
      </x:c>
    </x:row>
    <x:row r="149">
      <x:c r="B149" t="n">
        <x:f>COUNTIF('Risk Data'!$C$4:$C$303,A149)</x:f>
        <x:v>0</x:v>
      </x:c>
      <x:c r="C149" t="n">
        <x:f>IFERROR(SUMIF('Risk Data'!$C$4:$C$303,A149,'Risk Data'!$F$4:$F$303)/B149,0)</x:f>
        <x:v>0</x:v>
      </x:c>
      <x:c r="D149" t="n">
        <x:f>COUNTIFS('Risk Data'!$C$4:$C$303,A149,'Risk Data'!$G$4:$G$303,"High")+COUNTIFS('Risk Data'!$C$4:$C$303,A149,'Risk Data'!$G$4:$G$303,"Critical")</x:f>
        <x:v>0</x:v>
      </x:c>
      <x:c r="E149" t="n">
        <x:v>1</x:v>
      </x:c>
    </x:row>
    <x:row r="150">
      <x:c r="B150" t="n">
        <x:f>COUNTIF('Risk Data'!$C$4:$C$303,A150)</x:f>
        <x:v>0</x:v>
      </x:c>
      <x:c r="C150" t="n">
        <x:f>IFERROR(SUMIF('Risk Data'!$C$4:$C$303,A150,'Risk Data'!$F$4:$F$303)/B150,0)</x:f>
        <x:v>0</x:v>
      </x:c>
      <x:c r="D150" t="n">
        <x:f>COUNTIFS('Risk Data'!$C$4:$C$303,A150,'Risk Data'!$G$4:$G$303,"High")+COUNTIFS('Risk Data'!$C$4:$C$303,A150,'Risk Data'!$G$4:$G$303,"Critical")</x:f>
        <x:v>0</x:v>
      </x:c>
      <x:c r="E150" t="n">
        <x:v>1</x:v>
      </x:c>
    </x:row>
    <x:row r="151">
      <x:c r="B151" t="n">
        <x:f>COUNTIF('Risk Data'!$C$4:$C$303,A151)</x:f>
        <x:v>0</x:v>
      </x:c>
      <x:c r="C151" t="n">
        <x:f>IFERROR(SUMIF('Risk Data'!$C$4:$C$303,A151,'Risk Data'!$F$4:$F$303)/B151,0)</x:f>
        <x:v>0</x:v>
      </x:c>
      <x:c r="D151" t="n">
        <x:f>COUNTIFS('Risk Data'!$C$4:$C$303,A151,'Risk Data'!$G$4:$G$303,"High")+COUNTIFS('Risk Data'!$C$4:$C$303,A151,'Risk Data'!$G$4:$G$303,"Critical")</x:f>
        <x:v>0</x:v>
      </x:c>
      <x:c r="E151" t="n">
        <x:v>1</x:v>
      </x:c>
    </x:row>
    <x:row r="152">
      <x:c r="B152" t="n">
        <x:f>COUNTIF('Risk Data'!$C$4:$C$303,A152)</x:f>
        <x:v>0</x:v>
      </x:c>
      <x:c r="C152" t="n">
        <x:f>IFERROR(SUMIF('Risk Data'!$C$4:$C$303,A152,'Risk Data'!$F$4:$F$303)/B152,0)</x:f>
        <x:v>0</x:v>
      </x:c>
      <x:c r="D152" t="n">
        <x:f>COUNTIFS('Risk Data'!$C$4:$C$303,A152,'Risk Data'!$G$4:$G$303,"High")+COUNTIFS('Risk Data'!$C$4:$C$303,A152,'Risk Data'!$G$4:$G$303,"Critical")</x:f>
        <x:v>0</x:v>
      </x:c>
      <x:c r="E152" t="n">
        <x:v>1</x:v>
      </x:c>
    </x:row>
    <x:row r="153">
      <x:c r="B153" t="n">
        <x:f>COUNTIF('Risk Data'!$C$4:$C$303,A153)</x:f>
        <x:v>0</x:v>
      </x:c>
      <x:c r="C153" t="n">
        <x:f>IFERROR(SUMIF('Risk Data'!$C$4:$C$303,A153,'Risk Data'!$F$4:$F$303)/B153,0)</x:f>
        <x:v>0</x:v>
      </x:c>
      <x:c r="D153" t="n">
        <x:f>COUNTIFS('Risk Data'!$C$4:$C$303,A153,'Risk Data'!$G$4:$G$303,"High")+COUNTIFS('Risk Data'!$C$4:$C$303,A153,'Risk Data'!$G$4:$G$303,"Critical")</x:f>
        <x:v>0</x:v>
      </x:c>
      <x:c r="E153" t="n">
        <x:v>1</x:v>
      </x:c>
    </x:row>
    <x:row r="154">
      <x:c r="B154" t="n">
        <x:f>COUNTIF('Risk Data'!$C$4:$C$303,A154)</x:f>
        <x:v>0</x:v>
      </x:c>
      <x:c r="C154" t="n">
        <x:f>IFERROR(SUMIF('Risk Data'!$C$4:$C$303,A154,'Risk Data'!$F$4:$F$303)/B154,0)</x:f>
        <x:v>0</x:v>
      </x:c>
      <x:c r="D154" t="n">
        <x:f>COUNTIFS('Risk Data'!$C$4:$C$303,A154,'Risk Data'!$G$4:$G$303,"High")+COUNTIFS('Risk Data'!$C$4:$C$303,A154,'Risk Data'!$G$4:$G$303,"Critical")</x:f>
        <x:v>0</x:v>
      </x:c>
      <x:c r="E154" t="n">
        <x:v>1</x:v>
      </x:c>
    </x:row>
    <x:row r="155">
      <x:c r="B155" t="n">
        <x:f>COUNTIF('Risk Data'!$C$4:$C$303,A155)</x:f>
        <x:v>0</x:v>
      </x:c>
      <x:c r="C155" t="n">
        <x:f>IFERROR(SUMIF('Risk Data'!$C$4:$C$303,A155,'Risk Data'!$F$4:$F$303)/B155,0)</x:f>
        <x:v>0</x:v>
      </x:c>
      <x:c r="D155" t="n">
        <x:f>COUNTIFS('Risk Data'!$C$4:$C$303,A155,'Risk Data'!$G$4:$G$303,"High")+COUNTIFS('Risk Data'!$C$4:$C$303,A155,'Risk Data'!$G$4:$G$303,"Critical")</x:f>
        <x:v>0</x:v>
      </x:c>
      <x:c r="E155" t="n">
        <x:v>1</x:v>
      </x:c>
    </x:row>
    <x:row r="156">
      <x:c r="B156" t="n">
        <x:f>COUNTIF('Risk Data'!$C$4:$C$303,A156)</x:f>
        <x:v>0</x:v>
      </x:c>
      <x:c r="C156" t="n">
        <x:f>IFERROR(SUMIF('Risk Data'!$C$4:$C$303,A156,'Risk Data'!$F$4:$F$303)/B156,0)</x:f>
        <x:v>0</x:v>
      </x:c>
      <x:c r="D156" t="n">
        <x:f>COUNTIFS('Risk Data'!$C$4:$C$303,A156,'Risk Data'!$G$4:$G$303,"High")+COUNTIFS('Risk Data'!$C$4:$C$303,A156,'Risk Data'!$G$4:$G$303,"Critical")</x:f>
        <x:v>0</x:v>
      </x:c>
      <x:c r="E156" t="n">
        <x:v>1</x:v>
      </x:c>
    </x:row>
    <x:row r="157">
      <x:c r="B157" t="n">
        <x:f>COUNTIF('Risk Data'!$C$4:$C$303,A157)</x:f>
        <x:v>0</x:v>
      </x:c>
      <x:c r="C157" t="n">
        <x:f>IFERROR(SUMIF('Risk Data'!$C$4:$C$303,A157,'Risk Data'!$F$4:$F$303)/B157,0)</x:f>
        <x:v>0</x:v>
      </x:c>
      <x:c r="D157" t="n">
        <x:f>COUNTIFS('Risk Data'!$C$4:$C$303,A157,'Risk Data'!$G$4:$G$303,"High")+COUNTIFS('Risk Data'!$C$4:$C$303,A157,'Risk Data'!$G$4:$G$303,"Critical")</x:f>
        <x:v>0</x:v>
      </x:c>
      <x:c r="E157" t="n">
        <x:v>1</x:v>
      </x:c>
    </x:row>
    <x:row r="158">
      <x:c r="B158" t="n">
        <x:f>COUNTIF('Risk Data'!$C$4:$C$303,A158)</x:f>
        <x:v>0</x:v>
      </x:c>
      <x:c r="C158" t="n">
        <x:f>IFERROR(SUMIF('Risk Data'!$C$4:$C$303,A158,'Risk Data'!$F$4:$F$303)/B158,0)</x:f>
        <x:v>0</x:v>
      </x:c>
      <x:c r="D158" t="n">
        <x:f>COUNTIFS('Risk Data'!$C$4:$C$303,A158,'Risk Data'!$G$4:$G$303,"High")+COUNTIFS('Risk Data'!$C$4:$C$303,A158,'Risk Data'!$G$4:$G$303,"Critical")</x:f>
        <x:v>0</x:v>
      </x:c>
      <x:c r="E158" t="n">
        <x:v>1</x:v>
      </x:c>
    </x:row>
    <x:row r="159">
      <x:c r="B159" t="n">
        <x:f>COUNTIF('Risk Data'!$C$4:$C$303,A159)</x:f>
        <x:v>0</x:v>
      </x:c>
      <x:c r="C159" t="n">
        <x:f>IFERROR(SUMIF('Risk Data'!$C$4:$C$303,A159,'Risk Data'!$F$4:$F$303)/B159,0)</x:f>
        <x:v>0</x:v>
      </x:c>
      <x:c r="D159" t="n">
        <x:f>COUNTIFS('Risk Data'!$C$4:$C$303,A159,'Risk Data'!$G$4:$G$303,"High")+COUNTIFS('Risk Data'!$C$4:$C$303,A159,'Risk Data'!$G$4:$G$303,"Critical")</x:f>
        <x:v>0</x:v>
      </x:c>
      <x:c r="E159" t="n">
        <x:v>1</x:v>
      </x:c>
    </x:row>
    <x:row r="160">
      <x:c r="B160" t="n">
        <x:f>COUNTIF('Risk Data'!$C$4:$C$303,A160)</x:f>
        <x:v>0</x:v>
      </x:c>
      <x:c r="C160" t="n">
        <x:f>IFERROR(SUMIF('Risk Data'!$C$4:$C$303,A160,'Risk Data'!$F$4:$F$303)/B160,0)</x:f>
        <x:v>0</x:v>
      </x:c>
      <x:c r="D160" t="n">
        <x:f>COUNTIFS('Risk Data'!$C$4:$C$303,A160,'Risk Data'!$G$4:$G$303,"High")+COUNTIFS('Risk Data'!$C$4:$C$303,A160,'Risk Data'!$G$4:$G$303,"Critical")</x:f>
        <x:v>0</x:v>
      </x:c>
      <x:c r="E160" t="n">
        <x:v>1</x:v>
      </x:c>
    </x:row>
    <x:row r="161">
      <x:c r="B161" t="n">
        <x:f>COUNTIF('Risk Data'!$C$4:$C$303,A161)</x:f>
        <x:v>0</x:v>
      </x:c>
      <x:c r="C161" t="n">
        <x:f>IFERROR(SUMIF('Risk Data'!$C$4:$C$303,A161,'Risk Data'!$F$4:$F$303)/B161,0)</x:f>
        <x:v>0</x:v>
      </x:c>
      <x:c r="D161" t="n">
        <x:f>COUNTIFS('Risk Data'!$C$4:$C$303,A161,'Risk Data'!$G$4:$G$303,"High")+COUNTIFS('Risk Data'!$C$4:$C$303,A161,'Risk Data'!$G$4:$G$303,"Critical")</x:f>
        <x:v>0</x:v>
      </x:c>
      <x:c r="E161" t="n">
        <x:v>1</x:v>
      </x:c>
    </x:row>
    <x:row r="162">
      <x:c r="B162" t="n">
        <x:f>COUNTIF('Risk Data'!$C$4:$C$303,A162)</x:f>
        <x:v>0</x:v>
      </x:c>
      <x:c r="C162" t="n">
        <x:f>IFERROR(SUMIF('Risk Data'!$C$4:$C$303,A162,'Risk Data'!$F$4:$F$303)/B162,0)</x:f>
        <x:v>0</x:v>
      </x:c>
      <x:c r="D162" t="n">
        <x:f>COUNTIFS('Risk Data'!$C$4:$C$303,A162,'Risk Data'!$G$4:$G$303,"High")+COUNTIFS('Risk Data'!$C$4:$C$303,A162,'Risk Data'!$G$4:$G$303,"Critical")</x:f>
        <x:v>0</x:v>
      </x:c>
      <x:c r="E162" t="n">
        <x:v>1</x:v>
      </x:c>
    </x:row>
    <x:row r="163">
      <x:c r="B163" t="n">
        <x:f>COUNTIF('Risk Data'!$C$4:$C$303,A163)</x:f>
        <x:v>0</x:v>
      </x:c>
      <x:c r="C163" t="n">
        <x:f>IFERROR(SUMIF('Risk Data'!$C$4:$C$303,A163,'Risk Data'!$F$4:$F$303)/B163,0)</x:f>
        <x:v>0</x:v>
      </x:c>
      <x:c r="D163" t="n">
        <x:f>COUNTIFS('Risk Data'!$C$4:$C$303,A163,'Risk Data'!$G$4:$G$303,"High")+COUNTIFS('Risk Data'!$C$4:$C$303,A163,'Risk Data'!$G$4:$G$303,"Critical")</x:f>
        <x:v>0</x:v>
      </x:c>
      <x:c r="E163" t="n">
        <x:v>1</x:v>
      </x:c>
    </x:row>
    <x:row r="164">
      <x:c r="B164" t="n">
        <x:f>COUNTIF('Risk Data'!$C$4:$C$303,A164)</x:f>
        <x:v>0</x:v>
      </x:c>
      <x:c r="C164" t="n">
        <x:f>IFERROR(SUMIF('Risk Data'!$C$4:$C$303,A164,'Risk Data'!$F$4:$F$303)/B164,0)</x:f>
        <x:v>0</x:v>
      </x:c>
      <x:c r="D164" t="n">
        <x:f>COUNTIFS('Risk Data'!$C$4:$C$303,A164,'Risk Data'!$G$4:$G$303,"High")+COUNTIFS('Risk Data'!$C$4:$C$303,A164,'Risk Data'!$G$4:$G$303,"Critical")</x:f>
        <x:v>0</x:v>
      </x:c>
      <x:c r="E164" t="n">
        <x:v>1</x:v>
      </x:c>
    </x:row>
    <x:row r="165">
      <x:c r="B165" t="n">
        <x:f>COUNTIF('Risk Data'!$C$4:$C$303,A165)</x:f>
        <x:v>0</x:v>
      </x:c>
      <x:c r="C165" t="n">
        <x:f>IFERROR(SUMIF('Risk Data'!$C$4:$C$303,A165,'Risk Data'!$F$4:$F$303)/B165,0)</x:f>
        <x:v>0</x:v>
      </x:c>
      <x:c r="D165" t="n">
        <x:f>COUNTIFS('Risk Data'!$C$4:$C$303,A165,'Risk Data'!$G$4:$G$303,"High")+COUNTIFS('Risk Data'!$C$4:$C$303,A165,'Risk Data'!$G$4:$G$303,"Critical")</x:f>
        <x:v>0</x:v>
      </x:c>
      <x:c r="E165" t="n">
        <x:v>1</x:v>
      </x:c>
    </x:row>
    <x:row r="166">
      <x:c r="B166" t="n">
        <x:f>COUNTIF('Risk Data'!$C$4:$C$303,A166)</x:f>
        <x:v>0</x:v>
      </x:c>
      <x:c r="C166" t="n">
        <x:f>IFERROR(SUMIF('Risk Data'!$C$4:$C$303,A166,'Risk Data'!$F$4:$F$303)/B166,0)</x:f>
        <x:v>0</x:v>
      </x:c>
      <x:c r="D166" t="n">
        <x:f>COUNTIFS('Risk Data'!$C$4:$C$303,A166,'Risk Data'!$G$4:$G$303,"High")+COUNTIFS('Risk Data'!$C$4:$C$303,A166,'Risk Data'!$G$4:$G$303,"Critical")</x:f>
        <x:v>0</x:v>
      </x:c>
      <x:c r="E166" t="n">
        <x:v>1</x:v>
      </x:c>
    </x:row>
    <x:row r="167">
      <x:c r="B167" t="n">
        <x:f>COUNTIF('Risk Data'!$C$4:$C$303,A167)</x:f>
        <x:v>0</x:v>
      </x:c>
      <x:c r="C167" t="n">
        <x:f>IFERROR(SUMIF('Risk Data'!$C$4:$C$303,A167,'Risk Data'!$F$4:$F$303)/B167,0)</x:f>
        <x:v>0</x:v>
      </x:c>
      <x:c r="D167" t="n">
        <x:f>COUNTIFS('Risk Data'!$C$4:$C$303,A167,'Risk Data'!$G$4:$G$303,"High")+COUNTIFS('Risk Data'!$C$4:$C$303,A167,'Risk Data'!$G$4:$G$303,"Critical")</x:f>
        <x:v>0</x:v>
      </x:c>
      <x:c r="E167" t="n">
        <x:v>1</x:v>
      </x:c>
    </x:row>
    <x:row r="168">
      <x:c r="B168" t="n">
        <x:f>COUNTIF('Risk Data'!$C$4:$C$303,A168)</x:f>
        <x:v>0</x:v>
      </x:c>
      <x:c r="C168" t="n">
        <x:f>IFERROR(SUMIF('Risk Data'!$C$4:$C$303,A168,'Risk Data'!$F$4:$F$303)/B168,0)</x:f>
        <x:v>0</x:v>
      </x:c>
      <x:c r="D168" t="n">
        <x:f>COUNTIFS('Risk Data'!$C$4:$C$303,A168,'Risk Data'!$G$4:$G$303,"High")+COUNTIFS('Risk Data'!$C$4:$C$303,A168,'Risk Data'!$G$4:$G$303,"Critical")</x:f>
        <x:v>0</x:v>
      </x:c>
      <x:c r="E168" t="n">
        <x:v>1</x:v>
      </x:c>
    </x:row>
    <x:row r="169">
      <x:c r="B169" t="n">
        <x:f>COUNTIF('Risk Data'!$C$4:$C$303,A169)</x:f>
        <x:v>0</x:v>
      </x:c>
      <x:c r="C169" t="n">
        <x:f>IFERROR(SUMIF('Risk Data'!$C$4:$C$303,A169,'Risk Data'!$F$4:$F$303)/B169,0)</x:f>
        <x:v>0</x:v>
      </x:c>
      <x:c r="D169" t="n">
        <x:f>COUNTIFS('Risk Data'!$C$4:$C$303,A169,'Risk Data'!$G$4:$G$303,"High")+COUNTIFS('Risk Data'!$C$4:$C$303,A169,'Risk Data'!$G$4:$G$303,"Critical")</x:f>
        <x:v>0</x:v>
      </x:c>
      <x:c r="E169" t="n">
        <x:v>1</x:v>
      </x:c>
    </x:row>
    <x:row r="170">
      <x:c r="B170" t="n">
        <x:f>COUNTIF('Risk Data'!$C$4:$C$303,A170)</x:f>
        <x:v>0</x:v>
      </x:c>
      <x:c r="C170" t="n">
        <x:f>IFERROR(SUMIF('Risk Data'!$C$4:$C$303,A170,'Risk Data'!$F$4:$F$303)/B170,0)</x:f>
        <x:v>0</x:v>
      </x:c>
      <x:c r="D170" t="n">
        <x:f>COUNTIFS('Risk Data'!$C$4:$C$303,A170,'Risk Data'!$G$4:$G$303,"High")+COUNTIFS('Risk Data'!$C$4:$C$303,A170,'Risk Data'!$G$4:$G$303,"Critical")</x:f>
        <x:v>0</x:v>
      </x:c>
      <x:c r="E170" t="n">
        <x:v>1</x:v>
      </x:c>
    </x:row>
    <x:row r="171">
      <x:c r="B171" t="n">
        <x:f>COUNTIF('Risk Data'!$C$4:$C$303,A171)</x:f>
        <x:v>0</x:v>
      </x:c>
      <x:c r="C171" t="n">
        <x:f>IFERROR(SUMIF('Risk Data'!$C$4:$C$303,A171,'Risk Data'!$F$4:$F$303)/B171,0)</x:f>
        <x:v>0</x:v>
      </x:c>
      <x:c r="D171" t="n">
        <x:f>COUNTIFS('Risk Data'!$C$4:$C$303,A171,'Risk Data'!$G$4:$G$303,"High")+COUNTIFS('Risk Data'!$C$4:$C$303,A171,'Risk Data'!$G$4:$G$303,"Critical")</x:f>
        <x:v>0</x:v>
      </x:c>
      <x:c r="E171" t="n">
        <x:v>1</x:v>
      </x:c>
    </x:row>
    <x:row r="172">
      <x:c r="B172" t="n">
        <x:f>COUNTIF('Risk Data'!$C$4:$C$303,A172)</x:f>
        <x:v>0</x:v>
      </x:c>
      <x:c r="C172" t="n">
        <x:f>IFERROR(SUMIF('Risk Data'!$C$4:$C$303,A172,'Risk Data'!$F$4:$F$303)/B172,0)</x:f>
        <x:v>0</x:v>
      </x:c>
      <x:c r="D172" t="n">
        <x:f>COUNTIFS('Risk Data'!$C$4:$C$303,A172,'Risk Data'!$G$4:$G$303,"High")+COUNTIFS('Risk Data'!$C$4:$C$303,A172,'Risk Data'!$G$4:$G$303,"Critical")</x:f>
        <x:v>0</x:v>
      </x:c>
      <x:c r="E172" t="n">
        <x:v>1</x:v>
      </x:c>
    </x:row>
    <x:row r="173">
      <x:c r="B173" t="n">
        <x:f>COUNTIF('Risk Data'!$C$4:$C$303,A173)</x:f>
        <x:v>0</x:v>
      </x:c>
      <x:c r="C173" t="n">
        <x:f>IFERROR(SUMIF('Risk Data'!$C$4:$C$303,A173,'Risk Data'!$F$4:$F$303)/B173,0)</x:f>
        <x:v>0</x:v>
      </x:c>
      <x:c r="D173" t="n">
        <x:f>COUNTIFS('Risk Data'!$C$4:$C$303,A173,'Risk Data'!$G$4:$G$303,"High")+COUNTIFS('Risk Data'!$C$4:$C$303,A173,'Risk Data'!$G$4:$G$303,"Critical")</x:f>
        <x:v>0</x:v>
      </x:c>
      <x:c r="E173" t="n">
        <x:v>1</x:v>
      </x:c>
    </x:row>
    <x:row r="174">
      <x:c r="B174" t="n">
        <x:f>COUNTIF('Risk Data'!$C$4:$C$303,A174)</x:f>
        <x:v>0</x:v>
      </x:c>
      <x:c r="C174" t="n">
        <x:f>IFERROR(SUMIF('Risk Data'!$C$4:$C$303,A174,'Risk Data'!$F$4:$F$303)/B174,0)</x:f>
        <x:v>0</x:v>
      </x:c>
      <x:c r="D174" t="n">
        <x:f>COUNTIFS('Risk Data'!$C$4:$C$303,A174,'Risk Data'!$G$4:$G$303,"High")+COUNTIFS('Risk Data'!$C$4:$C$303,A174,'Risk Data'!$G$4:$G$303,"Critical")</x:f>
        <x:v>0</x:v>
      </x:c>
      <x:c r="E174" t="n">
        <x:v>1</x:v>
      </x:c>
    </x:row>
    <x:row r="175">
      <x:c r="B175" t="n">
        <x:f>COUNTIF('Risk Data'!$C$4:$C$303,A175)</x:f>
        <x:v>0</x:v>
      </x:c>
      <x:c r="C175" t="n">
        <x:f>IFERROR(SUMIF('Risk Data'!$C$4:$C$303,A175,'Risk Data'!$F$4:$F$303)/B175,0)</x:f>
        <x:v>0</x:v>
      </x:c>
      <x:c r="D175" t="n">
        <x:f>COUNTIFS('Risk Data'!$C$4:$C$303,A175,'Risk Data'!$G$4:$G$303,"High")+COUNTIFS('Risk Data'!$C$4:$C$303,A175,'Risk Data'!$G$4:$G$303,"Critical")</x:f>
        <x:v>0</x:v>
      </x:c>
      <x:c r="E175" t="n">
        <x:v>1</x:v>
      </x:c>
    </x:row>
    <x:row r="176">
      <x:c r="B176" t="n">
        <x:f>COUNTIF('Risk Data'!$C$4:$C$303,A176)</x:f>
        <x:v>0</x:v>
      </x:c>
      <x:c r="C176" t="n">
        <x:f>IFERROR(SUMIF('Risk Data'!$C$4:$C$303,A176,'Risk Data'!$F$4:$F$303)/B176,0)</x:f>
        <x:v>0</x:v>
      </x:c>
      <x:c r="D176" t="n">
        <x:f>COUNTIFS('Risk Data'!$C$4:$C$303,A176,'Risk Data'!$G$4:$G$303,"High")+COUNTIFS('Risk Data'!$C$4:$C$303,A176,'Risk Data'!$G$4:$G$303,"Critical")</x:f>
        <x:v>0</x:v>
      </x:c>
      <x:c r="E176" t="n">
        <x:v>1</x:v>
      </x:c>
    </x:row>
    <x:row r="177">
      <x:c r="B177" t="n">
        <x:f>COUNTIF('Risk Data'!$C$4:$C$303,A177)</x:f>
        <x:v>0</x:v>
      </x:c>
      <x:c r="C177" t="n">
        <x:f>IFERROR(SUMIF('Risk Data'!$C$4:$C$303,A177,'Risk Data'!$F$4:$F$303)/B177,0)</x:f>
        <x:v>0</x:v>
      </x:c>
      <x:c r="D177" t="n">
        <x:f>COUNTIFS('Risk Data'!$C$4:$C$303,A177,'Risk Data'!$G$4:$G$303,"High")+COUNTIFS('Risk Data'!$C$4:$C$303,A177,'Risk Data'!$G$4:$G$303,"Critical")</x:f>
        <x:v>0</x:v>
      </x:c>
      <x:c r="E177" t="n">
        <x:v>1</x:v>
      </x:c>
    </x:row>
    <x:row r="178">
      <x:c r="B178" t="n">
        <x:f>COUNTIF('Risk Data'!$C$4:$C$303,A178)</x:f>
        <x:v>0</x:v>
      </x:c>
      <x:c r="C178" t="n">
        <x:f>IFERROR(SUMIF('Risk Data'!$C$4:$C$303,A178,'Risk Data'!$F$4:$F$303)/B178,0)</x:f>
        <x:v>0</x:v>
      </x:c>
      <x:c r="D178" t="n">
        <x:f>COUNTIFS('Risk Data'!$C$4:$C$303,A178,'Risk Data'!$G$4:$G$303,"High")+COUNTIFS('Risk Data'!$C$4:$C$303,A178,'Risk Data'!$G$4:$G$303,"Critical")</x:f>
        <x:v>0</x:v>
      </x:c>
      <x:c r="E178" t="n">
        <x:v>1</x:v>
      </x:c>
    </x:row>
    <x:row r="179">
      <x:c r="B179" t="n">
        <x:f>COUNTIF('Risk Data'!$C$4:$C$303,A179)</x:f>
        <x:v>0</x:v>
      </x:c>
      <x:c r="C179" t="n">
        <x:f>IFERROR(SUMIF('Risk Data'!$C$4:$C$303,A179,'Risk Data'!$F$4:$F$303)/B179,0)</x:f>
        <x:v>0</x:v>
      </x:c>
      <x:c r="D179" t="n">
        <x:f>COUNTIFS('Risk Data'!$C$4:$C$303,A179,'Risk Data'!$G$4:$G$303,"High")+COUNTIFS('Risk Data'!$C$4:$C$303,A179,'Risk Data'!$G$4:$G$303,"Critical")</x:f>
        <x:v>0</x:v>
      </x:c>
      <x:c r="E179" t="n">
        <x:v>1</x:v>
      </x:c>
    </x:row>
    <x:row r="180">
      <x:c r="B180" t="n">
        <x:f>COUNTIF('Risk Data'!$C$4:$C$303,A180)</x:f>
        <x:v>0</x:v>
      </x:c>
      <x:c r="C180" t="n">
        <x:f>IFERROR(SUMIF('Risk Data'!$C$4:$C$303,A180,'Risk Data'!$F$4:$F$303)/B180,0)</x:f>
        <x:v>0</x:v>
      </x:c>
      <x:c r="D180" t="n">
        <x:f>COUNTIFS('Risk Data'!$C$4:$C$303,A180,'Risk Data'!$G$4:$G$303,"High")+COUNTIFS('Risk Data'!$C$4:$C$303,A180,'Risk Data'!$G$4:$G$303,"Critical")</x:f>
        <x:v>0</x:v>
      </x:c>
      <x:c r="E180" t="n">
        <x:v>1</x:v>
      </x:c>
    </x:row>
    <x:row r="181">
      <x:c r="B181" t="n">
        <x:f>COUNTIF('Risk Data'!$C$4:$C$303,A181)</x:f>
        <x:v>0</x:v>
      </x:c>
      <x:c r="C181" t="n">
        <x:f>IFERROR(SUMIF('Risk Data'!$C$4:$C$303,A181,'Risk Data'!$F$4:$F$303)/B181,0)</x:f>
        <x:v>0</x:v>
      </x:c>
      <x:c r="D181" t="n">
        <x:f>COUNTIFS('Risk Data'!$C$4:$C$303,A181,'Risk Data'!$G$4:$G$303,"High")+COUNTIFS('Risk Data'!$C$4:$C$303,A181,'Risk Data'!$G$4:$G$303,"Critical")</x:f>
        <x:v>0</x:v>
      </x:c>
      <x:c r="E181" t="n">
        <x:v>1</x:v>
      </x:c>
    </x:row>
    <x:row r="182">
      <x:c r="B182" t="n">
        <x:f>COUNTIF('Risk Data'!$C$4:$C$303,A182)</x:f>
        <x:v>0</x:v>
      </x:c>
      <x:c r="C182" t="n">
        <x:f>IFERROR(SUMIF('Risk Data'!$C$4:$C$303,A182,'Risk Data'!$F$4:$F$303)/B182,0)</x:f>
        <x:v>0</x:v>
      </x:c>
      <x:c r="D182" t="n">
        <x:f>COUNTIFS('Risk Data'!$C$4:$C$303,A182,'Risk Data'!$G$4:$G$303,"High")+COUNTIFS('Risk Data'!$C$4:$C$303,A182,'Risk Data'!$G$4:$G$303,"Critical")</x:f>
        <x:v>0</x:v>
      </x:c>
      <x:c r="E182" t="n">
        <x:v>1</x:v>
      </x:c>
    </x:row>
    <x:row r="183">
      <x:c r="B183" t="n">
        <x:f>COUNTIF('Risk Data'!$C$4:$C$303,A183)</x:f>
        <x:v>0</x:v>
      </x:c>
      <x:c r="C183" t="n">
        <x:f>IFERROR(SUMIF('Risk Data'!$C$4:$C$303,A183,'Risk Data'!$F$4:$F$303)/B183,0)</x:f>
        <x:v>0</x:v>
      </x:c>
      <x:c r="D183" t="n">
        <x:f>COUNTIFS('Risk Data'!$C$4:$C$303,A183,'Risk Data'!$G$4:$G$303,"High")+COUNTIFS('Risk Data'!$C$4:$C$303,A183,'Risk Data'!$G$4:$G$303,"Critical")</x:f>
        <x:v>0</x:v>
      </x:c>
      <x:c r="E183" t="n">
        <x:v>1</x:v>
      </x:c>
    </x:row>
    <x:row r="184">
      <x:c r="B184" t="n">
        <x:f>COUNTIF('Risk Data'!$C$4:$C$303,A184)</x:f>
        <x:v>0</x:v>
      </x:c>
      <x:c r="C184" t="n">
        <x:f>IFERROR(SUMIF('Risk Data'!$C$4:$C$303,A184,'Risk Data'!$F$4:$F$303)/B184,0)</x:f>
        <x:v>0</x:v>
      </x:c>
      <x:c r="D184" t="n">
        <x:f>COUNTIFS('Risk Data'!$C$4:$C$303,A184,'Risk Data'!$G$4:$G$303,"High")+COUNTIFS('Risk Data'!$C$4:$C$303,A184,'Risk Data'!$G$4:$G$303,"Critical")</x:f>
        <x:v>0</x:v>
      </x:c>
      <x:c r="E184" t="n">
        <x:v>1</x:v>
      </x:c>
    </x:row>
    <x:row r="185">
      <x:c r="B185" t="n">
        <x:f>COUNTIF('Risk Data'!$C$4:$C$303,A185)</x:f>
        <x:v>0</x:v>
      </x:c>
      <x:c r="C185" t="n">
        <x:f>IFERROR(SUMIF('Risk Data'!$C$4:$C$303,A185,'Risk Data'!$F$4:$F$303)/B185,0)</x:f>
        <x:v>0</x:v>
      </x:c>
      <x:c r="D185" t="n">
        <x:f>COUNTIFS('Risk Data'!$C$4:$C$303,A185,'Risk Data'!$G$4:$G$303,"High")+COUNTIFS('Risk Data'!$C$4:$C$303,A185,'Risk Data'!$G$4:$G$303,"Critical")</x:f>
        <x:v>0</x:v>
      </x:c>
      <x:c r="E185" t="n">
        <x:v>1</x:v>
      </x:c>
    </x:row>
    <x:row r="186">
      <x:c r="B186" t="n">
        <x:f>COUNTIF('Risk Data'!$C$4:$C$303,A186)</x:f>
        <x:v>0</x:v>
      </x:c>
      <x:c r="C186" t="n">
        <x:f>IFERROR(SUMIF('Risk Data'!$C$4:$C$303,A186,'Risk Data'!$F$4:$F$303)/B186,0)</x:f>
        <x:v>0</x:v>
      </x:c>
      <x:c r="D186" t="n">
        <x:f>COUNTIFS('Risk Data'!$C$4:$C$303,A186,'Risk Data'!$G$4:$G$303,"High")+COUNTIFS('Risk Data'!$C$4:$C$303,A186,'Risk Data'!$G$4:$G$303,"Critical")</x:f>
        <x:v>0</x:v>
      </x:c>
      <x:c r="E186" t="n">
        <x:v>1</x:v>
      </x:c>
    </x:row>
    <x:row r="187">
      <x:c r="B187" t="n">
        <x:f>COUNTIF('Risk Data'!$C$4:$C$303,A187)</x:f>
        <x:v>0</x:v>
      </x:c>
      <x:c r="C187" t="n">
        <x:f>IFERROR(SUMIF('Risk Data'!$C$4:$C$303,A187,'Risk Data'!$F$4:$F$303)/B187,0)</x:f>
        <x:v>0</x:v>
      </x:c>
      <x:c r="D187" t="n">
        <x:f>COUNTIFS('Risk Data'!$C$4:$C$303,A187,'Risk Data'!$G$4:$G$303,"High")+COUNTIFS('Risk Data'!$C$4:$C$303,A187,'Risk Data'!$G$4:$G$303,"Critical")</x:f>
        <x:v>0</x:v>
      </x:c>
      <x:c r="E187" t="n">
        <x:v>1</x:v>
      </x:c>
    </x:row>
    <x:row r="188">
      <x:c r="B188" t="n">
        <x:f>COUNTIF('Risk Data'!$C$4:$C$303,A188)</x:f>
        <x:v>0</x:v>
      </x:c>
      <x:c r="C188" t="n">
        <x:f>IFERROR(SUMIF('Risk Data'!$C$4:$C$303,A188,'Risk Data'!$F$4:$F$303)/B188,0)</x:f>
        <x:v>0</x:v>
      </x:c>
      <x:c r="D188" t="n">
        <x:f>COUNTIFS('Risk Data'!$C$4:$C$303,A188,'Risk Data'!$G$4:$G$303,"High")+COUNTIFS('Risk Data'!$C$4:$C$303,A188,'Risk Data'!$G$4:$G$303,"Critical")</x:f>
        <x:v>0</x:v>
      </x:c>
      <x:c r="E188" t="n">
        <x:v>1</x:v>
      </x:c>
    </x:row>
    <x:row r="189">
      <x:c r="B189" t="n">
        <x:f>COUNTIF('Risk Data'!$C$4:$C$303,A189)</x:f>
        <x:v>0</x:v>
      </x:c>
      <x:c r="C189" t="n">
        <x:f>IFERROR(SUMIF('Risk Data'!$C$4:$C$303,A189,'Risk Data'!$F$4:$F$303)/B189,0)</x:f>
        <x:v>0</x:v>
      </x:c>
      <x:c r="D189" t="n">
        <x:f>COUNTIFS('Risk Data'!$C$4:$C$303,A189,'Risk Data'!$G$4:$G$303,"High")+COUNTIFS('Risk Data'!$C$4:$C$303,A189,'Risk Data'!$G$4:$G$303,"Critical")</x:f>
        <x:v>0</x:v>
      </x:c>
      <x:c r="E189" t="n">
        <x:v>1</x:v>
      </x:c>
    </x:row>
    <x:row r="190">
      <x:c r="B190" t="n">
        <x:f>COUNTIF('Risk Data'!$C$4:$C$303,A190)</x:f>
        <x:v>0</x:v>
      </x:c>
      <x:c r="C190" t="n">
        <x:f>IFERROR(SUMIF('Risk Data'!$C$4:$C$303,A190,'Risk Data'!$F$4:$F$303)/B190,0)</x:f>
        <x:v>0</x:v>
      </x:c>
      <x:c r="D190" t="n">
        <x:f>COUNTIFS('Risk Data'!$C$4:$C$303,A190,'Risk Data'!$G$4:$G$303,"High")+COUNTIFS('Risk Data'!$C$4:$C$303,A190,'Risk Data'!$G$4:$G$303,"Critical")</x:f>
        <x:v>0</x:v>
      </x:c>
      <x:c r="E190" t="n">
        <x:v>1</x:v>
      </x:c>
    </x:row>
    <x:row r="191">
      <x:c r="B191" t="n">
        <x:f>COUNTIF('Risk Data'!$C$4:$C$303,A191)</x:f>
        <x:v>0</x:v>
      </x:c>
      <x:c r="C191" t="n">
        <x:f>IFERROR(SUMIF('Risk Data'!$C$4:$C$303,A191,'Risk Data'!$F$4:$F$303)/B191,0)</x:f>
        <x:v>0</x:v>
      </x:c>
      <x:c r="D191" t="n">
        <x:f>COUNTIFS('Risk Data'!$C$4:$C$303,A191,'Risk Data'!$G$4:$G$303,"High")+COUNTIFS('Risk Data'!$C$4:$C$303,A191,'Risk Data'!$G$4:$G$303,"Critical")</x:f>
        <x:v>0</x:v>
      </x:c>
      <x:c r="E191" t="n">
        <x:v>1</x:v>
      </x:c>
    </x:row>
    <x:row r="192">
      <x:c r="B192" t="n">
        <x:f>COUNTIF('Risk Data'!$C$4:$C$303,A192)</x:f>
        <x:v>0</x:v>
      </x:c>
      <x:c r="C192" t="n">
        <x:f>IFERROR(SUMIF('Risk Data'!$C$4:$C$303,A192,'Risk Data'!$F$4:$F$303)/B192,0)</x:f>
        <x:v>0</x:v>
      </x:c>
      <x:c r="D192" t="n">
        <x:f>COUNTIFS('Risk Data'!$C$4:$C$303,A192,'Risk Data'!$G$4:$G$303,"High")+COUNTIFS('Risk Data'!$C$4:$C$303,A192,'Risk Data'!$G$4:$G$303,"Critical")</x:f>
        <x:v>0</x:v>
      </x:c>
      <x:c r="E192" t="n">
        <x:v>1</x:v>
      </x:c>
    </x:row>
    <x:row r="193">
      <x:c r="B193" t="n">
        <x:f>COUNTIF('Risk Data'!$C$4:$C$303,A193)</x:f>
        <x:v>0</x:v>
      </x:c>
      <x:c r="C193" t="n">
        <x:f>IFERROR(SUMIF('Risk Data'!$C$4:$C$303,A193,'Risk Data'!$F$4:$F$303)/B193,0)</x:f>
        <x:v>0</x:v>
      </x:c>
      <x:c r="D193" t="n">
        <x:f>COUNTIFS('Risk Data'!$C$4:$C$303,A193,'Risk Data'!$G$4:$G$303,"High")+COUNTIFS('Risk Data'!$C$4:$C$303,A193,'Risk Data'!$G$4:$G$303,"Critical")</x:f>
        <x:v>0</x:v>
      </x:c>
      <x:c r="E193" t="n">
        <x:v>1</x:v>
      </x:c>
    </x:row>
    <x:row r="194">
      <x:c r="B194" t="n">
        <x:f>COUNTIF('Risk Data'!$C$4:$C$303,A194)</x:f>
        <x:v>0</x:v>
      </x:c>
      <x:c r="C194" t="n">
        <x:f>IFERROR(SUMIF('Risk Data'!$C$4:$C$303,A194,'Risk Data'!$F$4:$F$303)/B194,0)</x:f>
        <x:v>0</x:v>
      </x:c>
      <x:c r="D194" t="n">
        <x:f>COUNTIFS('Risk Data'!$C$4:$C$303,A194,'Risk Data'!$G$4:$G$303,"High")+COUNTIFS('Risk Data'!$C$4:$C$303,A194,'Risk Data'!$G$4:$G$303,"Critical")</x:f>
        <x:v>0</x:v>
      </x:c>
      <x:c r="E194" t="n">
        <x:v>1</x:v>
      </x:c>
    </x:row>
    <x:row r="195">
      <x:c r="B195" t="n">
        <x:f>COUNTIF('Risk Data'!$C$4:$C$303,A195)</x:f>
        <x:v>0</x:v>
      </x:c>
      <x:c r="C195" t="n">
        <x:f>IFERROR(SUMIF('Risk Data'!$C$4:$C$303,A195,'Risk Data'!$F$4:$F$303)/B195,0)</x:f>
        <x:v>0</x:v>
      </x:c>
      <x:c r="D195" t="n">
        <x:f>COUNTIFS('Risk Data'!$C$4:$C$303,A195,'Risk Data'!$G$4:$G$303,"High")+COUNTIFS('Risk Data'!$C$4:$C$303,A195,'Risk Data'!$G$4:$G$303,"Critical")</x:f>
        <x:v>0</x:v>
      </x:c>
      <x:c r="E195" t="n">
        <x:v>1</x:v>
      </x:c>
    </x:row>
    <x:row r="196">
      <x:c r="B196" t="n">
        <x:f>COUNTIF('Risk Data'!$C$4:$C$303,A196)</x:f>
        <x:v>0</x:v>
      </x:c>
      <x:c r="C196" t="n">
        <x:f>IFERROR(SUMIF('Risk Data'!$C$4:$C$303,A196,'Risk Data'!$F$4:$F$303)/B196,0)</x:f>
        <x:v>0</x:v>
      </x:c>
      <x:c r="D196" t="n">
        <x:f>COUNTIFS('Risk Data'!$C$4:$C$303,A196,'Risk Data'!$G$4:$G$303,"High")+COUNTIFS('Risk Data'!$C$4:$C$303,A196,'Risk Data'!$G$4:$G$303,"Critical")</x:f>
        <x:v>0</x:v>
      </x:c>
      <x:c r="E196" t="n">
        <x:v>1</x:v>
      </x:c>
    </x:row>
    <x:row r="197">
      <x:c r="B197" t="n">
        <x:f>COUNTIF('Risk Data'!$C$4:$C$303,A197)</x:f>
        <x:v>0</x:v>
      </x:c>
      <x:c r="C197" t="n">
        <x:f>IFERROR(SUMIF('Risk Data'!$C$4:$C$303,A197,'Risk Data'!$F$4:$F$303)/B197,0)</x:f>
        <x:v>0</x:v>
      </x:c>
      <x:c r="D197" t="n">
        <x:f>COUNTIFS('Risk Data'!$C$4:$C$303,A197,'Risk Data'!$G$4:$G$303,"High")+COUNTIFS('Risk Data'!$C$4:$C$303,A197,'Risk Data'!$G$4:$G$303,"Critical")</x:f>
        <x:v>0</x:v>
      </x:c>
      <x:c r="E197" t="n">
        <x:v>1</x:v>
      </x:c>
    </x:row>
    <x:row r="198">
      <x:c r="B198" t="n">
        <x:f>COUNTIF('Risk Data'!$C$4:$C$303,A198)</x:f>
        <x:v>0</x:v>
      </x:c>
      <x:c r="C198" t="n">
        <x:f>IFERROR(SUMIF('Risk Data'!$C$4:$C$303,A198,'Risk Data'!$F$4:$F$303)/B198,0)</x:f>
        <x:v>0</x:v>
      </x:c>
      <x:c r="D198" t="n">
        <x:f>COUNTIFS('Risk Data'!$C$4:$C$303,A198,'Risk Data'!$G$4:$G$303,"High")+COUNTIFS('Risk Data'!$C$4:$C$303,A198,'Risk Data'!$G$4:$G$303,"Critical")</x:f>
        <x:v>0</x:v>
      </x:c>
      <x:c r="E198" t="n">
        <x:v>1</x:v>
      </x:c>
    </x:row>
    <x:row r="199">
      <x:c r="B199" t="n">
        <x:f>COUNTIF('Risk Data'!$C$4:$C$303,A199)</x:f>
        <x:v>0</x:v>
      </x:c>
      <x:c r="C199" t="n">
        <x:f>IFERROR(SUMIF('Risk Data'!$C$4:$C$303,A199,'Risk Data'!$F$4:$F$303)/B199,0)</x:f>
        <x:v>0</x:v>
      </x:c>
      <x:c r="D199" t="n">
        <x:f>COUNTIFS('Risk Data'!$C$4:$C$303,A199,'Risk Data'!$G$4:$G$303,"High")+COUNTIFS('Risk Data'!$C$4:$C$303,A199,'Risk Data'!$G$4:$G$303,"Critical")</x:f>
        <x:v>0</x:v>
      </x:c>
      <x:c r="E199" t="n">
        <x:v>1</x:v>
      </x:c>
    </x:row>
    <x:row r="200">
      <x:c r="B200" t="n">
        <x:f>COUNTIF('Risk Data'!$C$4:$C$303,A200)</x:f>
        <x:v>0</x:v>
      </x:c>
      <x:c r="C200" t="n">
        <x:f>IFERROR(SUMIF('Risk Data'!$C$4:$C$303,A200,'Risk Data'!$F$4:$F$303)/B200,0)</x:f>
        <x:v>0</x:v>
      </x:c>
      <x:c r="D200" t="n">
        <x:f>COUNTIFS('Risk Data'!$C$4:$C$303,A200,'Risk Data'!$G$4:$G$303,"High")+COUNTIFS('Risk Data'!$C$4:$C$303,A200,'Risk Data'!$G$4:$G$303,"Critical")</x:f>
        <x:v>0</x:v>
      </x:c>
      <x:c r="E200" t="n">
        <x:v>1</x:v>
      </x:c>
    </x:row>
    <x:row r="201">
      <x:c r="B201" t="n">
        <x:f>COUNTIF('Risk Data'!$C$4:$C$303,A201)</x:f>
        <x:v>0</x:v>
      </x:c>
      <x:c r="C201" t="n">
        <x:f>IFERROR(SUMIF('Risk Data'!$C$4:$C$303,A201,'Risk Data'!$F$4:$F$303)/B201,0)</x:f>
        <x:v>0</x:v>
      </x:c>
      <x:c r="D201" t="n">
        <x:f>COUNTIFS('Risk Data'!$C$4:$C$303,A201,'Risk Data'!$G$4:$G$303,"High")+COUNTIFS('Risk Data'!$C$4:$C$303,A201,'Risk Data'!$G$4:$G$303,"Critical")</x:f>
        <x:v>0</x:v>
      </x:c>
      <x:c r="E201" t="n">
        <x:v>1</x:v>
      </x:c>
    </x:row>
    <x:row r="202">
      <x:c r="B202" t="n">
        <x:f>COUNTIF('Risk Data'!$C$4:$C$303,A202)</x:f>
        <x:v>0</x:v>
      </x:c>
      <x:c r="C202" t="n">
        <x:f>IFERROR(SUMIF('Risk Data'!$C$4:$C$303,A202,'Risk Data'!$F$4:$F$303)/B202,0)</x:f>
        <x:v>0</x:v>
      </x:c>
      <x:c r="D202" t="n">
        <x:f>COUNTIFS('Risk Data'!$C$4:$C$303,A202,'Risk Data'!$G$4:$G$303,"High")+COUNTIFS('Risk Data'!$C$4:$C$303,A202,'Risk Data'!$G$4:$G$303,"Critical")</x:f>
        <x:v>0</x:v>
      </x:c>
      <x:c r="E202" t="n">
        <x:v>1</x:v>
      </x:c>
    </x:row>
    <x:row r="203">
      <x:c r="B203" t="n">
        <x:f>COUNTIF('Risk Data'!$C$4:$C$303,A203)</x:f>
        <x:v>0</x:v>
      </x:c>
      <x:c r="C203" t="n">
        <x:f>IFERROR(SUMIF('Risk Data'!$C$4:$C$303,A203,'Risk Data'!$F$4:$F$303)/B203,0)</x:f>
        <x:v>0</x:v>
      </x:c>
      <x:c r="D203" t="n">
        <x:f>COUNTIFS('Risk Data'!$C$4:$C$303,A203,'Risk Data'!$G$4:$G$303,"High")+COUNTIFS('Risk Data'!$C$4:$C$303,A203,'Risk Data'!$G$4:$G$303,"Critical")</x:f>
        <x:v>0</x:v>
      </x:c>
      <x:c r="E203" t="n">
        <x:v>1</x:v>
      </x:c>
    </x:row>
    <x:row r="204">
      <x:c r="B204" t="n">
        <x:f>COUNTIF('Risk Data'!$C$4:$C$303,A204)</x:f>
        <x:v>0</x:v>
      </x:c>
      <x:c r="C204" t="n">
        <x:f>IFERROR(SUMIF('Risk Data'!$C$4:$C$303,A204,'Risk Data'!$F$4:$F$303)/B204,0)</x:f>
        <x:v>0</x:v>
      </x:c>
      <x:c r="D204" t="n">
        <x:f>COUNTIFS('Risk Data'!$C$4:$C$303,A204,'Risk Data'!$G$4:$G$303,"High")+COUNTIFS('Risk Data'!$C$4:$C$303,A204,'Risk Data'!$G$4:$G$303,"Critical")</x:f>
        <x:v>0</x:v>
      </x:c>
      <x:c r="E204" t="n">
        <x:v>1</x:v>
      </x:c>
    </x:row>
    <x:row r="205">
      <x:c r="B205" t="n">
        <x:f>COUNTIF('Risk Data'!$C$4:$C$303,A205)</x:f>
        <x:v>0</x:v>
      </x:c>
      <x:c r="C205" t="n">
        <x:f>IFERROR(SUMIF('Risk Data'!$C$4:$C$303,A205,'Risk Data'!$F$4:$F$303)/B205,0)</x:f>
        <x:v>0</x:v>
      </x:c>
      <x:c r="D205" t="n">
        <x:f>COUNTIFS('Risk Data'!$C$4:$C$303,A205,'Risk Data'!$G$4:$G$303,"High")+COUNTIFS('Risk Data'!$C$4:$C$303,A205,'Risk Data'!$G$4:$G$303,"Critical")</x:f>
        <x:v>0</x:v>
      </x:c>
      <x:c r="E205" t="n">
        <x:v>1</x:v>
      </x:c>
    </x:row>
    <x:row r="206">
      <x:c r="B206" t="n">
        <x:f>COUNTIF('Risk Data'!$C$4:$C$303,A206)</x:f>
        <x:v>0</x:v>
      </x:c>
      <x:c r="C206" t="n">
        <x:f>IFERROR(SUMIF('Risk Data'!$C$4:$C$303,A206,'Risk Data'!$F$4:$F$303)/B206,0)</x:f>
        <x:v>0</x:v>
      </x:c>
      <x:c r="D206" t="n">
        <x:f>COUNTIFS('Risk Data'!$C$4:$C$303,A206,'Risk Data'!$G$4:$G$303,"High")+COUNTIFS('Risk Data'!$C$4:$C$303,A206,'Risk Data'!$G$4:$G$303,"Critical")</x:f>
        <x:v>0</x:v>
      </x:c>
      <x:c r="E206" t="n">
        <x:v>1</x:v>
      </x:c>
    </x:row>
    <x:row r="207">
      <x:c r="B207" t="n">
        <x:f>COUNTIF('Risk Data'!$C$4:$C$303,A207)</x:f>
        <x:v>0</x:v>
      </x:c>
      <x:c r="C207" t="n">
        <x:f>IFERROR(SUMIF('Risk Data'!$C$4:$C$303,A207,'Risk Data'!$F$4:$F$303)/B207,0)</x:f>
        <x:v>0</x:v>
      </x:c>
      <x:c r="D207" t="n">
        <x:f>COUNTIFS('Risk Data'!$C$4:$C$303,A207,'Risk Data'!$G$4:$G$303,"High")+COUNTIFS('Risk Data'!$C$4:$C$303,A207,'Risk Data'!$G$4:$G$303,"Critical")</x:f>
        <x:v>0</x:v>
      </x:c>
      <x:c r="E207" t="n">
        <x:v>1</x:v>
      </x:c>
    </x:row>
    <x:row r="208">
      <x:c r="B208" t="n">
        <x:f>COUNTIF('Risk Data'!$C$4:$C$303,A208)</x:f>
        <x:v>0</x:v>
      </x:c>
      <x:c r="C208" t="n">
        <x:f>IFERROR(SUMIF('Risk Data'!$C$4:$C$303,A208,'Risk Data'!$F$4:$F$303)/B208,0)</x:f>
        <x:v>0</x:v>
      </x:c>
      <x:c r="D208" t="n">
        <x:f>COUNTIFS('Risk Data'!$C$4:$C$303,A208,'Risk Data'!$G$4:$G$303,"High")+COUNTIFS('Risk Data'!$C$4:$C$303,A208,'Risk Data'!$G$4:$G$303,"Critical")</x:f>
        <x:v>0</x:v>
      </x:c>
      <x:c r="E208" t="n">
        <x:v>1</x:v>
      </x:c>
    </x:row>
    <x:row r="209">
      <x:c r="B209" t="n">
        <x:f>COUNTIF('Risk Data'!$C$4:$C$303,A209)</x:f>
        <x:v>0</x:v>
      </x:c>
      <x:c r="C209" t="n">
        <x:f>IFERROR(SUMIF('Risk Data'!$C$4:$C$303,A209,'Risk Data'!$F$4:$F$303)/B209,0)</x:f>
        <x:v>0</x:v>
      </x:c>
      <x:c r="D209" t="n">
        <x:f>COUNTIFS('Risk Data'!$C$4:$C$303,A209,'Risk Data'!$G$4:$G$303,"High")+COUNTIFS('Risk Data'!$C$4:$C$303,A209,'Risk Data'!$G$4:$G$303,"Critical")</x:f>
        <x:v>0</x:v>
      </x:c>
      <x:c r="E209" t="n">
        <x:v>1</x:v>
      </x:c>
    </x:row>
    <x:row r="210">
      <x:c r="B210" t="n">
        <x:f>COUNTIF('Risk Data'!$C$4:$C$303,A210)</x:f>
        <x:v>0</x:v>
      </x:c>
      <x:c r="C210" t="n">
        <x:f>IFERROR(SUMIF('Risk Data'!$C$4:$C$303,A210,'Risk Data'!$F$4:$F$303)/B210,0)</x:f>
        <x:v>0</x:v>
      </x:c>
      <x:c r="D210" t="n">
        <x:f>COUNTIFS('Risk Data'!$C$4:$C$303,A210,'Risk Data'!$G$4:$G$303,"High")+COUNTIFS('Risk Data'!$C$4:$C$303,A210,'Risk Data'!$G$4:$G$303,"Critical")</x:f>
        <x:v>0</x:v>
      </x:c>
      <x:c r="E210" t="n">
        <x:v>1</x:v>
      </x:c>
    </x:row>
    <x:row r="211">
      <x:c r="B211" t="n">
        <x:f>COUNTIF('Risk Data'!$C$4:$C$303,A211)</x:f>
        <x:v>0</x:v>
      </x:c>
      <x:c r="C211" t="n">
        <x:f>IFERROR(SUMIF('Risk Data'!$C$4:$C$303,A211,'Risk Data'!$F$4:$F$303)/B211,0)</x:f>
        <x:v>0</x:v>
      </x:c>
      <x:c r="D211" t="n">
        <x:f>COUNTIFS('Risk Data'!$C$4:$C$303,A211,'Risk Data'!$G$4:$G$303,"High")+COUNTIFS('Risk Data'!$C$4:$C$303,A211,'Risk Data'!$G$4:$G$303,"Critical")</x:f>
        <x:v>0</x:v>
      </x:c>
      <x:c r="E211" t="n">
        <x:v>1</x:v>
      </x:c>
    </x:row>
    <x:row r="212">
      <x:c r="B212" t="n">
        <x:f>COUNTIF('Risk Data'!$C$4:$C$303,A212)</x:f>
        <x:v>0</x:v>
      </x:c>
      <x:c r="C212" t="n">
        <x:f>IFERROR(SUMIF('Risk Data'!$C$4:$C$303,A212,'Risk Data'!$F$4:$F$303)/B212,0)</x:f>
        <x:v>0</x:v>
      </x:c>
      <x:c r="D212" t="n">
        <x:f>COUNTIFS('Risk Data'!$C$4:$C$303,A212,'Risk Data'!$G$4:$G$303,"High")+COUNTIFS('Risk Data'!$C$4:$C$303,A212,'Risk Data'!$G$4:$G$303,"Critical")</x:f>
        <x:v>0</x:v>
      </x:c>
      <x:c r="E212" t="n">
        <x:v>1</x:v>
      </x:c>
    </x:row>
    <x:row r="213">
      <x:c r="B213" t="n">
        <x:f>COUNTIF('Risk Data'!$C$4:$C$303,A213)</x:f>
        <x:v>0</x:v>
      </x:c>
      <x:c r="C213" t="n">
        <x:f>IFERROR(SUMIF('Risk Data'!$C$4:$C$303,A213,'Risk Data'!$F$4:$F$303)/B213,0)</x:f>
        <x:v>0</x:v>
      </x:c>
      <x:c r="D213" t="n">
        <x:f>COUNTIFS('Risk Data'!$C$4:$C$303,A213,'Risk Data'!$G$4:$G$303,"High")+COUNTIFS('Risk Data'!$C$4:$C$303,A213,'Risk Data'!$G$4:$G$303,"Critical")</x:f>
        <x:v>0</x:v>
      </x:c>
      <x:c r="E213" t="n">
        <x:v>1</x:v>
      </x:c>
    </x:row>
    <x:row r="214">
      <x:c r="B214" t="n">
        <x:f>COUNTIF('Risk Data'!$C$4:$C$303,A214)</x:f>
        <x:v>0</x:v>
      </x:c>
      <x:c r="C214" t="n">
        <x:f>IFERROR(SUMIF('Risk Data'!$C$4:$C$303,A214,'Risk Data'!$F$4:$F$303)/B214,0)</x:f>
        <x:v>0</x:v>
      </x:c>
      <x:c r="D214" t="n">
        <x:f>COUNTIFS('Risk Data'!$C$4:$C$303,A214,'Risk Data'!$G$4:$G$303,"High")+COUNTIFS('Risk Data'!$C$4:$C$303,A214,'Risk Data'!$G$4:$G$303,"Critical")</x:f>
        <x:v>0</x:v>
      </x:c>
      <x:c r="E214" t="n">
        <x:v>1</x:v>
      </x:c>
    </x:row>
    <x:row r="215">
      <x:c r="B215" t="n">
        <x:f>COUNTIF('Risk Data'!$C$4:$C$303,A215)</x:f>
        <x:v>0</x:v>
      </x:c>
      <x:c r="C215" t="n">
        <x:f>IFERROR(SUMIF('Risk Data'!$C$4:$C$303,A215,'Risk Data'!$F$4:$F$303)/B215,0)</x:f>
        <x:v>0</x:v>
      </x:c>
      <x:c r="D215" t="n">
        <x:f>COUNTIFS('Risk Data'!$C$4:$C$303,A215,'Risk Data'!$G$4:$G$303,"High")+COUNTIFS('Risk Data'!$C$4:$C$303,A215,'Risk Data'!$G$4:$G$303,"Critical")</x:f>
        <x:v>0</x:v>
      </x:c>
      <x:c r="E215" t="n">
        <x:v>1</x:v>
      </x:c>
    </x:row>
    <x:row r="216">
      <x:c r="B216" t="n">
        <x:f>COUNTIF('Risk Data'!$C$4:$C$303,A216)</x:f>
        <x:v>0</x:v>
      </x:c>
      <x:c r="C216" t="n">
        <x:f>IFERROR(SUMIF('Risk Data'!$C$4:$C$303,A216,'Risk Data'!$F$4:$F$303)/B216,0)</x:f>
        <x:v>0</x:v>
      </x:c>
      <x:c r="D216" t="n">
        <x:f>COUNTIFS('Risk Data'!$C$4:$C$303,A216,'Risk Data'!$G$4:$G$303,"High")+COUNTIFS('Risk Data'!$C$4:$C$303,A216,'Risk Data'!$G$4:$G$303,"Critical")</x:f>
        <x:v>0</x:v>
      </x:c>
      <x:c r="E216" t="n">
        <x:v>1</x:v>
      </x:c>
    </x:row>
    <x:row r="217">
      <x:c r="B217" t="n">
        <x:f>COUNTIF('Risk Data'!$C$4:$C$303,A217)</x:f>
        <x:v>0</x:v>
      </x:c>
      <x:c r="C217" t="n">
        <x:f>IFERROR(SUMIF('Risk Data'!$C$4:$C$303,A217,'Risk Data'!$F$4:$F$303)/B217,0)</x:f>
        <x:v>0</x:v>
      </x:c>
      <x:c r="D217" t="n">
        <x:f>COUNTIFS('Risk Data'!$C$4:$C$303,A217,'Risk Data'!$G$4:$G$303,"High")+COUNTIFS('Risk Data'!$C$4:$C$303,A217,'Risk Data'!$G$4:$G$303,"Critical")</x:f>
        <x:v>0</x:v>
      </x:c>
      <x:c r="E217" t="n">
        <x:v>1</x:v>
      </x:c>
    </x:row>
    <x:row r="218">
      <x:c r="B218" t="n">
        <x:f>COUNTIF('Risk Data'!$C$4:$C$303,A218)</x:f>
        <x:v>0</x:v>
      </x:c>
      <x:c r="C218" t="n">
        <x:f>IFERROR(SUMIF('Risk Data'!$C$4:$C$303,A218,'Risk Data'!$F$4:$F$303)/B218,0)</x:f>
        <x:v>0</x:v>
      </x:c>
      <x:c r="D218" t="n">
        <x:f>COUNTIFS('Risk Data'!$C$4:$C$303,A218,'Risk Data'!$G$4:$G$303,"High")+COUNTIFS('Risk Data'!$C$4:$C$303,A218,'Risk Data'!$G$4:$G$303,"Critical")</x:f>
        <x:v>0</x:v>
      </x:c>
      <x:c r="E218" t="n">
        <x:v>1</x:v>
      </x:c>
    </x:row>
    <x:row r="219">
      <x:c r="B219" t="n">
        <x:f>COUNTIF('Risk Data'!$C$4:$C$303,A219)</x:f>
        <x:v>0</x:v>
      </x:c>
      <x:c r="C219" t="n">
        <x:f>IFERROR(SUMIF('Risk Data'!$C$4:$C$303,A219,'Risk Data'!$F$4:$F$303)/B219,0)</x:f>
        <x:v>0</x:v>
      </x:c>
      <x:c r="D219" t="n">
        <x:f>COUNTIFS('Risk Data'!$C$4:$C$303,A219,'Risk Data'!$G$4:$G$303,"High")+COUNTIFS('Risk Data'!$C$4:$C$303,A219,'Risk Data'!$G$4:$G$303,"Critical")</x:f>
        <x:v>0</x:v>
      </x:c>
      <x:c r="E219" t="n">
        <x:v>1</x:v>
      </x:c>
    </x:row>
    <x:row r="220">
      <x:c r="B220" t="n">
        <x:f>COUNTIF('Risk Data'!$C$4:$C$303,A220)</x:f>
        <x:v>0</x:v>
      </x:c>
      <x:c r="C220" t="n">
        <x:f>IFERROR(SUMIF('Risk Data'!$C$4:$C$303,A220,'Risk Data'!$F$4:$F$303)/B220,0)</x:f>
        <x:v>0</x:v>
      </x:c>
      <x:c r="D220" t="n">
        <x:f>COUNTIFS('Risk Data'!$C$4:$C$303,A220,'Risk Data'!$G$4:$G$303,"High")+COUNTIFS('Risk Data'!$C$4:$C$303,A220,'Risk Data'!$G$4:$G$303,"Critical")</x:f>
        <x:v>0</x:v>
      </x:c>
      <x:c r="E220" t="n">
        <x:v>1</x:v>
      </x:c>
    </x:row>
    <x:row r="221">
      <x:c r="B221" t="n">
        <x:f>COUNTIF('Risk Data'!$C$4:$C$303,A221)</x:f>
        <x:v>0</x:v>
      </x:c>
      <x:c r="C221" t="n">
        <x:f>IFERROR(SUMIF('Risk Data'!$C$4:$C$303,A221,'Risk Data'!$F$4:$F$303)/B221,0)</x:f>
        <x:v>0</x:v>
      </x:c>
      <x:c r="D221" t="n">
        <x:f>COUNTIFS('Risk Data'!$C$4:$C$303,A221,'Risk Data'!$G$4:$G$303,"High")+COUNTIFS('Risk Data'!$C$4:$C$303,A221,'Risk Data'!$G$4:$G$303,"Critical")</x:f>
        <x:v>0</x:v>
      </x:c>
      <x:c r="E221" t="n">
        <x:v>1</x:v>
      </x:c>
    </x:row>
    <x:row r="222">
      <x:c r="B222" t="n">
        <x:f>COUNTIF('Risk Data'!$C$4:$C$303,A222)</x:f>
        <x:v>0</x:v>
      </x:c>
      <x:c r="C222" t="n">
        <x:f>IFERROR(SUMIF('Risk Data'!$C$4:$C$303,A222,'Risk Data'!$F$4:$F$303)/B222,0)</x:f>
        <x:v>0</x:v>
      </x:c>
      <x:c r="D222" t="n">
        <x:f>COUNTIFS('Risk Data'!$C$4:$C$303,A222,'Risk Data'!$G$4:$G$303,"High")+COUNTIFS('Risk Data'!$C$4:$C$303,A222,'Risk Data'!$G$4:$G$303,"Critical")</x:f>
        <x:v>0</x:v>
      </x:c>
      <x:c r="E222" t="n">
        <x:v>1</x:v>
      </x:c>
    </x:row>
    <x:row r="223">
      <x:c r="B223" t="n">
        <x:f>COUNTIF('Risk Data'!$C$4:$C$303,A223)</x:f>
        <x:v>0</x:v>
      </x:c>
      <x:c r="C223" t="n">
        <x:f>IFERROR(SUMIF('Risk Data'!$C$4:$C$303,A223,'Risk Data'!$F$4:$F$303)/B223,0)</x:f>
        <x:v>0</x:v>
      </x:c>
      <x:c r="D223" t="n">
        <x:f>COUNTIFS('Risk Data'!$C$4:$C$303,A223,'Risk Data'!$G$4:$G$303,"High")+COUNTIFS('Risk Data'!$C$4:$C$303,A223,'Risk Data'!$G$4:$G$303,"Critical")</x:f>
        <x:v>0</x:v>
      </x:c>
      <x:c r="E223" t="n">
        <x:v>1</x:v>
      </x:c>
    </x:row>
    <x:row r="224">
      <x:c r="B224" t="n">
        <x:f>COUNTIF('Risk Data'!$C$4:$C$303,A224)</x:f>
        <x:v>0</x:v>
      </x:c>
      <x:c r="C224" t="n">
        <x:f>IFERROR(SUMIF('Risk Data'!$C$4:$C$303,A224,'Risk Data'!$F$4:$F$303)/B224,0)</x:f>
        <x:v>0</x:v>
      </x:c>
      <x:c r="D224" t="n">
        <x:f>COUNTIFS('Risk Data'!$C$4:$C$303,A224,'Risk Data'!$G$4:$G$303,"High")+COUNTIFS('Risk Data'!$C$4:$C$303,A224,'Risk Data'!$G$4:$G$303,"Critical")</x:f>
        <x:v>0</x:v>
      </x:c>
      <x:c r="E224" t="n">
        <x:v>1</x:v>
      </x:c>
    </x:row>
    <x:row r="225">
      <x:c r="B225" t="n">
        <x:f>COUNTIF('Risk Data'!$C$4:$C$303,A225)</x:f>
        <x:v>0</x:v>
      </x:c>
      <x:c r="C225" t="n">
        <x:f>IFERROR(SUMIF('Risk Data'!$C$4:$C$303,A225,'Risk Data'!$F$4:$F$303)/B225,0)</x:f>
        <x:v>0</x:v>
      </x:c>
      <x:c r="D225" t="n">
        <x:f>COUNTIFS('Risk Data'!$C$4:$C$303,A225,'Risk Data'!$G$4:$G$303,"High")+COUNTIFS('Risk Data'!$C$4:$C$303,A225,'Risk Data'!$G$4:$G$303,"Critical")</x:f>
        <x:v>0</x:v>
      </x:c>
      <x:c r="E225" t="n">
        <x:v>1</x:v>
      </x:c>
    </x:row>
    <x:row r="226">
      <x:c r="B226" t="n">
        <x:f>COUNTIF('Risk Data'!$C$4:$C$303,A226)</x:f>
        <x:v>0</x:v>
      </x:c>
      <x:c r="C226" t="n">
        <x:f>IFERROR(SUMIF('Risk Data'!$C$4:$C$303,A226,'Risk Data'!$F$4:$F$303)/B226,0)</x:f>
        <x:v>0</x:v>
      </x:c>
      <x:c r="D226" t="n">
        <x:f>COUNTIFS('Risk Data'!$C$4:$C$303,A226,'Risk Data'!$G$4:$G$303,"High")+COUNTIFS('Risk Data'!$C$4:$C$303,A226,'Risk Data'!$G$4:$G$303,"Critical")</x:f>
        <x:v>0</x:v>
      </x:c>
      <x:c r="E226" t="n">
        <x:v>1</x:v>
      </x:c>
    </x:row>
    <x:row r="227">
      <x:c r="B227" t="n">
        <x:f>COUNTIF('Risk Data'!$C$4:$C$303,A227)</x:f>
        <x:v>0</x:v>
      </x:c>
      <x:c r="C227" t="n">
        <x:f>IFERROR(SUMIF('Risk Data'!$C$4:$C$303,A227,'Risk Data'!$F$4:$F$303)/B227,0)</x:f>
        <x:v>0</x:v>
      </x:c>
      <x:c r="D227" t="n">
        <x:f>COUNTIFS('Risk Data'!$C$4:$C$303,A227,'Risk Data'!$G$4:$G$303,"High")+COUNTIFS('Risk Data'!$C$4:$C$303,A227,'Risk Data'!$G$4:$G$303,"Critical")</x:f>
        <x:v>0</x:v>
      </x:c>
      <x:c r="E227" t="n">
        <x:v>1</x:v>
      </x:c>
    </x:row>
    <x:row r="228">
      <x:c r="B228" t="n">
        <x:f>COUNTIF('Risk Data'!$C$4:$C$303,A228)</x:f>
        <x:v>0</x:v>
      </x:c>
      <x:c r="C228" t="n">
        <x:f>IFERROR(SUMIF('Risk Data'!$C$4:$C$303,A228,'Risk Data'!$F$4:$F$303)/B228,0)</x:f>
        <x:v>0</x:v>
      </x:c>
      <x:c r="D228" t="n">
        <x:f>COUNTIFS('Risk Data'!$C$4:$C$303,A228,'Risk Data'!$G$4:$G$303,"High")+COUNTIFS('Risk Data'!$C$4:$C$303,A228,'Risk Data'!$G$4:$G$303,"Critical")</x:f>
        <x:v>0</x:v>
      </x:c>
      <x:c r="E228" t="n">
        <x:v>1</x:v>
      </x:c>
    </x:row>
    <x:row r="229">
      <x:c r="B229" t="n">
        <x:f>COUNTIF('Risk Data'!$C$4:$C$303,A229)</x:f>
        <x:v>0</x:v>
      </x:c>
      <x:c r="C229" t="n">
        <x:f>IFERROR(SUMIF('Risk Data'!$C$4:$C$303,A229,'Risk Data'!$F$4:$F$303)/B229,0)</x:f>
        <x:v>0</x:v>
      </x:c>
      <x:c r="D229" t="n">
        <x:f>COUNTIFS('Risk Data'!$C$4:$C$303,A229,'Risk Data'!$G$4:$G$303,"High")+COUNTIFS('Risk Data'!$C$4:$C$303,A229,'Risk Data'!$G$4:$G$303,"Critical")</x:f>
        <x:v>0</x:v>
      </x:c>
      <x:c r="E229" t="n">
        <x:v>1</x:v>
      </x:c>
    </x:row>
    <x:row r="230">
      <x:c r="B230" t="n">
        <x:f>COUNTIF('Risk Data'!$C$4:$C$303,A230)</x:f>
        <x:v>0</x:v>
      </x:c>
      <x:c r="C230" t="n">
        <x:f>IFERROR(SUMIF('Risk Data'!$C$4:$C$303,A230,'Risk Data'!$F$4:$F$303)/B230,0)</x:f>
        <x:v>0</x:v>
      </x:c>
      <x:c r="D230" t="n">
        <x:f>COUNTIFS('Risk Data'!$C$4:$C$303,A230,'Risk Data'!$G$4:$G$303,"High")+COUNTIFS('Risk Data'!$C$4:$C$303,A230,'Risk Data'!$G$4:$G$303,"Critical")</x:f>
        <x:v>0</x:v>
      </x:c>
      <x:c r="E230" t="n">
        <x:v>1</x:v>
      </x:c>
    </x:row>
    <x:row r="231">
      <x:c r="B231" t="n">
        <x:f>COUNTIF('Risk Data'!$C$4:$C$303,A231)</x:f>
        <x:v>0</x:v>
      </x:c>
      <x:c r="C231" t="n">
        <x:f>IFERROR(SUMIF('Risk Data'!$C$4:$C$303,A231,'Risk Data'!$F$4:$F$303)/B231,0)</x:f>
        <x:v>0</x:v>
      </x:c>
      <x:c r="D231" t="n">
        <x:f>COUNTIFS('Risk Data'!$C$4:$C$303,A231,'Risk Data'!$G$4:$G$303,"High")+COUNTIFS('Risk Data'!$C$4:$C$303,A231,'Risk Data'!$G$4:$G$303,"Critical")</x:f>
        <x:v>0</x:v>
      </x:c>
      <x:c r="E231" t="n">
        <x:v>1</x:v>
      </x:c>
    </x:row>
    <x:row r="232">
      <x:c r="B232" t="n">
        <x:f>COUNTIF('Risk Data'!$C$4:$C$303,A232)</x:f>
        <x:v>0</x:v>
      </x:c>
      <x:c r="C232" t="n">
        <x:f>IFERROR(SUMIF('Risk Data'!$C$4:$C$303,A232,'Risk Data'!$F$4:$F$303)/B232,0)</x:f>
        <x:v>0</x:v>
      </x:c>
      <x:c r="D232" t="n">
        <x:f>COUNTIFS('Risk Data'!$C$4:$C$303,A232,'Risk Data'!$G$4:$G$303,"High")+COUNTIFS('Risk Data'!$C$4:$C$303,A232,'Risk Data'!$G$4:$G$303,"Critical")</x:f>
        <x:v>0</x:v>
      </x:c>
      <x:c r="E232" t="n">
        <x:v>1</x:v>
      </x:c>
    </x:row>
    <x:row r="233">
      <x:c r="B233" t="n">
        <x:f>COUNTIF('Risk Data'!$C$4:$C$303,A233)</x:f>
        <x:v>0</x:v>
      </x:c>
      <x:c r="C233" t="n">
        <x:f>IFERROR(SUMIF('Risk Data'!$C$4:$C$303,A233,'Risk Data'!$F$4:$F$303)/B233,0)</x:f>
        <x:v>0</x:v>
      </x:c>
      <x:c r="D233" t="n">
        <x:f>COUNTIFS('Risk Data'!$C$4:$C$303,A233,'Risk Data'!$G$4:$G$303,"High")+COUNTIFS('Risk Data'!$C$4:$C$303,A233,'Risk Data'!$G$4:$G$303,"Critical")</x:f>
        <x:v>0</x:v>
      </x:c>
      <x:c r="E233" t="n">
        <x:v>1</x:v>
      </x:c>
    </x:row>
    <x:row r="234">
      <x:c r="B234" t="n">
        <x:f>COUNTIF('Risk Data'!$C$4:$C$303,A234)</x:f>
        <x:v>0</x:v>
      </x:c>
      <x:c r="C234" t="n">
        <x:f>IFERROR(SUMIF('Risk Data'!$C$4:$C$303,A234,'Risk Data'!$F$4:$F$303)/B234,0)</x:f>
        <x:v>0</x:v>
      </x:c>
      <x:c r="D234" t="n">
        <x:f>COUNTIFS('Risk Data'!$C$4:$C$303,A234,'Risk Data'!$G$4:$G$303,"High")+COUNTIFS('Risk Data'!$C$4:$C$303,A234,'Risk Data'!$G$4:$G$303,"Critical")</x:f>
        <x:v>0</x:v>
      </x:c>
      <x:c r="E234" t="n">
        <x:v>1</x:v>
      </x:c>
    </x:row>
    <x:row r="235">
      <x:c r="B235" t="n">
        <x:f>COUNTIF('Risk Data'!$C$4:$C$303,A235)</x:f>
        <x:v>0</x:v>
      </x:c>
      <x:c r="C235" t="n">
        <x:f>IFERROR(SUMIF('Risk Data'!$C$4:$C$303,A235,'Risk Data'!$F$4:$F$303)/B235,0)</x:f>
        <x:v>0</x:v>
      </x:c>
      <x:c r="D235" t="n">
        <x:f>COUNTIFS('Risk Data'!$C$4:$C$303,A235,'Risk Data'!$G$4:$G$303,"High")+COUNTIFS('Risk Data'!$C$4:$C$303,A235,'Risk Data'!$G$4:$G$303,"Critical")</x:f>
        <x:v>0</x:v>
      </x:c>
      <x:c r="E235" t="n">
        <x:v>1</x:v>
      </x:c>
    </x:row>
    <x:row r="236">
      <x:c r="B236" t="n">
        <x:f>COUNTIF('Risk Data'!$C$4:$C$303,A236)</x:f>
        <x:v>0</x:v>
      </x:c>
      <x:c r="C236" t="n">
        <x:f>IFERROR(SUMIF('Risk Data'!$C$4:$C$303,A236,'Risk Data'!$F$4:$F$303)/B236,0)</x:f>
        <x:v>0</x:v>
      </x:c>
      <x:c r="D236" t="n">
        <x:f>COUNTIFS('Risk Data'!$C$4:$C$303,A236,'Risk Data'!$G$4:$G$303,"High")+COUNTIFS('Risk Data'!$C$4:$C$303,A236,'Risk Data'!$G$4:$G$303,"Critical")</x:f>
        <x:v>0</x:v>
      </x:c>
      <x:c r="E236" t="n">
        <x:v>1</x:v>
      </x:c>
    </x:row>
    <x:row r="237">
      <x:c r="B237" t="n">
        <x:f>COUNTIF('Risk Data'!$C$4:$C$303,A237)</x:f>
        <x:v>0</x:v>
      </x:c>
      <x:c r="C237" t="n">
        <x:f>IFERROR(SUMIF('Risk Data'!$C$4:$C$303,A237,'Risk Data'!$F$4:$F$303)/B237,0)</x:f>
        <x:v>0</x:v>
      </x:c>
      <x:c r="D237" t="n">
        <x:f>COUNTIFS('Risk Data'!$C$4:$C$303,A237,'Risk Data'!$G$4:$G$303,"High")+COUNTIFS('Risk Data'!$C$4:$C$303,A237,'Risk Data'!$G$4:$G$303,"Critical")</x:f>
        <x:v>0</x:v>
      </x:c>
      <x:c r="E237" t="n">
        <x:v>1</x:v>
      </x:c>
    </x:row>
    <x:row r="238">
      <x:c r="B238" t="n">
        <x:f>COUNTIF('Risk Data'!$C$4:$C$303,A238)</x:f>
        <x:v>0</x:v>
      </x:c>
      <x:c r="C238" t="n">
        <x:f>IFERROR(SUMIF('Risk Data'!$C$4:$C$303,A238,'Risk Data'!$F$4:$F$303)/B238,0)</x:f>
        <x:v>0</x:v>
      </x:c>
      <x:c r="D238" t="n">
        <x:f>COUNTIFS('Risk Data'!$C$4:$C$303,A238,'Risk Data'!$G$4:$G$303,"High")+COUNTIFS('Risk Data'!$C$4:$C$303,A238,'Risk Data'!$G$4:$G$303,"Critical")</x:f>
        <x:v>0</x:v>
      </x:c>
      <x:c r="E238" t="n">
        <x:v>1</x:v>
      </x:c>
    </x:row>
    <x:row r="239">
      <x:c r="B239" t="n">
        <x:f>COUNTIF('Risk Data'!$C$4:$C$303,A239)</x:f>
        <x:v>0</x:v>
      </x:c>
      <x:c r="C239" t="n">
        <x:f>IFERROR(SUMIF('Risk Data'!$C$4:$C$303,A239,'Risk Data'!$F$4:$F$303)/B239,0)</x:f>
        <x:v>0</x:v>
      </x:c>
      <x:c r="D239" t="n">
        <x:f>COUNTIFS('Risk Data'!$C$4:$C$303,A239,'Risk Data'!$G$4:$G$303,"High")+COUNTIFS('Risk Data'!$C$4:$C$303,A239,'Risk Data'!$G$4:$G$303,"Critical")</x:f>
        <x:v>0</x:v>
      </x:c>
      <x:c r="E239" t="n">
        <x:v>1</x:v>
      </x:c>
    </x:row>
    <x:row r="240">
      <x:c r="B240" t="n">
        <x:f>COUNTIF('Risk Data'!$C$4:$C$303,A240)</x:f>
        <x:v>0</x:v>
      </x:c>
      <x:c r="C240" t="n">
        <x:f>IFERROR(SUMIF('Risk Data'!$C$4:$C$303,A240,'Risk Data'!$F$4:$F$303)/B240,0)</x:f>
        <x:v>0</x:v>
      </x:c>
      <x:c r="D240" t="n">
        <x:f>COUNTIFS('Risk Data'!$C$4:$C$303,A240,'Risk Data'!$G$4:$G$303,"High")+COUNTIFS('Risk Data'!$C$4:$C$303,A240,'Risk Data'!$G$4:$G$303,"Critical")</x:f>
        <x:v>0</x:v>
      </x:c>
      <x:c r="E240" t="n">
        <x:v>1</x:v>
      </x:c>
    </x:row>
    <x:row r="241">
      <x:c r="B241" t="n">
        <x:f>COUNTIF('Risk Data'!$C$4:$C$303,A241)</x:f>
        <x:v>0</x:v>
      </x:c>
      <x:c r="C241" t="n">
        <x:f>IFERROR(SUMIF('Risk Data'!$C$4:$C$303,A241,'Risk Data'!$F$4:$F$303)/B241,0)</x:f>
        <x:v>0</x:v>
      </x:c>
      <x:c r="D241" t="n">
        <x:f>COUNTIFS('Risk Data'!$C$4:$C$303,A241,'Risk Data'!$G$4:$G$303,"High")+COUNTIFS('Risk Data'!$C$4:$C$303,A241,'Risk Data'!$G$4:$G$303,"Critical")</x:f>
        <x:v>0</x:v>
      </x:c>
      <x:c r="E241" t="n">
        <x:v>1</x:v>
      </x:c>
    </x:row>
    <x:row r="242">
      <x:c r="B242" t="n">
        <x:f>COUNTIF('Risk Data'!$C$4:$C$303,A242)</x:f>
        <x:v>0</x:v>
      </x:c>
      <x:c r="C242" t="n">
        <x:f>IFERROR(SUMIF('Risk Data'!$C$4:$C$303,A242,'Risk Data'!$F$4:$F$303)/B242,0)</x:f>
        <x:v>0</x:v>
      </x:c>
      <x:c r="D242" t="n">
        <x:f>COUNTIFS('Risk Data'!$C$4:$C$303,A242,'Risk Data'!$G$4:$G$303,"High")+COUNTIFS('Risk Data'!$C$4:$C$303,A242,'Risk Data'!$G$4:$G$303,"Critical")</x:f>
        <x:v>0</x:v>
      </x:c>
      <x:c r="E242" t="n">
        <x:v>1</x:v>
      </x:c>
    </x:row>
    <x:row r="243">
      <x:c r="B243" t="n">
        <x:f>COUNTIF('Risk Data'!$C$4:$C$303,A243)</x:f>
        <x:v>0</x:v>
      </x:c>
      <x:c r="C243" t="n">
        <x:f>IFERROR(SUMIF('Risk Data'!$C$4:$C$303,A243,'Risk Data'!$F$4:$F$303)/B243,0)</x:f>
        <x:v>0</x:v>
      </x:c>
      <x:c r="D243" t="n">
        <x:f>COUNTIFS('Risk Data'!$C$4:$C$303,A243,'Risk Data'!$G$4:$G$303,"High")+COUNTIFS('Risk Data'!$C$4:$C$303,A243,'Risk Data'!$G$4:$G$303,"Critical")</x:f>
        <x:v>0</x:v>
      </x:c>
      <x:c r="E243" t="n">
        <x:v>1</x:v>
      </x:c>
    </x:row>
    <x:row r="244">
      <x:c r="B244" t="n">
        <x:f>COUNTIF('Risk Data'!$C$4:$C$303,A244)</x:f>
        <x:v>0</x:v>
      </x:c>
      <x:c r="C244" t="n">
        <x:f>IFERROR(SUMIF('Risk Data'!$C$4:$C$303,A244,'Risk Data'!$F$4:$F$303)/B244,0)</x:f>
        <x:v>0</x:v>
      </x:c>
      <x:c r="D244" t="n">
        <x:f>COUNTIFS('Risk Data'!$C$4:$C$303,A244,'Risk Data'!$G$4:$G$303,"High")+COUNTIFS('Risk Data'!$C$4:$C$303,A244,'Risk Data'!$G$4:$G$303,"Critical")</x:f>
        <x:v>0</x:v>
      </x:c>
      <x:c r="E244" t="n">
        <x:v>1</x:v>
      </x:c>
    </x:row>
    <x:row r="245">
      <x:c r="B245" t="n">
        <x:f>COUNTIF('Risk Data'!$C$4:$C$303,A245)</x:f>
        <x:v>0</x:v>
      </x:c>
      <x:c r="C245" t="n">
        <x:f>IFERROR(SUMIF('Risk Data'!$C$4:$C$303,A245,'Risk Data'!$F$4:$F$303)/B245,0)</x:f>
        <x:v>0</x:v>
      </x:c>
      <x:c r="D245" t="n">
        <x:f>COUNTIFS('Risk Data'!$C$4:$C$303,A245,'Risk Data'!$G$4:$G$303,"High")+COUNTIFS('Risk Data'!$C$4:$C$303,A245,'Risk Data'!$G$4:$G$303,"Critical")</x:f>
        <x:v>0</x:v>
      </x:c>
      <x:c r="E245" t="n">
        <x:v>1</x:v>
      </x:c>
    </x:row>
    <x:row r="246">
      <x:c r="B246" t="n">
        <x:f>COUNTIF('Risk Data'!$C$4:$C$303,A246)</x:f>
        <x:v>0</x:v>
      </x:c>
      <x:c r="C246" t="n">
        <x:f>IFERROR(SUMIF('Risk Data'!$C$4:$C$303,A246,'Risk Data'!$F$4:$F$303)/B246,0)</x:f>
        <x:v>0</x:v>
      </x:c>
      <x:c r="D246" t="n">
        <x:f>COUNTIFS('Risk Data'!$C$4:$C$303,A246,'Risk Data'!$G$4:$G$303,"High")+COUNTIFS('Risk Data'!$C$4:$C$303,A246,'Risk Data'!$G$4:$G$303,"Critical")</x:f>
        <x:v>0</x:v>
      </x:c>
      <x:c r="E246" t="n">
        <x:v>1</x:v>
      </x:c>
    </x:row>
    <x:row r="247">
      <x:c r="B247" t="n">
        <x:f>COUNTIF('Risk Data'!$C$4:$C$303,A247)</x:f>
        <x:v>0</x:v>
      </x:c>
      <x:c r="C247" t="n">
        <x:f>IFERROR(SUMIF('Risk Data'!$C$4:$C$303,A247,'Risk Data'!$F$4:$F$303)/B247,0)</x:f>
        <x:v>0</x:v>
      </x:c>
      <x:c r="D247" t="n">
        <x:f>COUNTIFS('Risk Data'!$C$4:$C$303,A247,'Risk Data'!$G$4:$G$303,"High")+COUNTIFS('Risk Data'!$C$4:$C$303,A247,'Risk Data'!$G$4:$G$303,"Critical")</x:f>
        <x:v>0</x:v>
      </x:c>
      <x:c r="E247" t="n">
        <x:v>1</x:v>
      </x:c>
    </x:row>
    <x:row r="248">
      <x:c r="B248" t="n">
        <x:f>COUNTIF('Risk Data'!$C$4:$C$303,A248)</x:f>
        <x:v>0</x:v>
      </x:c>
      <x:c r="C248" t="n">
        <x:f>IFERROR(SUMIF('Risk Data'!$C$4:$C$303,A248,'Risk Data'!$F$4:$F$303)/B248,0)</x:f>
        <x:v>0</x:v>
      </x:c>
      <x:c r="D248" t="n">
        <x:f>COUNTIFS('Risk Data'!$C$4:$C$303,A248,'Risk Data'!$G$4:$G$303,"High")+COUNTIFS('Risk Data'!$C$4:$C$303,A248,'Risk Data'!$G$4:$G$303,"Critical")</x:f>
        <x:v>0</x:v>
      </x:c>
      <x:c r="E248" t="n">
        <x:v>1</x:v>
      </x:c>
    </x:row>
    <x:row r="249">
      <x:c r="B249" t="n">
        <x:f>COUNTIF('Risk Data'!$C$4:$C$303,A249)</x:f>
        <x:v>0</x:v>
      </x:c>
      <x:c r="C249" t="n">
        <x:f>IFERROR(SUMIF('Risk Data'!$C$4:$C$303,A249,'Risk Data'!$F$4:$F$303)/B249,0)</x:f>
        <x:v>0</x:v>
      </x:c>
      <x:c r="D249" t="n">
        <x:f>COUNTIFS('Risk Data'!$C$4:$C$303,A249,'Risk Data'!$G$4:$G$303,"High")+COUNTIFS('Risk Data'!$C$4:$C$303,A249,'Risk Data'!$G$4:$G$303,"Critical")</x:f>
        <x:v>0</x:v>
      </x:c>
      <x:c r="E249" t="n">
        <x:v>1</x:v>
      </x:c>
    </x:row>
    <x:row r="250">
      <x:c r="B250" t="n">
        <x:f>COUNTIF('Risk Data'!$C$4:$C$303,A250)</x:f>
        <x:v>0</x:v>
      </x:c>
      <x:c r="C250" t="n">
        <x:f>IFERROR(SUMIF('Risk Data'!$C$4:$C$303,A250,'Risk Data'!$F$4:$F$303)/B250,0)</x:f>
        <x:v>0</x:v>
      </x:c>
      <x:c r="D250" t="n">
        <x:f>COUNTIFS('Risk Data'!$C$4:$C$303,A250,'Risk Data'!$G$4:$G$303,"High")+COUNTIFS('Risk Data'!$C$4:$C$303,A250,'Risk Data'!$G$4:$G$303,"Critical")</x:f>
        <x:v>0</x:v>
      </x:c>
      <x:c r="E250" t="n">
        <x:v>1</x:v>
      </x:c>
    </x:row>
    <x:row r="251">
      <x:c r="B251" t="n">
        <x:f>COUNTIF('Risk Data'!$C$4:$C$303,A251)</x:f>
        <x:v>0</x:v>
      </x:c>
      <x:c r="C251" t="n">
        <x:f>IFERROR(SUMIF('Risk Data'!$C$4:$C$303,A251,'Risk Data'!$F$4:$F$303)/B251,0)</x:f>
        <x:v>0</x:v>
      </x:c>
      <x:c r="D251" t="n">
        <x:f>COUNTIFS('Risk Data'!$C$4:$C$303,A251,'Risk Data'!$G$4:$G$303,"High")+COUNTIFS('Risk Data'!$C$4:$C$303,A251,'Risk Data'!$G$4:$G$303,"Critical")</x:f>
        <x:v>0</x:v>
      </x:c>
      <x:c r="E251" t="n">
        <x:v>1</x:v>
      </x:c>
    </x:row>
    <x:row r="252">
      <x:c r="B252" t="n">
        <x:f>COUNTIF('Risk Data'!$C$4:$C$303,A252)</x:f>
        <x:v>0</x:v>
      </x:c>
      <x:c r="C252" t="n">
        <x:f>IFERROR(SUMIF('Risk Data'!$C$4:$C$303,A252,'Risk Data'!$F$4:$F$303)/B252,0)</x:f>
        <x:v>0</x:v>
      </x:c>
      <x:c r="D252" t="n">
        <x:f>COUNTIFS('Risk Data'!$C$4:$C$303,A252,'Risk Data'!$G$4:$G$303,"High")+COUNTIFS('Risk Data'!$C$4:$C$303,A252,'Risk Data'!$G$4:$G$303,"Critical")</x:f>
        <x:v>0</x:v>
      </x:c>
      <x:c r="E252" t="n">
        <x:v>1</x:v>
      </x:c>
    </x:row>
    <x:row r="253">
      <x:c r="B253" t="n">
        <x:f>COUNTIF('Risk Data'!$C$4:$C$303,A253)</x:f>
        <x:v>0</x:v>
      </x:c>
      <x:c r="C253" t="n">
        <x:f>IFERROR(SUMIF('Risk Data'!$C$4:$C$303,A253,'Risk Data'!$F$4:$F$303)/B253,0)</x:f>
        <x:v>0</x:v>
      </x:c>
      <x:c r="D253" t="n">
        <x:f>COUNTIFS('Risk Data'!$C$4:$C$303,A253,'Risk Data'!$G$4:$G$303,"High")+COUNTIFS('Risk Data'!$C$4:$C$303,A253,'Risk Data'!$G$4:$G$303,"Critical")</x:f>
        <x:v>0</x:v>
      </x:c>
      <x:c r="E253" t="n">
        <x:v>1</x:v>
      </x:c>
    </x:row>
    <x:row r="254">
      <x:c r="B254" t="n">
        <x:f>COUNTIF('Risk Data'!$C$4:$C$303,A254)</x:f>
        <x:v>0</x:v>
      </x:c>
      <x:c r="C254" t="n">
        <x:f>IFERROR(SUMIF('Risk Data'!$C$4:$C$303,A254,'Risk Data'!$F$4:$F$303)/B254,0)</x:f>
        <x:v>0</x:v>
      </x:c>
      <x:c r="D254" t="n">
        <x:f>COUNTIFS('Risk Data'!$C$4:$C$303,A254,'Risk Data'!$G$4:$G$303,"High")+COUNTIFS('Risk Data'!$C$4:$C$303,A254,'Risk Data'!$G$4:$G$303,"Critical")</x:f>
        <x:v>0</x:v>
      </x:c>
      <x:c r="E254" t="n">
        <x:v>1</x:v>
      </x:c>
    </x:row>
    <x:row r="255">
      <x:c r="B255" t="n">
        <x:f>COUNTIF('Risk Data'!$C$4:$C$303,A255)</x:f>
        <x:v>0</x:v>
      </x:c>
      <x:c r="C255" t="n">
        <x:f>IFERROR(SUMIF('Risk Data'!$C$4:$C$303,A255,'Risk Data'!$F$4:$F$303)/B255,0)</x:f>
        <x:v>0</x:v>
      </x:c>
      <x:c r="D255" t="n">
        <x:f>COUNTIFS('Risk Data'!$C$4:$C$303,A255,'Risk Data'!$G$4:$G$303,"High")+COUNTIFS('Risk Data'!$C$4:$C$303,A255,'Risk Data'!$G$4:$G$303,"Critical")</x:f>
        <x:v>0</x:v>
      </x:c>
      <x:c r="E255" t="n">
        <x:v>1</x:v>
      </x:c>
    </x:row>
    <x:row r="256">
      <x:c r="B256" t="n">
        <x:f>COUNTIF('Risk Data'!$C$4:$C$303,A256)</x:f>
        <x:v>0</x:v>
      </x:c>
      <x:c r="C256" t="n">
        <x:f>IFERROR(SUMIF('Risk Data'!$C$4:$C$303,A256,'Risk Data'!$F$4:$F$303)/B256,0)</x:f>
        <x:v>0</x:v>
      </x:c>
      <x:c r="D256" t="n">
        <x:f>COUNTIFS('Risk Data'!$C$4:$C$303,A256,'Risk Data'!$G$4:$G$303,"High")+COUNTIFS('Risk Data'!$C$4:$C$303,A256,'Risk Data'!$G$4:$G$303,"Critical")</x:f>
        <x:v>0</x:v>
      </x:c>
      <x:c r="E256" t="n">
        <x:v>1</x:v>
      </x:c>
    </x:row>
    <x:row r="257">
      <x:c r="B257" t="n">
        <x:f>COUNTIF('Risk Data'!$C$4:$C$303,A257)</x:f>
        <x:v>0</x:v>
      </x:c>
      <x:c r="C257" t="n">
        <x:f>IFERROR(SUMIF('Risk Data'!$C$4:$C$303,A257,'Risk Data'!$F$4:$F$303)/B257,0)</x:f>
        <x:v>0</x:v>
      </x:c>
      <x:c r="D257" t="n">
        <x:f>COUNTIFS('Risk Data'!$C$4:$C$303,A257,'Risk Data'!$G$4:$G$303,"High")+COUNTIFS('Risk Data'!$C$4:$C$303,A257,'Risk Data'!$G$4:$G$303,"Critical")</x:f>
        <x:v>0</x:v>
      </x:c>
      <x:c r="E257" t="n">
        <x:v>1</x:v>
      </x:c>
    </x:row>
    <x:row r="258">
      <x:c r="B258" t="n">
        <x:f>COUNTIF('Risk Data'!$C$4:$C$303,A258)</x:f>
        <x:v>0</x:v>
      </x:c>
      <x:c r="C258" t="n">
        <x:f>IFERROR(SUMIF('Risk Data'!$C$4:$C$303,A258,'Risk Data'!$F$4:$F$303)/B258,0)</x:f>
        <x:v>0</x:v>
      </x:c>
      <x:c r="D258" t="n">
        <x:f>COUNTIFS('Risk Data'!$C$4:$C$303,A258,'Risk Data'!$G$4:$G$303,"High")+COUNTIFS('Risk Data'!$C$4:$C$303,A258,'Risk Data'!$G$4:$G$303,"Critical")</x:f>
        <x:v>0</x:v>
      </x:c>
      <x:c r="E258" t="n">
        <x:v>1</x:v>
      </x:c>
    </x:row>
    <x:row r="259">
      <x:c r="B259" t="n">
        <x:f>COUNTIF('Risk Data'!$C$4:$C$303,A259)</x:f>
        <x:v>0</x:v>
      </x:c>
      <x:c r="C259" t="n">
        <x:f>IFERROR(SUMIF('Risk Data'!$C$4:$C$303,A259,'Risk Data'!$F$4:$F$303)/B259,0)</x:f>
        <x:v>0</x:v>
      </x:c>
      <x:c r="D259" t="n">
        <x:f>COUNTIFS('Risk Data'!$C$4:$C$303,A259,'Risk Data'!$G$4:$G$303,"High")+COUNTIFS('Risk Data'!$C$4:$C$303,A259,'Risk Data'!$G$4:$G$303,"Critical")</x:f>
        <x:v>0</x:v>
      </x:c>
      <x:c r="E259" t="n">
        <x:v>1</x:v>
      </x:c>
    </x:row>
    <x:row r="260">
      <x:c r="B260" t="n">
        <x:f>COUNTIF('Risk Data'!$C$4:$C$303,A260)</x:f>
        <x:v>0</x:v>
      </x:c>
      <x:c r="C260" t="n">
        <x:f>IFERROR(SUMIF('Risk Data'!$C$4:$C$303,A260,'Risk Data'!$F$4:$F$303)/B260,0)</x:f>
        <x:v>0</x:v>
      </x:c>
      <x:c r="D260" t="n">
        <x:f>COUNTIFS('Risk Data'!$C$4:$C$303,A260,'Risk Data'!$G$4:$G$303,"High")+COUNTIFS('Risk Data'!$C$4:$C$303,A260,'Risk Data'!$G$4:$G$303,"Critical")</x:f>
        <x:v>0</x:v>
      </x:c>
      <x:c r="E260" t="n">
        <x:v>1</x:v>
      </x:c>
    </x:row>
    <x:row r="261">
      <x:c r="B261" t="n">
        <x:f>COUNTIF('Risk Data'!$C$4:$C$303,A261)</x:f>
        <x:v>0</x:v>
      </x:c>
      <x:c r="C261" t="n">
        <x:f>IFERROR(SUMIF('Risk Data'!$C$4:$C$303,A261,'Risk Data'!$F$4:$F$303)/B261,0)</x:f>
        <x:v>0</x:v>
      </x:c>
      <x:c r="D261" t="n">
        <x:f>COUNTIFS('Risk Data'!$C$4:$C$303,A261,'Risk Data'!$G$4:$G$303,"High")+COUNTIFS('Risk Data'!$C$4:$C$303,A261,'Risk Data'!$G$4:$G$303,"Critical")</x:f>
        <x:v>0</x:v>
      </x:c>
      <x:c r="E261" t="n">
        <x:v>1</x:v>
      </x:c>
    </x:row>
    <x:row r="262">
      <x:c r="B262" t="n">
        <x:f>COUNTIF('Risk Data'!$C$4:$C$303,A262)</x:f>
        <x:v>0</x:v>
      </x:c>
      <x:c r="C262" t="n">
        <x:f>IFERROR(SUMIF('Risk Data'!$C$4:$C$303,A262,'Risk Data'!$F$4:$F$303)/B262,0)</x:f>
        <x:v>0</x:v>
      </x:c>
      <x:c r="D262" t="n">
        <x:f>COUNTIFS('Risk Data'!$C$4:$C$303,A262,'Risk Data'!$G$4:$G$303,"High")+COUNTIFS('Risk Data'!$C$4:$C$303,A262,'Risk Data'!$G$4:$G$303,"Critical")</x:f>
        <x:v>0</x:v>
      </x:c>
      <x:c r="E262" t="n">
        <x:v>1</x:v>
      </x:c>
    </x:row>
    <x:row r="263">
      <x:c r="B263" t="n">
        <x:f>COUNTIF('Risk Data'!$C$4:$C$303,A263)</x:f>
        <x:v>0</x:v>
      </x:c>
      <x:c r="C263" t="n">
        <x:f>IFERROR(SUMIF('Risk Data'!$C$4:$C$303,A263,'Risk Data'!$F$4:$F$303)/B263,0)</x:f>
        <x:v>0</x:v>
      </x:c>
      <x:c r="D263" t="n">
        <x:f>COUNTIFS('Risk Data'!$C$4:$C$303,A263,'Risk Data'!$G$4:$G$303,"High")+COUNTIFS('Risk Data'!$C$4:$C$303,A263,'Risk Data'!$G$4:$G$303,"Critical")</x:f>
        <x:v>0</x:v>
      </x:c>
      <x:c r="E263" t="n">
        <x:v>1</x:v>
      </x:c>
    </x:row>
    <x:row r="264">
      <x:c r="B264" t="n">
        <x:f>COUNTIF('Risk Data'!$C$4:$C$303,A264)</x:f>
        <x:v>0</x:v>
      </x:c>
      <x:c r="C264" t="n">
        <x:f>IFERROR(SUMIF('Risk Data'!$C$4:$C$303,A264,'Risk Data'!$F$4:$F$303)/B264,0)</x:f>
        <x:v>0</x:v>
      </x:c>
      <x:c r="D264" t="n">
        <x:f>COUNTIFS('Risk Data'!$C$4:$C$303,A264,'Risk Data'!$G$4:$G$303,"High")+COUNTIFS('Risk Data'!$C$4:$C$303,A264,'Risk Data'!$G$4:$G$303,"Critical")</x:f>
        <x:v>0</x:v>
      </x:c>
      <x:c r="E264" t="n">
        <x:v>1</x:v>
      </x:c>
    </x:row>
    <x:row r="265">
      <x:c r="B265" t="n">
        <x:f>COUNTIF('Risk Data'!$C$4:$C$303,A265)</x:f>
        <x:v>0</x:v>
      </x:c>
      <x:c r="C265" t="n">
        <x:f>IFERROR(SUMIF('Risk Data'!$C$4:$C$303,A265,'Risk Data'!$F$4:$F$303)/B265,0)</x:f>
        <x:v>0</x:v>
      </x:c>
      <x:c r="D265" t="n">
        <x:f>COUNTIFS('Risk Data'!$C$4:$C$303,A265,'Risk Data'!$G$4:$G$303,"High")+COUNTIFS('Risk Data'!$C$4:$C$303,A265,'Risk Data'!$G$4:$G$303,"Critical")</x:f>
        <x:v>0</x:v>
      </x:c>
      <x:c r="E265" t="n">
        <x:v>1</x:v>
      </x:c>
    </x:row>
    <x:row r="266">
      <x:c r="B266" t="n">
        <x:f>COUNTIF('Risk Data'!$C$4:$C$303,A266)</x:f>
        <x:v>0</x:v>
      </x:c>
      <x:c r="C266" t="n">
        <x:f>IFERROR(SUMIF('Risk Data'!$C$4:$C$303,A266,'Risk Data'!$F$4:$F$303)/B266,0)</x:f>
        <x:v>0</x:v>
      </x:c>
      <x:c r="D266" t="n">
        <x:f>COUNTIFS('Risk Data'!$C$4:$C$303,A266,'Risk Data'!$G$4:$G$303,"High")+COUNTIFS('Risk Data'!$C$4:$C$303,A266,'Risk Data'!$G$4:$G$303,"Critical")</x:f>
        <x:v>0</x:v>
      </x:c>
      <x:c r="E266" t="n">
        <x:v>1</x:v>
      </x:c>
    </x:row>
    <x:row r="267">
      <x:c r="B267" t="n">
        <x:f>COUNTIF('Risk Data'!$C$4:$C$303,A267)</x:f>
        <x:v>0</x:v>
      </x:c>
      <x:c r="C267" t="n">
        <x:f>IFERROR(SUMIF('Risk Data'!$C$4:$C$303,A267,'Risk Data'!$F$4:$F$303)/B267,0)</x:f>
        <x:v>0</x:v>
      </x:c>
      <x:c r="D267" t="n">
        <x:f>COUNTIFS('Risk Data'!$C$4:$C$303,A267,'Risk Data'!$G$4:$G$303,"High")+COUNTIFS('Risk Data'!$C$4:$C$303,A267,'Risk Data'!$G$4:$G$303,"Critical")</x:f>
        <x:v>0</x:v>
      </x:c>
      <x:c r="E267" t="n">
        <x:v>1</x:v>
      </x:c>
    </x:row>
    <x:row r="268">
      <x:c r="B268" t="n">
        <x:f>COUNTIF('Risk Data'!$C$4:$C$303,A268)</x:f>
        <x:v>0</x:v>
      </x:c>
      <x:c r="C268" t="n">
        <x:f>IFERROR(SUMIF('Risk Data'!$C$4:$C$303,A268,'Risk Data'!$F$4:$F$303)/B268,0)</x:f>
        <x:v>0</x:v>
      </x:c>
      <x:c r="D268" t="n">
        <x:f>COUNTIFS('Risk Data'!$C$4:$C$303,A268,'Risk Data'!$G$4:$G$303,"High")+COUNTIFS('Risk Data'!$C$4:$C$303,A268,'Risk Data'!$G$4:$G$303,"Critical")</x:f>
        <x:v>0</x:v>
      </x:c>
      <x:c r="E268" t="n">
        <x:v>1</x:v>
      </x:c>
    </x:row>
    <x:row r="269">
      <x:c r="B269" t="n">
        <x:f>COUNTIF('Risk Data'!$C$4:$C$303,A269)</x:f>
        <x:v>0</x:v>
      </x:c>
      <x:c r="C269" t="n">
        <x:f>IFERROR(SUMIF('Risk Data'!$C$4:$C$303,A269,'Risk Data'!$F$4:$F$303)/B269,0)</x:f>
        <x:v>0</x:v>
      </x:c>
      <x:c r="D269" t="n">
        <x:f>COUNTIFS('Risk Data'!$C$4:$C$303,A269,'Risk Data'!$G$4:$G$303,"High")+COUNTIFS('Risk Data'!$C$4:$C$303,A269,'Risk Data'!$G$4:$G$303,"Critical")</x:f>
        <x:v>0</x:v>
      </x:c>
      <x:c r="E269" t="n">
        <x:v>1</x:v>
      </x:c>
    </x:row>
    <x:row r="270">
      <x:c r="B270" t="n">
        <x:f>COUNTIF('Risk Data'!$C$4:$C$303,A270)</x:f>
        <x:v>0</x:v>
      </x:c>
      <x:c r="C270" t="n">
        <x:f>IFERROR(SUMIF('Risk Data'!$C$4:$C$303,A270,'Risk Data'!$F$4:$F$303)/B270,0)</x:f>
        <x:v>0</x:v>
      </x:c>
      <x:c r="D270" t="n">
        <x:f>COUNTIFS('Risk Data'!$C$4:$C$303,A270,'Risk Data'!$G$4:$G$303,"High")+COUNTIFS('Risk Data'!$C$4:$C$303,A270,'Risk Data'!$G$4:$G$303,"Critical")</x:f>
        <x:v>0</x:v>
      </x:c>
      <x:c r="E270" t="n">
        <x:v>1</x:v>
      </x:c>
    </x:row>
    <x:row r="271">
      <x:c r="B271" t="n">
        <x:f>COUNTIF('Risk Data'!$C$4:$C$303,A271)</x:f>
        <x:v>0</x:v>
      </x:c>
      <x:c r="C271" t="n">
        <x:f>IFERROR(SUMIF('Risk Data'!$C$4:$C$303,A271,'Risk Data'!$F$4:$F$303)/B271,0)</x:f>
        <x:v>0</x:v>
      </x:c>
      <x:c r="D271" t="n">
        <x:f>COUNTIFS('Risk Data'!$C$4:$C$303,A271,'Risk Data'!$G$4:$G$303,"High")+COUNTIFS('Risk Data'!$C$4:$C$303,A271,'Risk Data'!$G$4:$G$303,"Critical")</x:f>
        <x:v>0</x:v>
      </x:c>
      <x:c r="E271" t="n">
        <x:v>1</x:v>
      </x:c>
    </x:row>
    <x:row r="272">
      <x:c r="B272" t="n">
        <x:f>COUNTIF('Risk Data'!$C$4:$C$303,A272)</x:f>
        <x:v>0</x:v>
      </x:c>
      <x:c r="C272" t="n">
        <x:f>IFERROR(SUMIF('Risk Data'!$C$4:$C$303,A272,'Risk Data'!$F$4:$F$303)/B272,0)</x:f>
        <x:v>0</x:v>
      </x:c>
      <x:c r="D272" t="n">
        <x:f>COUNTIFS('Risk Data'!$C$4:$C$303,A272,'Risk Data'!$G$4:$G$303,"High")+COUNTIFS('Risk Data'!$C$4:$C$303,A272,'Risk Data'!$G$4:$G$303,"Critical")</x:f>
        <x:v>0</x:v>
      </x:c>
      <x:c r="E272" t="n">
        <x:v>1</x:v>
      </x:c>
    </x:row>
    <x:row r="273">
      <x:c r="B273" t="n">
        <x:f>COUNTIF('Risk Data'!$C$4:$C$303,A273)</x:f>
        <x:v>0</x:v>
      </x:c>
      <x:c r="C273" t="n">
        <x:f>IFERROR(SUMIF('Risk Data'!$C$4:$C$303,A273,'Risk Data'!$F$4:$F$303)/B273,0)</x:f>
        <x:v>0</x:v>
      </x:c>
      <x:c r="D273" t="n">
        <x:f>COUNTIFS('Risk Data'!$C$4:$C$303,A273,'Risk Data'!$G$4:$G$303,"High")+COUNTIFS('Risk Data'!$C$4:$C$303,A273,'Risk Data'!$G$4:$G$303,"Critical")</x:f>
        <x:v>0</x:v>
      </x:c>
      <x:c r="E273" t="n">
        <x:v>1</x:v>
      </x:c>
    </x:row>
    <x:row r="274">
      <x:c r="B274" t="n">
        <x:f>COUNTIF('Risk Data'!$C$4:$C$303,A274)</x:f>
        <x:v>0</x:v>
      </x:c>
      <x:c r="C274" t="n">
        <x:f>IFERROR(SUMIF('Risk Data'!$C$4:$C$303,A274,'Risk Data'!$F$4:$F$303)/B274,0)</x:f>
        <x:v>0</x:v>
      </x:c>
      <x:c r="D274" t="n">
        <x:f>COUNTIFS('Risk Data'!$C$4:$C$303,A274,'Risk Data'!$G$4:$G$303,"High")+COUNTIFS('Risk Data'!$C$4:$C$303,A274,'Risk Data'!$G$4:$G$303,"Critical")</x:f>
        <x:v>0</x:v>
      </x:c>
      <x:c r="E274" t="n">
        <x:v>1</x:v>
      </x:c>
    </x:row>
    <x:row r="275">
      <x:c r="B275" t="n">
        <x:f>COUNTIF('Risk Data'!$C$4:$C$303,A275)</x:f>
        <x:v>0</x:v>
      </x:c>
      <x:c r="C275" t="n">
        <x:f>IFERROR(SUMIF('Risk Data'!$C$4:$C$303,A275,'Risk Data'!$F$4:$F$303)/B275,0)</x:f>
        <x:v>0</x:v>
      </x:c>
      <x:c r="D275" t="n">
        <x:f>COUNTIFS('Risk Data'!$C$4:$C$303,A275,'Risk Data'!$G$4:$G$303,"High")+COUNTIFS('Risk Data'!$C$4:$C$303,A275,'Risk Data'!$G$4:$G$303,"Critical")</x:f>
        <x:v>0</x:v>
      </x:c>
      <x:c r="E275" t="n">
        <x:v>1</x:v>
      </x:c>
    </x:row>
    <x:row r="276">
      <x:c r="B276" t="n">
        <x:f>COUNTIF('Risk Data'!$C$4:$C$303,A276)</x:f>
        <x:v>0</x:v>
      </x:c>
      <x:c r="C276" t="n">
        <x:f>IFERROR(SUMIF('Risk Data'!$C$4:$C$303,A276,'Risk Data'!$F$4:$F$303)/B276,0)</x:f>
        <x:v>0</x:v>
      </x:c>
      <x:c r="D276" t="n">
        <x:f>COUNTIFS('Risk Data'!$C$4:$C$303,A276,'Risk Data'!$G$4:$G$303,"High")+COUNTIFS('Risk Data'!$C$4:$C$303,A276,'Risk Data'!$G$4:$G$303,"Critical")</x:f>
        <x:v>0</x:v>
      </x:c>
      <x:c r="E276" t="n">
        <x:v>1</x:v>
      </x:c>
    </x:row>
    <x:row r="277">
      <x:c r="B277" t="n">
        <x:f>COUNTIF('Risk Data'!$C$4:$C$303,A277)</x:f>
        <x:v>0</x:v>
      </x:c>
      <x:c r="C277" t="n">
        <x:f>IFERROR(SUMIF('Risk Data'!$C$4:$C$303,A277,'Risk Data'!$F$4:$F$303)/B277,0)</x:f>
        <x:v>0</x:v>
      </x:c>
      <x:c r="D277" t="n">
        <x:f>COUNTIFS('Risk Data'!$C$4:$C$303,A277,'Risk Data'!$G$4:$G$303,"High")+COUNTIFS('Risk Data'!$C$4:$C$303,A277,'Risk Data'!$G$4:$G$303,"Critical")</x:f>
        <x:v>0</x:v>
      </x:c>
      <x:c r="E277" t="n">
        <x:v>1</x:v>
      </x:c>
    </x:row>
    <x:row r="278">
      <x:c r="B278" t="n">
        <x:f>COUNTIF('Risk Data'!$C$4:$C$303,A278)</x:f>
        <x:v>0</x:v>
      </x:c>
      <x:c r="C278" t="n">
        <x:f>IFERROR(SUMIF('Risk Data'!$C$4:$C$303,A278,'Risk Data'!$F$4:$F$303)/B278,0)</x:f>
        <x:v>0</x:v>
      </x:c>
      <x:c r="D278" t="n">
        <x:f>COUNTIFS('Risk Data'!$C$4:$C$303,A278,'Risk Data'!$G$4:$G$303,"High")+COUNTIFS('Risk Data'!$C$4:$C$303,A278,'Risk Data'!$G$4:$G$303,"Critical")</x:f>
        <x:v>0</x:v>
      </x:c>
      <x:c r="E278" t="n">
        <x:v>1</x:v>
      </x:c>
    </x:row>
    <x:row r="279">
      <x:c r="B279" t="n">
        <x:f>COUNTIF('Risk Data'!$C$4:$C$303,A279)</x:f>
        <x:v>0</x:v>
      </x:c>
      <x:c r="C279" t="n">
        <x:f>IFERROR(SUMIF('Risk Data'!$C$4:$C$303,A279,'Risk Data'!$F$4:$F$303)/B279,0)</x:f>
        <x:v>0</x:v>
      </x:c>
      <x:c r="D279" t="n">
        <x:f>COUNTIFS('Risk Data'!$C$4:$C$303,A279,'Risk Data'!$G$4:$G$303,"High")+COUNTIFS('Risk Data'!$C$4:$C$303,A279,'Risk Data'!$G$4:$G$303,"Critical")</x:f>
        <x:v>0</x:v>
      </x:c>
      <x:c r="E279" t="n">
        <x:v>1</x:v>
      </x:c>
    </x:row>
    <x:row r="280">
      <x:c r="B280" t="n">
        <x:f>COUNTIF('Risk Data'!$C$4:$C$303,A280)</x:f>
        <x:v>0</x:v>
      </x:c>
      <x:c r="C280" t="n">
        <x:f>IFERROR(SUMIF('Risk Data'!$C$4:$C$303,A280,'Risk Data'!$F$4:$F$303)/B280,0)</x:f>
        <x:v>0</x:v>
      </x:c>
      <x:c r="D280" t="n">
        <x:f>COUNTIFS('Risk Data'!$C$4:$C$303,A280,'Risk Data'!$G$4:$G$303,"High")+COUNTIFS('Risk Data'!$C$4:$C$303,A280,'Risk Data'!$G$4:$G$303,"Critical")</x:f>
        <x:v>0</x:v>
      </x:c>
      <x:c r="E280" t="n">
        <x:v>1</x:v>
      </x:c>
    </x:row>
    <x:row r="281">
      <x:c r="B281" t="n">
        <x:f>COUNTIF('Risk Data'!$C$4:$C$303,A281)</x:f>
        <x:v>0</x:v>
      </x:c>
      <x:c r="C281" t="n">
        <x:f>IFERROR(SUMIF('Risk Data'!$C$4:$C$303,A281,'Risk Data'!$F$4:$F$303)/B281,0)</x:f>
        <x:v>0</x:v>
      </x:c>
      <x:c r="D281" t="n">
        <x:f>COUNTIFS('Risk Data'!$C$4:$C$303,A281,'Risk Data'!$G$4:$G$303,"High")+COUNTIFS('Risk Data'!$C$4:$C$303,A281,'Risk Data'!$G$4:$G$303,"Critical")</x:f>
        <x:v>0</x:v>
      </x:c>
      <x:c r="E281" t="n">
        <x:v>1</x:v>
      </x:c>
    </x:row>
    <x:row r="282">
      <x:c r="B282" t="n">
        <x:f>COUNTIF('Risk Data'!$C$4:$C$303,A282)</x:f>
        <x:v>0</x:v>
      </x:c>
      <x:c r="C282" t="n">
        <x:f>IFERROR(SUMIF('Risk Data'!$C$4:$C$303,A282,'Risk Data'!$F$4:$F$303)/B282,0)</x:f>
        <x:v>0</x:v>
      </x:c>
      <x:c r="D282" t="n">
        <x:f>COUNTIFS('Risk Data'!$C$4:$C$303,A282,'Risk Data'!$G$4:$G$303,"High")+COUNTIFS('Risk Data'!$C$4:$C$303,A282,'Risk Data'!$G$4:$G$303,"Critical")</x:f>
        <x:v>0</x:v>
      </x:c>
      <x:c r="E282" t="n">
        <x:v>1</x:v>
      </x:c>
    </x:row>
    <x:row r="283">
      <x:c r="B283" t="n">
        <x:f>COUNTIF('Risk Data'!$C$4:$C$303,A283)</x:f>
        <x:v>0</x:v>
      </x:c>
      <x:c r="C283" t="n">
        <x:f>IFERROR(SUMIF('Risk Data'!$C$4:$C$303,A283,'Risk Data'!$F$4:$F$303)/B283,0)</x:f>
        <x:v>0</x:v>
      </x:c>
      <x:c r="D283" t="n">
        <x:f>COUNTIFS('Risk Data'!$C$4:$C$303,A283,'Risk Data'!$G$4:$G$303,"High")+COUNTIFS('Risk Data'!$C$4:$C$303,A283,'Risk Data'!$G$4:$G$303,"Critical")</x:f>
        <x:v>0</x:v>
      </x:c>
      <x:c r="E283" t="n">
        <x:v>1</x:v>
      </x:c>
    </x:row>
    <x:row r="284">
      <x:c r="B284" t="n">
        <x:f>COUNTIF('Risk Data'!$C$4:$C$303,A284)</x:f>
        <x:v>0</x:v>
      </x:c>
      <x:c r="C284" t="n">
        <x:f>IFERROR(SUMIF('Risk Data'!$C$4:$C$303,A284,'Risk Data'!$F$4:$F$303)/B284,0)</x:f>
        <x:v>0</x:v>
      </x:c>
      <x:c r="D284" t="n">
        <x:f>COUNTIFS('Risk Data'!$C$4:$C$303,A284,'Risk Data'!$G$4:$G$303,"High")+COUNTIFS('Risk Data'!$C$4:$C$303,A284,'Risk Data'!$G$4:$G$303,"Critical")</x:f>
        <x:v>0</x:v>
      </x:c>
      <x:c r="E284" t="n">
        <x:v>1</x:v>
      </x:c>
    </x:row>
    <x:row r="285">
      <x:c r="B285" t="n">
        <x:f>COUNTIF('Risk Data'!$C$4:$C$303,A285)</x:f>
        <x:v>0</x:v>
      </x:c>
      <x:c r="C285" t="n">
        <x:f>IFERROR(SUMIF('Risk Data'!$C$4:$C$303,A285,'Risk Data'!$F$4:$F$303)/B285,0)</x:f>
        <x:v>0</x:v>
      </x:c>
      <x:c r="D285" t="n">
        <x:f>COUNTIFS('Risk Data'!$C$4:$C$303,A285,'Risk Data'!$G$4:$G$303,"High")+COUNTIFS('Risk Data'!$C$4:$C$303,A285,'Risk Data'!$G$4:$G$303,"Critical")</x:f>
        <x:v>0</x:v>
      </x:c>
      <x:c r="E285" t="n">
        <x:v>1</x:v>
      </x:c>
    </x:row>
    <x:row r="286">
      <x:c r="B286" t="n">
        <x:f>COUNTIF('Risk Data'!$C$4:$C$303,A286)</x:f>
        <x:v>0</x:v>
      </x:c>
      <x:c r="C286" t="n">
        <x:f>IFERROR(SUMIF('Risk Data'!$C$4:$C$303,A286,'Risk Data'!$F$4:$F$303)/B286,0)</x:f>
        <x:v>0</x:v>
      </x:c>
      <x:c r="D286" t="n">
        <x:f>COUNTIFS('Risk Data'!$C$4:$C$303,A286,'Risk Data'!$G$4:$G$303,"High")+COUNTIFS('Risk Data'!$C$4:$C$303,A286,'Risk Data'!$G$4:$G$303,"Critical")</x:f>
        <x:v>0</x:v>
      </x:c>
      <x:c r="E286" t="n">
        <x:v>1</x:v>
      </x:c>
    </x:row>
    <x:row r="287">
      <x:c r="B287" t="n">
        <x:f>COUNTIF('Risk Data'!$C$4:$C$303,A287)</x:f>
        <x:v>0</x:v>
      </x:c>
      <x:c r="C287" t="n">
        <x:f>IFERROR(SUMIF('Risk Data'!$C$4:$C$303,A287,'Risk Data'!$F$4:$F$303)/B287,0)</x:f>
        <x:v>0</x:v>
      </x:c>
      <x:c r="D287" t="n">
        <x:f>COUNTIFS('Risk Data'!$C$4:$C$303,A287,'Risk Data'!$G$4:$G$303,"High")+COUNTIFS('Risk Data'!$C$4:$C$303,A287,'Risk Data'!$G$4:$G$303,"Critical")</x:f>
        <x:v>0</x:v>
      </x:c>
      <x:c r="E287" t="n">
        <x:v>1</x:v>
      </x:c>
    </x:row>
    <x:row r="288">
      <x:c r="B288" t="n">
        <x:f>COUNTIF('Risk Data'!$C$4:$C$303,A288)</x:f>
        <x:v>0</x:v>
      </x:c>
      <x:c r="C288" t="n">
        <x:f>IFERROR(SUMIF('Risk Data'!$C$4:$C$303,A288,'Risk Data'!$F$4:$F$303)/B288,0)</x:f>
        <x:v>0</x:v>
      </x:c>
      <x:c r="D288" t="n">
        <x:f>COUNTIFS('Risk Data'!$C$4:$C$303,A288,'Risk Data'!$G$4:$G$303,"High")+COUNTIFS('Risk Data'!$C$4:$C$303,A288,'Risk Data'!$G$4:$G$303,"Critical")</x:f>
        <x:v>0</x:v>
      </x:c>
      <x:c r="E288" t="n">
        <x:v>1</x:v>
      </x:c>
    </x:row>
    <x:row r="289">
      <x:c r="B289" t="n">
        <x:f>COUNTIF('Risk Data'!$C$4:$C$303,A289)</x:f>
        <x:v>0</x:v>
      </x:c>
      <x:c r="C289" t="n">
        <x:f>IFERROR(SUMIF('Risk Data'!$C$4:$C$303,A289,'Risk Data'!$F$4:$F$303)/B289,0)</x:f>
        <x:v>0</x:v>
      </x:c>
      <x:c r="D289" t="n">
        <x:f>COUNTIFS('Risk Data'!$C$4:$C$303,A289,'Risk Data'!$G$4:$G$303,"High")+COUNTIFS('Risk Data'!$C$4:$C$303,A289,'Risk Data'!$G$4:$G$303,"Critical")</x:f>
        <x:v>0</x:v>
      </x:c>
      <x:c r="E289" t="n">
        <x:v>1</x:v>
      </x:c>
    </x:row>
    <x:row r="290">
      <x:c r="B290" t="n">
        <x:f>COUNTIF('Risk Data'!$C$4:$C$303,A290)</x:f>
        <x:v>0</x:v>
      </x:c>
      <x:c r="C290" t="n">
        <x:f>IFERROR(SUMIF('Risk Data'!$C$4:$C$303,A290,'Risk Data'!$F$4:$F$303)/B290,0)</x:f>
        <x:v>0</x:v>
      </x:c>
      <x:c r="D290" t="n">
        <x:f>COUNTIFS('Risk Data'!$C$4:$C$303,A290,'Risk Data'!$G$4:$G$303,"High")+COUNTIFS('Risk Data'!$C$4:$C$303,A290,'Risk Data'!$G$4:$G$303,"Critical")</x:f>
        <x:v>0</x:v>
      </x:c>
      <x:c r="E290" t="n">
        <x:v>1</x:v>
      </x:c>
    </x:row>
    <x:row r="291">
      <x:c r="B291" t="n">
        <x:f>COUNTIF('Risk Data'!$C$4:$C$303,A291)</x:f>
        <x:v>0</x:v>
      </x:c>
      <x:c r="C291" t="n">
        <x:f>IFERROR(SUMIF('Risk Data'!$C$4:$C$303,A291,'Risk Data'!$F$4:$F$303)/B291,0)</x:f>
        <x:v>0</x:v>
      </x:c>
      <x:c r="D291" t="n">
        <x:f>COUNTIFS('Risk Data'!$C$4:$C$303,A291,'Risk Data'!$G$4:$G$303,"High")+COUNTIFS('Risk Data'!$C$4:$C$303,A291,'Risk Data'!$G$4:$G$303,"Critical")</x:f>
        <x:v>0</x:v>
      </x:c>
      <x:c r="E291" t="n">
        <x:v>1</x:v>
      </x:c>
    </x:row>
    <x:row r="292">
      <x:c r="B292" t="n">
        <x:f>COUNTIF('Risk Data'!$C$4:$C$303,A292)</x:f>
        <x:v>0</x:v>
      </x:c>
      <x:c r="C292" t="n">
        <x:f>IFERROR(SUMIF('Risk Data'!$C$4:$C$303,A292,'Risk Data'!$F$4:$F$303)/B292,0)</x:f>
        <x:v>0</x:v>
      </x:c>
      <x:c r="D292" t="n">
        <x:f>COUNTIFS('Risk Data'!$C$4:$C$303,A292,'Risk Data'!$G$4:$G$303,"High")+COUNTIFS('Risk Data'!$C$4:$C$303,A292,'Risk Data'!$G$4:$G$303,"Critical")</x:f>
        <x:v>0</x:v>
      </x:c>
      <x:c r="E292" t="n">
        <x:v>1</x:v>
      </x:c>
    </x:row>
    <x:row r="293">
      <x:c r="B293" t="n">
        <x:f>COUNTIF('Risk Data'!$C$4:$C$303,A293)</x:f>
        <x:v>0</x:v>
      </x:c>
      <x:c r="C293" t="n">
        <x:f>IFERROR(SUMIF('Risk Data'!$C$4:$C$303,A293,'Risk Data'!$F$4:$F$303)/B293,0)</x:f>
        <x:v>0</x:v>
      </x:c>
      <x:c r="D293" t="n">
        <x:f>COUNTIFS('Risk Data'!$C$4:$C$303,A293,'Risk Data'!$G$4:$G$303,"High")+COUNTIFS('Risk Data'!$C$4:$C$303,A293,'Risk Data'!$G$4:$G$303,"Critical")</x:f>
        <x:v>0</x:v>
      </x:c>
      <x:c r="E293" t="n">
        <x:v>1</x:v>
      </x:c>
    </x:row>
    <x:row r="294">
      <x:c r="B294" t="n">
        <x:f>COUNTIF('Risk Data'!$C$4:$C$303,A294)</x:f>
        <x:v>0</x:v>
      </x:c>
      <x:c r="C294" t="n">
        <x:f>IFERROR(SUMIF('Risk Data'!$C$4:$C$303,A294,'Risk Data'!$F$4:$F$303)/B294,0)</x:f>
        <x:v>0</x:v>
      </x:c>
      <x:c r="D294" t="n">
        <x:f>COUNTIFS('Risk Data'!$C$4:$C$303,A294,'Risk Data'!$G$4:$G$303,"High")+COUNTIFS('Risk Data'!$C$4:$C$303,A294,'Risk Data'!$G$4:$G$303,"Critical")</x:f>
        <x:v>0</x:v>
      </x:c>
      <x:c r="E294" t="n">
        <x:v>1</x:v>
      </x:c>
    </x:row>
    <x:row r="295">
      <x:c r="B295" t="n">
        <x:f>COUNTIF('Risk Data'!$C$4:$C$303,A295)</x:f>
        <x:v>0</x:v>
      </x:c>
      <x:c r="C295" t="n">
        <x:f>IFERROR(SUMIF('Risk Data'!$C$4:$C$303,A295,'Risk Data'!$F$4:$F$303)/B295,0)</x:f>
        <x:v>0</x:v>
      </x:c>
      <x:c r="D295" t="n">
        <x:f>COUNTIFS('Risk Data'!$C$4:$C$303,A295,'Risk Data'!$G$4:$G$303,"High")+COUNTIFS('Risk Data'!$C$4:$C$303,A295,'Risk Data'!$G$4:$G$303,"Critical")</x:f>
        <x:v>0</x:v>
      </x:c>
      <x:c r="E295" t="n">
        <x:v>1</x:v>
      </x:c>
    </x:row>
    <x:row r="296">
      <x:c r="B296" t="n">
        <x:f>COUNTIF('Risk Data'!$C$4:$C$303,A296)</x:f>
        <x:v>0</x:v>
      </x:c>
      <x:c r="C296" t="n">
        <x:f>IFERROR(SUMIF('Risk Data'!$C$4:$C$303,A296,'Risk Data'!$F$4:$F$303)/B296,0)</x:f>
        <x:v>0</x:v>
      </x:c>
      <x:c r="D296" t="n">
        <x:f>COUNTIFS('Risk Data'!$C$4:$C$303,A296,'Risk Data'!$G$4:$G$303,"High")+COUNTIFS('Risk Data'!$C$4:$C$303,A296,'Risk Data'!$G$4:$G$303,"Critical")</x:f>
        <x:v>0</x:v>
      </x:c>
      <x:c r="E296" t="n">
        <x:v>1</x:v>
      </x:c>
    </x:row>
    <x:row r="297">
      <x:c r="B297" t="n">
        <x:f>COUNTIF('Risk Data'!$C$4:$C$303,A297)</x:f>
        <x:v>0</x:v>
      </x:c>
      <x:c r="C297" t="n">
        <x:f>IFERROR(SUMIF('Risk Data'!$C$4:$C$303,A297,'Risk Data'!$F$4:$F$303)/B297,0)</x:f>
        <x:v>0</x:v>
      </x:c>
      <x:c r="D297" t="n">
        <x:f>COUNTIFS('Risk Data'!$C$4:$C$303,A297,'Risk Data'!$G$4:$G$303,"High")+COUNTIFS('Risk Data'!$C$4:$C$303,A297,'Risk Data'!$G$4:$G$303,"Critical")</x:f>
        <x:v>0</x:v>
      </x:c>
      <x:c r="E297" t="n">
        <x:v>1</x:v>
      </x:c>
    </x:row>
    <x:row r="298">
      <x:c r="B298" t="n">
        <x:f>COUNTIF('Risk Data'!$C$4:$C$303,A298)</x:f>
        <x:v>0</x:v>
      </x:c>
      <x:c r="C298" t="n">
        <x:f>IFERROR(SUMIF('Risk Data'!$C$4:$C$303,A298,'Risk Data'!$F$4:$F$303)/B298,0)</x:f>
        <x:v>0</x:v>
      </x:c>
      <x:c r="D298" t="n">
        <x:f>COUNTIFS('Risk Data'!$C$4:$C$303,A298,'Risk Data'!$G$4:$G$303,"High")+COUNTIFS('Risk Data'!$C$4:$C$303,A298,'Risk Data'!$G$4:$G$303,"Critical")</x:f>
        <x:v>0</x:v>
      </x:c>
      <x:c r="E298" t="n">
        <x:v>1</x:v>
      </x:c>
    </x:row>
    <x:row r="299">
      <x:c r="B299" t="n">
        <x:f>COUNTIF('Risk Data'!$C$4:$C$303,A299)</x:f>
        <x:v>0</x:v>
      </x:c>
      <x:c r="C299" t="n">
        <x:f>IFERROR(SUMIF('Risk Data'!$C$4:$C$303,A299,'Risk Data'!$F$4:$F$303)/B299,0)</x:f>
        <x:v>0</x:v>
      </x:c>
      <x:c r="D299" t="n">
        <x:f>COUNTIFS('Risk Data'!$C$4:$C$303,A299,'Risk Data'!$G$4:$G$303,"High")+COUNTIFS('Risk Data'!$C$4:$C$303,A299,'Risk Data'!$G$4:$G$303,"Critical")</x:f>
        <x:v>0</x:v>
      </x:c>
      <x:c r="E299" t="n">
        <x:v>1</x:v>
      </x:c>
    </x:row>
    <x:row r="300">
      <x:c r="B300" t="n">
        <x:f>COUNTIF('Risk Data'!$C$4:$C$303,A300)</x:f>
        <x:v>0</x:v>
      </x:c>
      <x:c r="C300" t="n">
        <x:f>IFERROR(SUMIF('Risk Data'!$C$4:$C$303,A300,'Risk Data'!$F$4:$F$303)/B300,0)</x:f>
        <x:v>0</x:v>
      </x:c>
      <x:c r="D300" t="n">
        <x:f>COUNTIFS('Risk Data'!$C$4:$C$303,A300,'Risk Data'!$G$4:$G$303,"High")+COUNTIFS('Risk Data'!$C$4:$C$303,A300,'Risk Data'!$G$4:$G$303,"Critical")</x:f>
        <x:v>0</x:v>
      </x:c>
      <x:c r="E300" t="n">
        <x:v>1</x:v>
      </x:c>
    </x:row>
    <x:row r="301">
      <x:c r="B301" t="n">
        <x:f>COUNTIF('Risk Data'!$C$4:$C$303,A301)</x:f>
        <x:v>0</x:v>
      </x:c>
      <x:c r="C301" t="n">
        <x:f>IFERROR(SUMIF('Risk Data'!$C$4:$C$303,A301,'Risk Data'!$F$4:$F$303)/B301,0)</x:f>
        <x:v>0</x:v>
      </x:c>
      <x:c r="D301" t="n">
        <x:f>COUNTIFS('Risk Data'!$C$4:$C$303,A301,'Risk Data'!$G$4:$G$303,"High")+COUNTIFS('Risk Data'!$C$4:$C$303,A301,'Risk Data'!$G$4:$G$303,"Critical")</x:f>
        <x:v>0</x:v>
      </x:c>
      <x:c r="E301" t="n">
        <x:v>1</x:v>
      </x:c>
    </x:row>
    <x:row r="302">
      <x:c r="B302" t="n">
        <x:f>COUNTIF('Risk Data'!$C$4:$C$303,A302)</x:f>
        <x:v>0</x:v>
      </x:c>
      <x:c r="C302" t="n">
        <x:f>IFERROR(SUMIF('Risk Data'!$C$4:$C$303,A302,'Risk Data'!$F$4:$F$303)/B302,0)</x:f>
        <x:v>0</x:v>
      </x:c>
      <x:c r="D302" t="n">
        <x:f>COUNTIFS('Risk Data'!$C$4:$C$303,A302,'Risk Data'!$G$4:$G$303,"High")+COUNTIFS('Risk Data'!$C$4:$C$303,A302,'Risk Data'!$G$4:$G$303,"Critical")</x:f>
        <x:v>0</x:v>
      </x:c>
      <x:c r="E302" t="n">
        <x:v>1</x:v>
      </x:c>
    </x:row>
    <x:row r="303">
      <x:c r="B303" t="n">
        <x:f>COUNTIF('Risk Data'!$C$4:$C$303,A303)</x:f>
        <x:v>0</x:v>
      </x:c>
      <x:c r="C303" t="n">
        <x:f>IFERROR(SUMIF('Risk Data'!$C$4:$C$303,A303,'Risk Data'!$F$4:$F$303)/B303,0)</x:f>
        <x:v>0</x:v>
      </x:c>
      <x:c r="D303" t="n">
        <x:f>COUNTIFS('Risk Data'!$C$4:$C$303,A303,'Risk Data'!$G$4:$G$303,"High")+COUNTIFS('Risk Data'!$C$4:$C$303,A303,'Risk Data'!$G$4:$G$303,"Critical")</x:f>
        <x:v>0</x:v>
      </x:c>
      <x:c r="E303" t="n">
        <x:v>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5854d4848ce4d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</x:cols>
  <x:sheetData>
    <x:row r="1">
      <x:c r="A1" s="4" t="str">
        <x:v>Executive Actions</x:v>
      </x:c>
      <x:c r="B1" s="4"/>
      <x:c r="C1" s="4"/>
      <x:c r="D1" s="4"/>
      <x:c r="E1" s="4"/>
      <x:c r="F1" s="4"/>
      <x:c r="G1" s="4"/>
    </x:row>
    <x:row r="3">
      <x:c r="A3" s="12" t="str">
        <x:v>Action ID</x:v>
      </x:c>
      <x:c r="B3" s="12" t="str">
        <x:v>Related Risk</x:v>
      </x:c>
      <x:c r="C3" s="12" t="str">
        <x:v>Executive Decision Needed</x:v>
      </x:c>
      <x:c r="D3" s="12" t="str">
        <x:v>Recommended Decision</x:v>
      </x:c>
      <x:c r="E3" s="12" t="str">
        <x:v>Owner</x:v>
      </x:c>
      <x:c r="F3" s="12" t="str">
        <x:v>Decision Date</x:v>
      </x:c>
      <x:c r="G3" s="12" t="str">
        <x:v>Status</x:v>
      </x:c>
    </x:row>
    <x:row r="4">
      <x:c r="A4" s="20" t="str">
        <x:v>EXA-001</x:v>
      </x:c>
      <x:c r="B4" s="20" t="str">
        <x:v>HX-001</x:v>
      </x:c>
      <x:c r="C4" s="20" t="str">
        <x:v>Approve accelerated MFA funding</x:v>
      </x:c>
      <x:c r="D4" s="20" t="str">
        <x:v>Approve</x:v>
      </x:c>
      <x:c r="E4" s="20" t="str">
        <x:v>CIO</x:v>
      </x:c>
      <x:c r="F4" s="22" t="n">
        <x:v>46235</x:v>
      </x:c>
      <x:c r="G4" s="20" t="str">
        <x:v>Pending</x:v>
      </x:c>
    </x:row>
    <x:row r="5">
      <x:c r="A5" s="20" t="str">
        <x:v>EXA-002</x:v>
      </x:c>
      <x:c r="B5" s="20" t="str">
        <x:v>HX-006</x:v>
      </x:c>
      <x:c r="C5" s="20" t="str">
        <x:v>Approve legacy system replacement milestone</x:v>
      </x:c>
      <x:c r="D5" s="20" t="str">
        <x:v>Approve phased replacement</x:v>
      </x:c>
      <x:c r="E5" s="20" t="str">
        <x:v>CFO</x:v>
      </x:c>
      <x:c r="F5" s="22" t="n">
        <x:v>46249</x:v>
      </x:c>
      <x:c r="G5" s="20" t="str">
        <x:v>Pending</x:v>
      </x:c>
    </x:row>
    <x:row r="6">
      <x:c r="A6" s="20"/>
      <x:c r="B6" s="20"/>
      <x:c r="C6" s="20"/>
      <x:c r="D6" s="20"/>
      <x:c r="E6" s="20"/>
      <x:c r="F6" s="22"/>
      <x:c r="G6" s="20"/>
    </x:row>
    <x:row r="7">
      <x:c r="A7" s="20"/>
      <x:c r="B7" s="20"/>
      <x:c r="C7" s="20"/>
      <x:c r="D7" s="20"/>
      <x:c r="E7" s="20"/>
      <x:c r="F7" s="22"/>
      <x:c r="G7" s="20"/>
    </x:row>
    <x:row r="8">
      <x:c r="A8" s="20"/>
      <x:c r="B8" s="20"/>
      <x:c r="C8" s="20"/>
      <x:c r="D8" s="20"/>
      <x:c r="E8" s="20"/>
      <x:c r="F8" s="22"/>
      <x:c r="G8" s="20"/>
    </x:row>
    <x:row r="9">
      <x:c r="A9" s="20"/>
      <x:c r="B9" s="20"/>
      <x:c r="C9" s="20"/>
      <x:c r="D9" s="20"/>
      <x:c r="E9" s="20"/>
      <x:c r="F9" s="22"/>
      <x:c r="G9" s="20"/>
    </x:row>
    <x:row r="10">
      <x:c r="A10" s="20"/>
      <x:c r="B10" s="20"/>
      <x:c r="C10" s="20"/>
      <x:c r="D10" s="20"/>
      <x:c r="E10" s="20"/>
      <x:c r="F10" s="22"/>
      <x:c r="G10" s="20"/>
    </x:row>
    <x:row r="11">
      <x:c r="A11" s="20"/>
      <x:c r="B11" s="20"/>
      <x:c r="C11" s="20"/>
      <x:c r="D11" s="20"/>
      <x:c r="E11" s="20"/>
      <x:c r="F11" s="22"/>
      <x:c r="G11" s="20"/>
    </x:row>
    <x:row r="12">
      <x:c r="A12" s="20"/>
      <x:c r="B12" s="20"/>
      <x:c r="C12" s="20"/>
      <x:c r="D12" s="20"/>
      <x:c r="E12" s="20"/>
      <x:c r="F12" s="22"/>
      <x:c r="G12" s="20"/>
    </x:row>
    <x:row r="13">
      <x:c r="A13" s="20"/>
      <x:c r="B13" s="20"/>
      <x:c r="C13" s="20"/>
      <x:c r="D13" s="20"/>
      <x:c r="E13" s="20"/>
      <x:c r="F13" s="22"/>
      <x:c r="G13" s="20"/>
    </x:row>
    <x:row r="14">
      <x:c r="A14" s="20"/>
      <x:c r="B14" s="20"/>
      <x:c r="C14" s="20"/>
      <x:c r="D14" s="20"/>
      <x:c r="E14" s="20"/>
      <x:c r="F14" s="22"/>
      <x:c r="G14" s="20"/>
    </x:row>
    <x:row r="15">
      <x:c r="A15" s="20"/>
      <x:c r="B15" s="20"/>
      <x:c r="C15" s="20"/>
      <x:c r="D15" s="20"/>
      <x:c r="E15" s="20"/>
      <x:c r="F15" s="22"/>
      <x:c r="G15" s="20"/>
    </x:row>
    <x:row r="16">
      <x:c r="A16" s="20"/>
      <x:c r="B16" s="20"/>
      <x:c r="C16" s="20"/>
      <x:c r="D16" s="20"/>
      <x:c r="E16" s="20"/>
      <x:c r="F16" s="22"/>
      <x:c r="G16" s="20"/>
    </x:row>
    <x:row r="17">
      <x:c r="A17" s="20"/>
      <x:c r="B17" s="20"/>
      <x:c r="C17" s="20"/>
      <x:c r="D17" s="20"/>
      <x:c r="E17" s="20"/>
      <x:c r="F17" s="22"/>
      <x:c r="G17" s="20"/>
    </x:row>
    <x:row r="18">
      <x:c r="A18" s="20"/>
      <x:c r="B18" s="20"/>
      <x:c r="C18" s="20"/>
      <x:c r="D18" s="20"/>
      <x:c r="E18" s="20"/>
      <x:c r="F18" s="22"/>
      <x:c r="G18" s="20"/>
    </x:row>
    <x:row r="19">
      <x:c r="A19" s="20"/>
      <x:c r="B19" s="20"/>
      <x:c r="C19" s="20"/>
      <x:c r="D19" s="20"/>
      <x:c r="E19" s="20"/>
      <x:c r="F19" s="22"/>
      <x:c r="G19" s="20"/>
    </x:row>
    <x:row r="20">
      <x:c r="A20" s="20"/>
      <x:c r="B20" s="20"/>
      <x:c r="C20" s="20"/>
      <x:c r="D20" s="20"/>
      <x:c r="E20" s="20"/>
      <x:c r="F20" s="22"/>
      <x:c r="G20" s="20"/>
    </x:row>
    <x:row r="21">
      <x:c r="F21" s="18"/>
    </x:row>
    <x:row r="22">
      <x:c r="F22" s="18"/>
    </x:row>
    <x:row r="23">
      <x:c r="F23" s="18"/>
    </x:row>
    <x:row r="24">
      <x:c r="F24" s="18"/>
    </x:row>
    <x:row r="25">
      <x:c r="F25" s="18"/>
    </x:row>
    <x:row r="26">
      <x:c r="F26" s="18"/>
    </x:row>
    <x:row r="27">
      <x:c r="F27" s="18"/>
    </x:row>
    <x:row r="28">
      <x:c r="F28" s="18"/>
    </x:row>
    <x:row r="29">
      <x:c r="F29" s="18"/>
    </x:row>
    <x:row r="30">
      <x:c r="F30" s="18"/>
    </x:row>
    <x:row r="31">
      <x:c r="F31" s="18"/>
    </x:row>
    <x:row r="32">
      <x:c r="F32" s="18"/>
    </x:row>
    <x:row r="33">
      <x:c r="F33" s="18"/>
    </x:row>
    <x:row r="34">
      <x:c r="F34" s="18"/>
    </x:row>
    <x:row r="35">
      <x:c r="F35" s="18"/>
    </x:row>
    <x:row r="36">
      <x:c r="F36" s="18"/>
    </x:row>
    <x:row r="37">
      <x:c r="F37" s="18"/>
    </x:row>
    <x:row r="38">
      <x:c r="F38" s="18"/>
    </x:row>
    <x:row r="39">
      <x:c r="F39" s="18"/>
    </x:row>
    <x:row r="40">
      <x:c r="F40" s="18"/>
    </x:row>
    <x:row r="41">
      <x:c r="F41" s="18"/>
    </x:row>
    <x:row r="42">
      <x:c r="F42" s="18"/>
    </x:row>
    <x:row r="43">
      <x:c r="F43" s="18"/>
    </x:row>
    <x:row r="44">
      <x:c r="F44" s="18"/>
    </x:row>
    <x:row r="45">
      <x:c r="F45" s="18"/>
    </x:row>
    <x:row r="46">
      <x:c r="F46" s="18"/>
    </x:row>
    <x:row r="47">
      <x:c r="F47" s="18"/>
    </x:row>
    <x:row r="48">
      <x:c r="F48" s="18"/>
    </x:row>
    <x:row r="49">
      <x:c r="F49" s="18"/>
    </x:row>
    <x:row r="50">
      <x:c r="F50" s="18"/>
    </x:row>
    <x:row r="51">
      <x:c r="F51" s="18"/>
    </x:row>
    <x:row r="52">
      <x:c r="F52" s="18"/>
    </x:row>
    <x:row r="53">
      <x:c r="F53" s="18"/>
    </x:row>
    <x:row r="54">
      <x:c r="F54" s="18"/>
    </x:row>
    <x:row r="55">
      <x:c r="F55" s="18"/>
    </x:row>
    <x:row r="56">
      <x:c r="F56" s="18"/>
    </x:row>
    <x:row r="57">
      <x:c r="F57" s="18"/>
    </x:row>
    <x:row r="58">
      <x:c r="F58" s="18"/>
    </x:row>
    <x:row r="59">
      <x:c r="F59" s="18"/>
    </x:row>
    <x:row r="60">
      <x:c r="F60" s="18"/>
    </x:row>
    <x:row r="61">
      <x:c r="F61" s="18"/>
    </x:row>
    <x:row r="62">
      <x:c r="F62" s="18"/>
    </x:row>
    <x:row r="63">
      <x:c r="F63" s="18"/>
    </x:row>
    <x:row r="64">
      <x:c r="F64" s="18"/>
    </x:row>
    <x:row r="65">
      <x:c r="F65" s="18"/>
    </x:row>
    <x:row r="66">
      <x:c r="F66" s="18"/>
    </x:row>
    <x:row r="67">
      <x:c r="F67" s="18"/>
    </x:row>
    <x:row r="68">
      <x:c r="F68" s="18"/>
    </x:row>
    <x:row r="69">
      <x:c r="F69" s="18"/>
    </x:row>
    <x:row r="70">
      <x:c r="F70" s="18"/>
    </x:row>
    <x:row r="71">
      <x:c r="F71" s="18"/>
    </x:row>
    <x:row r="72">
      <x:c r="F72" s="18"/>
    </x:row>
    <x:row r="73">
      <x:c r="F73" s="18"/>
    </x:row>
    <x:row r="74">
      <x:c r="F74" s="18"/>
    </x:row>
    <x:row r="75">
      <x:c r="F75" s="18"/>
    </x:row>
    <x:row r="76">
      <x:c r="F76" s="18"/>
    </x:row>
    <x:row r="77">
      <x:c r="F77" s="18"/>
    </x:row>
    <x:row r="78">
      <x:c r="F78" s="18"/>
    </x:row>
    <x:row r="79">
      <x:c r="F79" s="18"/>
    </x:row>
    <x:row r="80">
      <x:c r="F80" s="18"/>
    </x:row>
    <x:row r="81">
      <x:c r="F81" s="18"/>
    </x:row>
    <x:row r="82">
      <x:c r="F82" s="18"/>
    </x:row>
    <x:row r="83">
      <x:c r="F83" s="18"/>
    </x:row>
    <x:row r="84">
      <x:c r="F84" s="18"/>
    </x:row>
    <x:row r="85">
      <x:c r="F85" s="18"/>
    </x:row>
    <x:row r="86">
      <x:c r="F86" s="18"/>
    </x:row>
    <x:row r="87">
      <x:c r="F87" s="18"/>
    </x:row>
    <x:row r="88">
      <x:c r="F88" s="18"/>
    </x:row>
    <x:row r="89">
      <x:c r="F89" s="18"/>
    </x:row>
    <x:row r="90">
      <x:c r="F90" s="18"/>
    </x:row>
    <x:row r="91">
      <x:c r="F91" s="18"/>
    </x:row>
    <x:row r="92">
      <x:c r="F92" s="18"/>
    </x:row>
    <x:row r="93">
      <x:c r="F93" s="18"/>
    </x:row>
    <x:row r="94">
      <x:c r="F94" s="18"/>
    </x:row>
    <x:row r="95">
      <x:c r="F95" s="18"/>
    </x:row>
    <x:row r="96">
      <x:c r="F96" s="18"/>
    </x:row>
    <x:row r="97">
      <x:c r="F97" s="18"/>
    </x:row>
    <x:row r="98">
      <x:c r="F98" s="18"/>
    </x:row>
    <x:row r="99">
      <x:c r="F99" s="18"/>
    </x:row>
    <x:row r="100">
      <x:c r="F100" s="18"/>
    </x:row>
    <x:row r="101">
      <x:c r="F101" s="18"/>
    </x:row>
    <x:row r="102">
      <x:c r="F102" s="18"/>
    </x:row>
    <x:row r="103">
      <x:c r="F103" s="18"/>
    </x:row>
    <x:row r="104">
      <x:c r="F104" s="18"/>
    </x:row>
    <x:row r="105">
      <x:c r="F105" s="18"/>
    </x:row>
    <x:row r="106">
      <x:c r="F106" s="18"/>
    </x:row>
    <x:row r="107">
      <x:c r="F107" s="18"/>
    </x:row>
    <x:row r="108">
      <x:c r="F108" s="18"/>
    </x:row>
    <x:row r="109">
      <x:c r="F109" s="18"/>
    </x:row>
    <x:row r="110">
      <x:c r="F110" s="18"/>
    </x:row>
    <x:row r="111">
      <x:c r="F111" s="18"/>
    </x:row>
    <x:row r="112">
      <x:c r="F112" s="18"/>
    </x:row>
    <x:row r="113">
      <x:c r="F113" s="18"/>
    </x:row>
    <x:row r="114">
      <x:c r="F114" s="18"/>
    </x:row>
    <x:row r="115">
      <x:c r="F115" s="18"/>
    </x:row>
    <x:row r="116">
      <x:c r="F116" s="18"/>
    </x:row>
    <x:row r="117">
      <x:c r="F117" s="18"/>
    </x:row>
    <x:row r="118">
      <x:c r="F118" s="18"/>
    </x:row>
    <x:row r="119">
      <x:c r="F119" s="18"/>
    </x:row>
    <x:row r="120">
      <x:c r="F120" s="18"/>
    </x:row>
    <x:row r="121">
      <x:c r="F121" s="18"/>
    </x:row>
    <x:row r="122">
      <x:c r="F122" s="18"/>
    </x:row>
    <x:row r="123">
      <x:c r="F123" s="18"/>
    </x:row>
    <x:row r="124">
      <x:c r="F124" s="18"/>
    </x:row>
    <x:row r="125">
      <x:c r="F125" s="18"/>
    </x:row>
    <x:row r="126">
      <x:c r="F126" s="18"/>
    </x:row>
    <x:row r="127">
      <x:c r="F127" s="18"/>
    </x:row>
    <x:row r="128">
      <x:c r="F128" s="18"/>
    </x:row>
    <x:row r="129">
      <x:c r="F129" s="18"/>
    </x:row>
    <x:row r="130">
      <x:c r="F130" s="18"/>
    </x:row>
    <x:row r="131">
      <x:c r="F131" s="18"/>
    </x:row>
    <x:row r="132">
      <x:c r="F132" s="18"/>
    </x:row>
    <x:row r="133">
      <x:c r="F133" s="18"/>
    </x:row>
    <x:row r="134">
      <x:c r="F134" s="18"/>
    </x:row>
    <x:row r="135">
      <x:c r="F135" s="18"/>
    </x:row>
    <x:row r="136">
      <x:c r="F136" s="18"/>
    </x:row>
    <x:row r="137">
      <x:c r="F137" s="18"/>
    </x:row>
    <x:row r="138">
      <x:c r="F138" s="18"/>
    </x:row>
    <x:row r="139">
      <x:c r="F139" s="18"/>
    </x:row>
    <x:row r="140">
      <x:c r="F140" s="18"/>
    </x:row>
    <x:row r="141">
      <x:c r="F141" s="18"/>
    </x:row>
    <x:row r="142">
      <x:c r="F142" s="18"/>
    </x:row>
    <x:row r="143">
      <x:c r="F143" s="18"/>
    </x:row>
    <x:row r="144">
      <x:c r="F144" s="18"/>
    </x:row>
    <x:row r="145">
      <x:c r="F145" s="18"/>
    </x:row>
    <x:row r="146">
      <x:c r="F146" s="18"/>
    </x:row>
    <x:row r="147">
      <x:c r="F147" s="18"/>
    </x:row>
    <x:row r="148">
      <x:c r="F148" s="18"/>
    </x:row>
    <x:row r="149">
      <x:c r="F149" s="18"/>
    </x:row>
    <x:row r="150">
      <x:c r="F150" s="18"/>
    </x:row>
    <x:row r="151">
      <x:c r="F151" s="18"/>
    </x:row>
    <x:row r="152">
      <x:c r="F152" s="18"/>
    </x:row>
    <x:row r="153">
      <x:c r="F153" s="18"/>
    </x:row>
    <x:row r="154">
      <x:c r="F154" s="18"/>
    </x:row>
    <x:row r="155">
      <x:c r="F155" s="18"/>
    </x:row>
    <x:row r="156">
      <x:c r="F156" s="18"/>
    </x:row>
    <x:row r="157">
      <x:c r="F157" s="18"/>
    </x:row>
    <x:row r="158">
      <x:c r="F158" s="18"/>
    </x:row>
    <x:row r="159">
      <x:c r="F159" s="18"/>
    </x:row>
    <x:row r="160">
      <x:c r="F160" s="18"/>
    </x:row>
    <x:row r="161">
      <x:c r="F161" s="18"/>
    </x:row>
    <x:row r="162">
      <x:c r="F162" s="18"/>
    </x:row>
    <x:row r="163">
      <x:c r="F163" s="18"/>
    </x:row>
    <x:row r="164">
      <x:c r="F164" s="18"/>
    </x:row>
    <x:row r="165">
      <x:c r="F165" s="18"/>
    </x:row>
    <x:row r="166">
      <x:c r="F166" s="18"/>
    </x:row>
    <x:row r="167">
      <x:c r="F167" s="18"/>
    </x:row>
    <x:row r="168">
      <x:c r="F168" s="18"/>
    </x:row>
    <x:row r="169">
      <x:c r="F169" s="18"/>
    </x:row>
    <x:row r="170">
      <x:c r="F170" s="18"/>
    </x:row>
    <x:row r="171">
      <x:c r="F171" s="18"/>
    </x:row>
    <x:row r="172">
      <x:c r="F172" s="18"/>
    </x:row>
    <x:row r="173">
      <x:c r="F173" s="18"/>
    </x:row>
    <x:row r="174">
      <x:c r="F174" s="18"/>
    </x:row>
    <x:row r="175">
      <x:c r="F175" s="18"/>
    </x:row>
    <x:row r="176">
      <x:c r="F176" s="18"/>
    </x:row>
    <x:row r="177">
      <x:c r="F177" s="18"/>
    </x:row>
    <x:row r="178">
      <x:c r="F178" s="18"/>
    </x:row>
    <x:row r="179">
      <x:c r="F179" s="18"/>
    </x:row>
    <x:row r="180">
      <x:c r="F180" s="18"/>
    </x:row>
    <x:row r="181">
      <x:c r="F181" s="18"/>
    </x:row>
    <x:row r="182">
      <x:c r="F182" s="18"/>
    </x:row>
    <x:row r="183">
      <x:c r="F183" s="18"/>
    </x:row>
    <x:row r="184">
      <x:c r="F184" s="18"/>
    </x:row>
    <x:row r="185">
      <x:c r="F185" s="18"/>
    </x:row>
    <x:row r="186">
      <x:c r="F186" s="18"/>
    </x:row>
    <x:row r="187">
      <x:c r="F187" s="18"/>
    </x:row>
    <x:row r="188">
      <x:c r="F188" s="18"/>
    </x:row>
    <x:row r="189">
      <x:c r="F189" s="18"/>
    </x:row>
    <x:row r="190">
      <x:c r="F190" s="18"/>
    </x:row>
    <x:row r="191">
      <x:c r="F191" s="18"/>
    </x:row>
    <x:row r="192">
      <x:c r="F192" s="18"/>
    </x:row>
    <x:row r="193">
      <x:c r="F193" s="18"/>
    </x:row>
    <x:row r="194">
      <x:c r="F194" s="18"/>
    </x:row>
    <x:row r="195">
      <x:c r="F195" s="18"/>
    </x:row>
    <x:row r="196">
      <x:c r="F196" s="18"/>
    </x:row>
    <x:row r="197">
      <x:c r="F197" s="18"/>
    </x:row>
    <x:row r="198">
      <x:c r="F198" s="18"/>
    </x:row>
    <x:row r="199">
      <x:c r="F199" s="18"/>
    </x:row>
    <x:row r="200">
      <x:c r="F200" s="18"/>
    </x:row>
    <x:row r="201">
      <x:c r="F201" s="18"/>
    </x:row>
    <x:row r="202">
      <x:c r="F202" s="18"/>
    </x:row>
    <x:row r="203">
      <x:c r="F203" s="18"/>
    </x:row>
    <x:row r="204">
      <x:c r="F204" s="18"/>
    </x:row>
    <x:row r="205">
      <x:c r="F205" s="18"/>
    </x:row>
    <x:row r="206">
      <x:c r="F206" s="18"/>
    </x:row>
    <x:row r="207">
      <x:c r="F207" s="18"/>
    </x:row>
    <x:row r="208">
      <x:c r="F208" s="18"/>
    </x:row>
    <x:row r="209">
      <x:c r="F209" s="18"/>
    </x:row>
    <x:row r="210">
      <x:c r="F210" s="18"/>
    </x:row>
    <x:row r="211">
      <x:c r="F211" s="18"/>
    </x:row>
    <x:row r="212">
      <x:c r="F212" s="18"/>
    </x:row>
    <x:row r="213">
      <x:c r="F213" s="18"/>
    </x:row>
    <x:row r="214">
      <x:c r="F214" s="18"/>
    </x:row>
    <x:row r="215">
      <x:c r="F215" s="18"/>
    </x:row>
    <x:row r="216">
      <x:c r="F216" s="18"/>
    </x:row>
    <x:row r="217">
      <x:c r="F217" s="18"/>
    </x:row>
    <x:row r="218">
      <x:c r="F218" s="18"/>
    </x:row>
    <x:row r="219">
      <x:c r="F219" s="18"/>
    </x:row>
    <x:row r="220">
      <x:c r="F220" s="18"/>
    </x:row>
    <x:row r="221">
      <x:c r="F221" s="18"/>
    </x:row>
    <x:row r="222">
      <x:c r="F222" s="18"/>
    </x:row>
    <x:row r="223">
      <x:c r="F223" s="18"/>
    </x:row>
    <x:row r="224">
      <x:c r="F224" s="18"/>
    </x:row>
    <x:row r="225">
      <x:c r="F225" s="18"/>
    </x:row>
    <x:row r="226">
      <x:c r="F226" s="18"/>
    </x:row>
    <x:row r="227">
      <x:c r="F227" s="18"/>
    </x:row>
    <x:row r="228">
      <x:c r="F228" s="18"/>
    </x:row>
    <x:row r="229">
      <x:c r="F229" s="18"/>
    </x:row>
    <x:row r="230">
      <x:c r="F230" s="18"/>
    </x:row>
    <x:row r="231">
      <x:c r="F231" s="18"/>
    </x:row>
    <x:row r="232">
      <x:c r="F232" s="18"/>
    </x:row>
    <x:row r="233">
      <x:c r="F233" s="18"/>
    </x:row>
    <x:row r="234">
      <x:c r="F234" s="18"/>
    </x:row>
    <x:row r="235">
      <x:c r="F235" s="18"/>
    </x:row>
    <x:row r="236">
      <x:c r="F236" s="18"/>
    </x:row>
    <x:row r="237">
      <x:c r="F237" s="18"/>
    </x:row>
    <x:row r="238">
      <x:c r="F238" s="18"/>
    </x:row>
    <x:row r="239">
      <x:c r="F239" s="18"/>
    </x:row>
    <x:row r="240">
      <x:c r="F240" s="18"/>
    </x:row>
    <x:row r="241">
      <x:c r="F241" s="18"/>
    </x:row>
    <x:row r="242">
      <x:c r="F242" s="18"/>
    </x:row>
    <x:row r="243">
      <x:c r="F243" s="18"/>
    </x:row>
    <x:row r="244">
      <x:c r="F244" s="18"/>
    </x:row>
    <x:row r="245">
      <x:c r="F245" s="18"/>
    </x:row>
    <x:row r="246">
      <x:c r="F246" s="18"/>
    </x:row>
    <x:row r="247">
      <x:c r="F247" s="18"/>
    </x:row>
    <x:row r="248">
      <x:c r="F248" s="18"/>
    </x:row>
    <x:row r="249">
      <x:c r="F249" s="18"/>
    </x:row>
    <x:row r="250">
      <x:c r="F250" s="18"/>
    </x:row>
    <x:row r="251">
      <x:c r="F251" s="18"/>
    </x:row>
    <x:row r="252">
      <x:c r="F252" s="18"/>
    </x:row>
    <x:row r="253">
      <x:c r="F253" s="18"/>
    </x:row>
    <x:row r="254">
      <x:c r="F254" s="18"/>
    </x:row>
    <x:row r="255">
      <x:c r="F255" s="18"/>
    </x:row>
    <x:row r="256">
      <x:c r="F256" s="18"/>
    </x:row>
    <x:row r="257">
      <x:c r="F257" s="18"/>
    </x:row>
    <x:row r="258">
      <x:c r="F258" s="18"/>
    </x:row>
    <x:row r="259">
      <x:c r="F259" s="18"/>
    </x:row>
    <x:row r="260">
      <x:c r="F260" s="18"/>
    </x:row>
    <x:row r="261">
      <x:c r="F261" s="18"/>
    </x:row>
    <x:row r="262">
      <x:c r="F262" s="18"/>
    </x:row>
    <x:row r="263">
      <x:c r="F263" s="18"/>
    </x:row>
    <x:row r="264">
      <x:c r="F264" s="18"/>
    </x:row>
    <x:row r="265">
      <x:c r="F265" s="18"/>
    </x:row>
    <x:row r="266">
      <x:c r="F266" s="18"/>
    </x:row>
    <x:row r="267">
      <x:c r="F267" s="18"/>
    </x:row>
    <x:row r="268">
      <x:c r="F268" s="18"/>
    </x:row>
    <x:row r="269">
      <x:c r="F269" s="18"/>
    </x:row>
    <x:row r="270">
      <x:c r="F270" s="18"/>
    </x:row>
    <x:row r="271">
      <x:c r="F271" s="18"/>
    </x:row>
    <x:row r="272">
      <x:c r="F272" s="18"/>
    </x:row>
    <x:row r="273">
      <x:c r="F273" s="18"/>
    </x:row>
    <x:row r="274">
      <x:c r="F274" s="18"/>
    </x:row>
    <x:row r="275">
      <x:c r="F275" s="18"/>
    </x:row>
    <x:row r="276">
      <x:c r="F276" s="18"/>
    </x:row>
    <x:row r="277">
      <x:c r="F277" s="18"/>
    </x:row>
    <x:row r="278">
      <x:c r="F278" s="18"/>
    </x:row>
    <x:row r="279">
      <x:c r="F279" s="18"/>
    </x:row>
    <x:row r="280">
      <x:c r="F280" s="18"/>
    </x:row>
    <x:row r="281">
      <x:c r="F281" s="18"/>
    </x:row>
    <x:row r="282">
      <x:c r="F282" s="18"/>
    </x:row>
    <x:row r="283">
      <x:c r="F283" s="18"/>
    </x:row>
    <x:row r="284">
      <x:c r="F284" s="18"/>
    </x:row>
    <x:row r="285">
      <x:c r="F285" s="18"/>
    </x:row>
    <x:row r="286">
      <x:c r="F286" s="18"/>
    </x:row>
    <x:row r="287">
      <x:c r="F287" s="18"/>
    </x:row>
    <x:row r="288">
      <x:c r="F288" s="18"/>
    </x:row>
    <x:row r="289">
      <x:c r="F289" s="18"/>
    </x:row>
    <x:row r="290">
      <x:c r="F290" s="18"/>
    </x:row>
    <x:row r="291">
      <x:c r="F291" s="18"/>
    </x:row>
    <x:row r="292">
      <x:c r="F292" s="18"/>
    </x:row>
    <x:row r="293">
      <x:c r="F293" s="18"/>
    </x:row>
    <x:row r="294">
      <x:c r="F294" s="18"/>
    </x:row>
    <x:row r="295">
      <x:c r="F295" s="18"/>
    </x:row>
    <x:row r="296">
      <x:c r="F296" s="18"/>
    </x:row>
    <x:row r="297">
      <x:c r="F297" s="18"/>
    </x:row>
    <x:row r="298">
      <x:c r="F298" s="18"/>
    </x:row>
    <x:row r="299">
      <x:c r="F299" s="18"/>
    </x:row>
    <x:row r="300">
      <x:c r="F300" s="18"/>
    </x:row>
    <x:row r="301">
      <x:c r="F301" s="18"/>
    </x:row>
    <x:row r="302">
      <x:c r="F302" s="18"/>
    </x:row>
    <x:row r="303">
      <x:c r="F303" s="18"/>
    </x:row>
  </x:sheetData>
  <x:mergeCells>
    <x:mergeCell ref="A1:G1"/>
  </x:mergeCells>
  <x:dataValidations count="1">
    <x:dataValidation type="list" sqref="G4:G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b97a2d516644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4" t="str">
        <x:v>Cyber Risk Heatmap &amp; Executive Dashboard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organization-specific information.</x:v>
      </x:c>
    </x:row>
    <x:row r="5">
      <x:c r="A5" s="20" t="n">
        <x:v>2</x:v>
      </x:c>
      <x:c r="B5" s="20" t="str">
        <x:v>Define assumptions and keep supporting evidence in an approved repository.</x:v>
      </x:c>
    </x:row>
    <x:row r="6">
      <x:c r="A6" s="20" t="n">
        <x:v>3</x:v>
      </x:c>
      <x:c r="B6" s="20" t="str">
        <x:v>Use consistent scoring criteria across scenarios and business units.</x:v>
      </x:c>
    </x:row>
    <x:row r="7">
      <x:c r="A7" s="20" t="n">
        <x:v>4</x:v>
      </x:c>
      <x:c r="B7" s="20" t="str">
        <x:v>Review estimates with business, technical, legal, and finance stakeholders.</x:v>
      </x:c>
    </x:row>
    <x:row r="8">
      <x:c r="A8" s="20" t="n">
        <x:v>5</x:v>
      </x:c>
      <x:c r="B8" s="20" t="str">
        <x:v>Treat calculated results as decision support, not guaranteed predictions.</x:v>
      </x:c>
    </x:row>
    <x:row r="9">
      <x:c r="A9" s="20" t="n">
        <x:v>6</x:v>
      </x:c>
      <x:c r="B9" s="20" t="str">
        <x:v>Use authoritative framework and legal sources for formal compliance decisions.</x:v>
      </x:c>
    </x:row>
  </x:sheetData>
  <x:mergeCells>
    <x:mergeCell ref="A1:H1"/>
  </x:mergeCells>
  <x:pageMargins left="0.7" right="0.7" top="0.75" bottom="0.75" header="0.3" footer="0.3"/>
</x:worksheet>
</file>