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6bbe293d1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cb2179efffc4c4f"/>
    <x:sheet xmlns:r="http://schemas.openxmlformats.org/officeDocument/2006/relationships" name="Cloud Inventory" sheetId="2" r:id="R746725c8d16042f6"/>
    <x:sheet xmlns:r="http://schemas.openxmlformats.org/officeDocument/2006/relationships" name="Landing Zones" sheetId="3" r:id="Rb57e889a71e941b0"/>
    <x:sheet xmlns:r="http://schemas.openxmlformats.org/officeDocument/2006/relationships" name="Cloud Controls" sheetId="4" r:id="R12dcf070158e4fac"/>
    <x:sheet xmlns:r="http://schemas.openxmlformats.org/officeDocument/2006/relationships" name="CSPM Findings" sheetId="5" r:id="R508ed71f7ff24e41"/>
    <x:sheet xmlns:r="http://schemas.openxmlformats.org/officeDocument/2006/relationships" name="Architecture Roadmap" sheetId="6" r:id="R26c22b8cbe2a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b9ccfebc64a50" /><Relationship Type="http://schemas.openxmlformats.org/officeDocument/2006/relationships/theme" Target="/xl/theme/theme1.xml" Id="R7fd56108bab24fa6" /><Relationship Type="http://schemas.openxmlformats.org/officeDocument/2006/relationships/sharedStrings" Target="/xl/sharedStrings.xml" Id="R2f7aa57687c34b2e" /><Relationship Type="http://schemas.openxmlformats.org/officeDocument/2006/relationships/worksheet" Target="/xl/worksheets/sheet1.xml" Id="R7cb2179efffc4c4f" /><Relationship Type="http://schemas.openxmlformats.org/officeDocument/2006/relationships/worksheet" Target="/xl/worksheets/sheet2.xml" Id="R746725c8d16042f6" /><Relationship Type="http://schemas.openxmlformats.org/officeDocument/2006/relationships/worksheet" Target="/xl/worksheets/sheet3.xml" Id="Rb57e889a71e941b0" /><Relationship Type="http://schemas.openxmlformats.org/officeDocument/2006/relationships/worksheet" Target="/xl/worksheets/sheet4.xml" Id="R12dcf070158e4fac" /><Relationship Type="http://schemas.openxmlformats.org/officeDocument/2006/relationships/worksheet" Target="/xl/worksheets/sheet5.xml" Id="R508ed71f7ff24e41" /><Relationship Type="http://schemas.openxmlformats.org/officeDocument/2006/relationships/worksheet" Target="/xl/worksheets/sheet6.xml" Id="R26c22b8cbe2a4c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a7abdc20b140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7abdc20b1401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2706da6b3d463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Cloud Security Architecture Companion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  <x:c r="D3" s="10" t="str">
        <x:v>Sheet</x:v>
      </x:c>
      <x:c r="E3" s="10" t="str">
        <x:v>Records</x:v>
      </x:c>
    </x:row>
    <x:row r="4">
      <x:c r="A4" s="16" t="str">
        <x:v>Core Sheets</x:v>
      </x:c>
      <x:c r="B4" s="16" t="n">
        <x:v>5</x:v>
      </x:c>
      <x:c r="D4" t="str">
        <x:v>Cloud Inventory</x:v>
      </x:c>
      <x:c r="E4" t="n">
        <x:f>COUNTIF('Cloud Inventory'!A4:A303,"&lt;&gt;")</x:f>
        <x:v>3</x:v>
      </x:c>
    </x:row>
    <x:row r="5">
      <x:c r="A5" s="16" t="str">
        <x:v>Records Tracked</x:v>
      </x:c>
      <x:c r="B5" s="16" t="n">
        <x:f>COUNTIF('Cloud Inventory'!A4:A303,"&lt;&gt;")+COUNTIF('Landing Zones'!A4:A303,"&lt;&gt;")+COUNTIF('Cloud Controls'!A4:A303,"&lt;&gt;")+COUNTIF('CSPM Findings'!A4:A303,"&lt;&gt;")+COUNTIF('Architecture Roadmap'!A4:A303,"&lt;&gt;")</x:f>
        <x:v>15</x:v>
      </x:c>
      <x:c r="D5" t="str">
        <x:v>Landing Zones</x:v>
      </x:c>
      <x:c r="E5" t="n">
        <x:f>COUNTIF('Landing Zones'!A4:A303,"&lt;&gt;")</x:f>
        <x:v>3</x:v>
      </x:c>
    </x:row>
    <x:row r="6">
      <x:c r="A6" s="16" t="str">
        <x:v>Open / Planned Items</x:v>
      </x:c>
      <x:c r="B6" s="16" t="n">
        <x:f>0</x:f>
        <x:v>0</x:v>
      </x:c>
      <x:c r="D6" t="str">
        <x:v>Cloud Controls</x:v>
      </x:c>
      <x:c r="E6" t="n">
        <x:f>COUNTIF('Cloud Controls'!A4:A303,"&lt;&gt;")</x:f>
        <x:v>3</x:v>
      </x:c>
    </x:row>
    <x:row r="7">
      <x:c r="A7" s="16" t="str">
        <x:v>High / Critical Items</x:v>
      </x:c>
      <x:c r="B7" s="16" t="n">
        <x:f>0</x:f>
        <x:v>0</x:v>
      </x:c>
      <x:c r="D7" t="str">
        <x:v>CSPM Findings</x:v>
      </x:c>
      <x:c r="E7" t="n">
        <x:f>COUNTIF('CSPM Findings'!A4:A303,"&lt;&gt;")</x:f>
        <x:v>3</x:v>
      </x:c>
    </x:row>
    <x:row r="8">
      <x:c r="A8" s="16" t="str">
        <x:v>Last Updated</x:v>
      </x:c>
      <x:c r="B8" s="20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ac2706da6b3d463e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Cloud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Resource ID</x:v>
      </x:c>
      <x:c r="B3" s="10" t="str">
        <x:v>Provider</x:v>
      </x:c>
      <x:c r="C3" s="10" t="str">
        <x:v>Account / Subscription</x:v>
      </x:c>
      <x:c r="D3" s="10" t="str">
        <x:v>Resource Type</x:v>
      </x:c>
      <x:c r="E3" s="10" t="str">
        <x:v>Workload</x:v>
      </x:c>
      <x:c r="F3" s="10" t="str">
        <x:v>Owner</x:v>
      </x:c>
      <x:c r="G3" s="10" t="str">
        <x:v>Criticality</x:v>
      </x:c>
      <x:c r="H3" s="10" t="str">
        <x:v>Data Classification</x:v>
      </x:c>
      <x:c r="I3" s="10" t="str">
        <x:v>Region</x:v>
      </x:c>
      <x:c r="J3" s="10" t="str">
        <x:v>Status</x:v>
      </x:c>
    </x:row>
    <x:row r="4">
      <x:c r="A4" s="16" t="str">
        <x:v>CLD-001</x:v>
      </x:c>
      <x:c r="B4" s="16" t="str">
        <x:v>Azure</x:v>
      </x:c>
      <x:c r="C4" s="16" t="str">
        <x:v>Production Subscription</x:v>
      </x:c>
      <x:c r="D4" s="16" t="str">
        <x:v>Virtual Network</x:v>
      </x:c>
      <x:c r="E4" s="16" t="str">
        <x:v>Customer Portal</x:v>
      </x:c>
      <x:c r="F4" s="16" t="str">
        <x:v>Cloud Platform Lead</x:v>
      </x:c>
      <x:c r="G4" s="16" t="str">
        <x:v>Critical</x:v>
      </x:c>
      <x:c r="H4" s="16" t="str">
        <x:v>Restricted</x:v>
      </x:c>
      <x:c r="I4" s="16" t="str">
        <x:v>US Central</x:v>
      </x:c>
      <x:c r="J4" s="16" t="str">
        <x:v>Operational</x:v>
      </x:c>
    </x:row>
    <x:row r="5">
      <x:c r="A5" s="16" t="str">
        <x:v>CLD-002</x:v>
      </x:c>
      <x:c r="B5" s="16" t="str">
        <x:v>AWS</x:v>
      </x:c>
      <x:c r="C5" s="16" t="str">
        <x:v>Analytics Account</x:v>
      </x:c>
      <x:c r="D5" s="16" t="str">
        <x:v>Object Storage</x:v>
      </x:c>
      <x:c r="E5" s="16" t="str">
        <x:v>Security Analytics</x:v>
      </x:c>
      <x:c r="F5" s="16" t="str">
        <x:v>SOC Manager</x:v>
      </x:c>
      <x:c r="G5" s="16" t="str">
        <x:v>High</x:v>
      </x:c>
      <x:c r="H5" s="16" t="str">
        <x:v>Restricted</x:v>
      </x:c>
      <x:c r="I5" s="16" t="str">
        <x:v>US East</x:v>
      </x:c>
      <x:c r="J5" s="16" t="str">
        <x:v>Operational</x:v>
      </x:c>
    </x:row>
    <x:row r="6">
      <x:c r="A6" s="16" t="str">
        <x:v>CLD-003</x:v>
      </x:c>
      <x:c r="B6" s="16" t="str">
        <x:v>Google Cloud</x:v>
      </x:c>
      <x:c r="C6" s="16" t="str">
        <x:v>Research Project</x:v>
      </x:c>
      <x:c r="D6" s="16" t="str">
        <x:v>Compute</x:v>
      </x:c>
      <x:c r="E6" s="16" t="str">
        <x:v>Research</x:v>
      </x:c>
      <x:c r="F6" s="16" t="str">
        <x:v>Research Lead</x:v>
      </x:c>
      <x:c r="G6" s="16" t="str">
        <x:v>Moderate</x:v>
      </x:c>
      <x:c r="H6" s="16" t="str">
        <x:v>Internal</x:v>
      </x:c>
      <x:c r="I6" s="16" t="str">
        <x:v>US Central</x:v>
      </x:c>
      <x:c r="J6" s="16" t="str">
        <x:v>Pilot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Landing Zones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Zone ID</x:v>
      </x:c>
      <x:c r="B3" s="10" t="str">
        <x:v>Provider</x:v>
      </x:c>
      <x:c r="C3" s="10" t="str">
        <x:v>Purpose</x:v>
      </x:c>
      <x:c r="D3" s="10" t="str">
        <x:v>Accounts</x:v>
      </x:c>
      <x:c r="E3" s="10" t="str">
        <x:v>Network Model</x:v>
      </x:c>
      <x:c r="F3" s="10" t="str">
        <x:v>Identity Model</x:v>
      </x:c>
      <x:c r="G3" s="10" t="str">
        <x:v>Logging</x:v>
      </x:c>
      <x:c r="H3" s="10" t="str">
        <x:v>Guardrails</x:v>
      </x:c>
      <x:c r="I3" s="10" t="str">
        <x:v>Owner</x:v>
      </x:c>
      <x:c r="J3" s="10" t="str">
        <x:v>Maturity</x:v>
      </x:c>
    </x:row>
    <x:row r="4">
      <x:c r="A4" s="16" t="str">
        <x:v>LZ-001</x:v>
      </x:c>
      <x:c r="B4" s="16" t="str">
        <x:v>Azure</x:v>
      </x:c>
      <x:c r="C4" s="16" t="str">
        <x:v>Production workloads</x:v>
      </x:c>
      <x:c r="D4" s="16" t="str">
        <x:v>Prod subscriptions</x:v>
      </x:c>
      <x:c r="E4" s="16" t="str">
        <x:v>Hub and spoke</x:v>
      </x:c>
      <x:c r="F4" s="16" t="str">
        <x:v>Central identity</x:v>
      </x:c>
      <x:c r="G4" s="16" t="str">
        <x:v>Central log workspace</x:v>
      </x:c>
      <x:c r="H4" s="16" t="str">
        <x:v>Policy assignments</x:v>
      </x:c>
      <x:c r="I4" s="16" t="str">
        <x:v>Cloud Platform Lead</x:v>
      </x:c>
      <x:c r="J4" s="16" t="n">
        <x:v>4</x:v>
      </x:c>
    </x:row>
    <x:row r="5">
      <x:c r="A5" s="16" t="str">
        <x:v>LZ-002</x:v>
      </x:c>
      <x:c r="B5" s="16" t="str">
        <x:v>AWS</x:v>
      </x:c>
      <x:c r="C5" s="16" t="str">
        <x:v>Security analytics</x:v>
      </x:c>
      <x:c r="D5" s="16" t="str">
        <x:v>Security accounts</x:v>
      </x:c>
      <x:c r="E5" s="16" t="str">
        <x:v>Transit gateway</x:v>
      </x:c>
      <x:c r="F5" s="16" t="str">
        <x:v>Federated identity</x:v>
      </x:c>
      <x:c r="G5" s="16" t="str">
        <x:v>Central security lake</x:v>
      </x:c>
      <x:c r="H5" s="16" t="str">
        <x:v>Organizations SCPs</x:v>
      </x:c>
      <x:c r="I5" s="16" t="str">
        <x:v>SOC Manager</x:v>
      </x:c>
      <x:c r="J5" s="16" t="n">
        <x:v>4</x:v>
      </x:c>
    </x:row>
    <x:row r="6">
      <x:c r="A6" s="16" t="str">
        <x:v>LZ-003</x:v>
      </x:c>
      <x:c r="B6" s="16" t="str">
        <x:v>Google Cloud</x:v>
      </x:c>
      <x:c r="C6" s="16" t="str">
        <x:v>Research sandbox</x:v>
      </x:c>
      <x:c r="D6" s="16" t="str">
        <x:v>Research projects</x:v>
      </x:c>
      <x:c r="E6" s="16" t="str">
        <x:v>Shared VPC</x:v>
      </x:c>
      <x:c r="F6" s="16" t="str">
        <x:v>Federated identity</x:v>
      </x:c>
      <x:c r="G6" s="16" t="str">
        <x:v>Central logging</x:v>
      </x:c>
      <x:c r="H6" s="16" t="str">
        <x:v>Org policies</x:v>
      </x:c>
      <x:c r="I6" s="16" t="str">
        <x:v>Research Lead</x:v>
      </x:c>
      <x:c r="J6" s="16" t="n">
        <x:v>2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Cloud Controls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Control ID</x:v>
      </x:c>
      <x:c r="B3" s="10" t="str">
        <x:v>Domain</x:v>
      </x:c>
      <x:c r="C3" s="10" t="str">
        <x:v>Control</x:v>
      </x:c>
      <x:c r="D3" s="10" t="str">
        <x:v>Provider Coverage</x:v>
      </x:c>
      <x:c r="E3" s="10" t="str">
        <x:v>Owner</x:v>
      </x:c>
      <x:c r="F3" s="10" t="str">
        <x:v>Evidence</x:v>
      </x:c>
      <x:c r="G3" s="10" t="str">
        <x:v>Effectiveness</x:v>
      </x:c>
      <x:c r="H3" s="10" t="str">
        <x:v>Status</x:v>
      </x:c>
      <x:c r="I3" s="10" t="str">
        <x:v>Gap</x:v>
      </x:c>
      <x:c r="J3" s="10" t="str">
        <x:v>Target Date</x:v>
      </x:c>
    </x:row>
    <x:row r="4">
      <x:c r="A4" s="16" t="str">
        <x:v>CSC-001</x:v>
      </x:c>
      <x:c r="B4" s="16" t="str">
        <x:v>IAM</x:v>
      </x:c>
      <x:c r="C4" s="16" t="str">
        <x:v>Federated SSO and MFA</x:v>
      </x:c>
      <x:c r="D4" s="16" t="str">
        <x:v>All providers</x:v>
      </x:c>
      <x:c r="E4" s="16" t="str">
        <x:v>IAM Lead</x:v>
      </x:c>
      <x:c r="F4" s="16" t="str">
        <x:v>Identity reports</x:v>
      </x:c>
      <x:c r="G4" s="16" t="n">
        <x:v>4</x:v>
      </x:c>
      <x:c r="H4" s="16" t="str">
        <x:v>Operational</x:v>
      </x:c>
      <x:c r="I4" s="16" t="str">
        <x:v>Service-account exceptions</x:v>
      </x:c>
      <x:c r="J4" s="16" t="n">
        <x:v>46296</x:v>
      </x:c>
    </x:row>
    <x:row r="5">
      <x:c r="A5" s="16" t="str">
        <x:v>CSC-002</x:v>
      </x:c>
      <x:c r="B5" s="16" t="str">
        <x:v>Logging</x:v>
      </x:c>
      <x:c r="C5" s="16" t="str">
        <x:v>Central audit log collection</x:v>
      </x:c>
      <x:c r="D5" s="16" t="str">
        <x:v>Azure; AWS</x:v>
      </x:c>
      <x:c r="E5" s="16" t="str">
        <x:v>SOC Manager</x:v>
      </x:c>
      <x:c r="F5" s="16" t="str">
        <x:v>SIEM ingestion</x:v>
      </x:c>
      <x:c r="G5" s="16" t="n">
        <x:v>4</x:v>
      </x:c>
      <x:c r="H5" s="16" t="str">
        <x:v>Needs Improvement</x:v>
      </x:c>
      <x:c r="I5" s="16" t="str">
        <x:v>Google Cloud incomplete</x:v>
      </x:c>
      <x:c r="J5" s="16" t="n">
        <x:v>46280</x:v>
      </x:c>
    </x:row>
    <x:row r="6">
      <x:c r="A6" s="16" t="str">
        <x:v>CSC-003</x:v>
      </x:c>
      <x:c r="B6" s="16" t="str">
        <x:v>Encryption</x:v>
      </x:c>
      <x:c r="C6" s="16" t="str">
        <x:v>Customer-managed keys for restricted data</x:v>
      </x:c>
      <x:c r="D6" s="16" t="str">
        <x:v>Azure; AWS</x:v>
      </x:c>
      <x:c r="E6" s="16" t="str">
        <x:v>Data Security Lead</x:v>
      </x:c>
      <x:c r="F6" s="16" t="str">
        <x:v>Key vault reports</x:v>
      </x:c>
      <x:c r="G6" s="16" t="n">
        <x:v>3</x:v>
      </x:c>
      <x:c r="H6" s="16" t="str">
        <x:v>In Progress</x:v>
      </x:c>
      <x:c r="I6" s="16" t="str">
        <x:v>Rotation governance</x:v>
      </x:c>
      <x:c r="J6" s="16" t="n">
        <x:v>46327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CSPM Findings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Finding ID</x:v>
      </x:c>
      <x:c r="B3" s="10" t="str">
        <x:v>Provider</x:v>
      </x:c>
      <x:c r="C3" s="10" t="str">
        <x:v>Resource</x:v>
      </x:c>
      <x:c r="D3" s="10" t="str">
        <x:v>Finding</x:v>
      </x:c>
      <x:c r="E3" s="10" t="str">
        <x:v>Severity</x:v>
      </x:c>
      <x:c r="F3" s="10" t="str">
        <x:v>Control Domain</x:v>
      </x:c>
      <x:c r="G3" s="10" t="str">
        <x:v>Owner</x:v>
      </x:c>
      <x:c r="H3" s="10" t="str">
        <x:v>Detected</x:v>
      </x:c>
      <x:c r="I3" s="10" t="str">
        <x:v>Target Date</x:v>
      </x:c>
      <x:c r="J3" s="10" t="str">
        <x:v>Status</x:v>
      </x:c>
    </x:row>
    <x:row r="4">
      <x:c r="A4" s="16" t="str">
        <x:v>CSPM-001</x:v>
      </x:c>
      <x:c r="B4" s="16" t="str">
        <x:v>Azure</x:v>
      </x:c>
      <x:c r="C4" s="16" t="str">
        <x:v>Storage account</x:v>
      </x:c>
      <x:c r="D4" s="16" t="str">
        <x:v>Public network access enabled</x:v>
      </x:c>
      <x:c r="E4" s="16" t="str">
        <x:v>High</x:v>
      </x:c>
      <x:c r="F4" s="16" t="str">
        <x:v>Network</x:v>
      </x:c>
      <x:c r="G4" s="16" t="str">
        <x:v>Cloud Platform Lead</x:v>
      </x:c>
      <x:c r="H4" s="16" t="n">
        <x:v>46204</x:v>
      </x:c>
      <x:c r="I4" s="16" t="n">
        <x:v>46228</x:v>
      </x:c>
      <x:c r="J4" s="16" t="str">
        <x:v>In Progress</x:v>
      </x:c>
    </x:row>
    <x:row r="5">
      <x:c r="A5" s="16" t="str">
        <x:v>CSPM-002</x:v>
      </x:c>
      <x:c r="B5" s="16" t="str">
        <x:v>AWS</x:v>
      </x:c>
      <x:c r="C5" s="16" t="str">
        <x:v>IAM role</x:v>
      </x:c>
      <x:c r="D5" s="16" t="str">
        <x:v>Unused administrative permissions</x:v>
      </x:c>
      <x:c r="E5" s="16" t="str">
        <x:v>Critical</x:v>
      </x:c>
      <x:c r="F5" s="16" t="str">
        <x:v>IAM</x:v>
      </x:c>
      <x:c r="G5" s="16" t="str">
        <x:v>Cloud Security Lead</x:v>
      </x:c>
      <x:c r="H5" s="16" t="n">
        <x:v>46208</x:v>
      </x:c>
      <x:c r="I5" s="16" t="n">
        <x:v>46223</x:v>
      </x:c>
      <x:c r="J5" s="16" t="str">
        <x:v>Planned</x:v>
      </x:c>
    </x:row>
    <x:row r="6">
      <x:c r="A6" s="16" t="str">
        <x:v>CSPM-003</x:v>
      </x:c>
      <x:c r="B6" s="16" t="str">
        <x:v>Google Cloud</x:v>
      </x:c>
      <x:c r="C6" s="16" t="str">
        <x:v>Project</x:v>
      </x:c>
      <x:c r="D6" s="16" t="str">
        <x:v>Audit log export incomplete</x:v>
      </x:c>
      <x:c r="E6" s="16" t="str">
        <x:v>High</x:v>
      </x:c>
      <x:c r="F6" s="16" t="str">
        <x:v>Logging</x:v>
      </x:c>
      <x:c r="G6" s="16" t="str">
        <x:v>Research Lead</x:v>
      </x:c>
      <x:c r="H6" s="16" t="n">
        <x:v>46211</x:v>
      </x:c>
      <x:c r="I6" s="16" t="n">
        <x:v>46235</x:v>
      </x:c>
      <x:c r="J6" s="16" t="str">
        <x:v>Planned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Architecture Roadmap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Action ID</x:v>
      </x:c>
      <x:c r="B3" s="10" t="str">
        <x:v>Capability</x:v>
      </x:c>
      <x:c r="C3" s="10" t="str">
        <x:v>Provider</x:v>
      </x:c>
      <x:c r="D3" s="10" t="str">
        <x:v>Action</x:v>
      </x:c>
      <x:c r="E3" s="10" t="str">
        <x:v>Priority</x:v>
      </x:c>
      <x:c r="F3" s="10" t="str">
        <x:v>Owner</x:v>
      </x:c>
      <x:c r="G3" s="10" t="str">
        <x:v>Start Date</x:v>
      </x:c>
      <x:c r="H3" s="10" t="str">
        <x:v>Target Date</x:v>
      </x:c>
      <x:c r="I3" s="10" t="str">
        <x:v>Status</x:v>
      </x:c>
      <x:c r="J3" s="10" t="str">
        <x:v>Validation</x:v>
      </x:c>
    </x:row>
    <x:row r="4">
      <x:c r="A4" s="16" t="str">
        <x:v>CAR-001</x:v>
      </x:c>
      <x:c r="B4" s="16" t="str">
        <x:v>Logging</x:v>
      </x:c>
      <x:c r="C4" s="16" t="str">
        <x:v>Google Cloud</x:v>
      </x:c>
      <x:c r="D4" s="16" t="str">
        <x:v>Complete central audit-log export</x:v>
      </x:c>
      <x:c r="E4" s="16" t="str">
        <x:v>High</x:v>
      </x:c>
      <x:c r="F4" s="16" t="str">
        <x:v>SOC Manager</x:v>
      </x:c>
      <x:c r="G4" s="16" t="n">
        <x:v>46218</x:v>
      </x:c>
      <x:c r="H4" s="16" t="n">
        <x:v>46235</x:v>
      </x:c>
      <x:c r="I4" s="16" t="str">
        <x:v>In Progress</x:v>
      </x:c>
      <x:c r="J4" s="16" t="str">
        <x:v>Ingestion test</x:v>
      </x:c>
    </x:row>
    <x:row r="5">
      <x:c r="A5" s="16" t="str">
        <x:v>CAR-002</x:v>
      </x:c>
      <x:c r="B5" s="16" t="str">
        <x:v>IAM</x:v>
      </x:c>
      <x:c r="C5" s="16" t="str">
        <x:v>AWS</x:v>
      </x:c>
      <x:c r="D5" s="16" t="str">
        <x:v>Remove unused admin permissions</x:v>
      </x:c>
      <x:c r="E5" s="16" t="str">
        <x:v>Critical</x:v>
      </x:c>
      <x:c r="F5" s="16" t="str">
        <x:v>Cloud Security Lead</x:v>
      </x:c>
      <x:c r="G5" s="16" t="n">
        <x:v>46218</x:v>
      </x:c>
      <x:c r="H5" s="16" t="n">
        <x:v>46228</x:v>
      </x:c>
      <x:c r="I5" s="16" t="str">
        <x:v>Planned</x:v>
      </x:c>
      <x:c r="J5" s="16" t="str">
        <x:v>Access review</x:v>
      </x:c>
    </x:row>
    <x:row r="6">
      <x:c r="A6" s="16" t="str">
        <x:v>CAR-003</x:v>
      </x:c>
      <x:c r="B6" s="16" t="str">
        <x:v>Encryption</x:v>
      </x:c>
      <x:c r="C6" s="16" t="str">
        <x:v>Azure/AWS</x:v>
      </x:c>
      <x:c r="D6" s="16" t="str">
        <x:v>Implement formal key rotation evidence</x:v>
      </x:c>
      <x:c r="E6" s="16" t="str">
        <x:v>High</x:v>
      </x:c>
      <x:c r="F6" s="16" t="str">
        <x:v>Data Security Lead</x:v>
      </x:c>
      <x:c r="G6" s="16" t="n">
        <x:v>46235</x:v>
      </x:c>
      <x:c r="H6" s="16" t="n">
        <x:v>46327</x:v>
      </x:c>
      <x:c r="I6" s="16" t="str">
        <x:v>Planned</x:v>
      </x:c>
      <x:c r="J6" s="16" t="str">
        <x:v>Control test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