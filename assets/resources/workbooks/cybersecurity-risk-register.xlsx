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b95e0f61594b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59a80cea9c74044"/>
    <x:sheet xmlns:r="http://schemas.openxmlformats.org/officeDocument/2006/relationships" name="Risk Register" sheetId="2" r:id="R3f7cd746dfd54e1f"/>
    <x:sheet xmlns:r="http://schemas.openxmlformats.org/officeDocument/2006/relationships" name="Lists" sheetId="3" r:id="Ra04dd04ef2bb41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"/>
  </x:numFmts>
  <x:fonts count="3">
    <x:font>
      <x:sz val="11"/>
      <x:name val="Carlito"/>
    </x:font>
    <x:font>
      <x:b/>
      <x:sz val="18"/>
      <x:color rgb="FFF1E8D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742222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4949de5404234" /><Relationship Type="http://schemas.openxmlformats.org/officeDocument/2006/relationships/theme" Target="/xl/theme/theme1.xml" Id="Reb28bbad7a5a45d5" /><Relationship Type="http://schemas.openxmlformats.org/officeDocument/2006/relationships/sharedStrings" Target="/xl/sharedStrings.xml" Id="R8192265acc08445c" /><Relationship Type="http://schemas.openxmlformats.org/officeDocument/2006/relationships/worksheet" Target="/xl/worksheets/sheet1.xml" Id="Rc59a80cea9c74044" /><Relationship Type="http://schemas.openxmlformats.org/officeDocument/2006/relationships/worksheet" Target="/xl/worksheets/sheet2.xml" Id="R3f7cd746dfd54e1f" /><Relationship Type="http://schemas.openxmlformats.org/officeDocument/2006/relationships/worksheet" Target="/xl/worksheets/sheet3.xml" Id="Ra04dd04ef2bb41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4" t="str">
        <x:v>Cybersecurity Risk Register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</x:row>
    <x:row r="4">
      <x:c r="A4" t="str">
        <x:v>Total Risks</x:v>
      </x:c>
      <x:c r="B4" t="n">
        <x:f>COUNTIF('Risk Register'!A4:A103,"&lt;&gt;")</x:f>
        <x:v>3</x:v>
      </x:c>
    </x:row>
    <x:row r="5">
      <x:c r="A5" t="str">
        <x:v>Critical</x:v>
      </x:c>
      <x:c r="B5" t="n">
        <x:f>COUNTIF('Risk Register'!H4:H103,"Critical")</x:f>
        <x:v>1</x:v>
      </x:c>
    </x:row>
    <x:row r="6">
      <x:c r="A6" t="str">
        <x:v>High</x:v>
      </x:c>
      <x:c r="B6" t="n">
        <x:f>COUNTIF('Risk Register'!H4:H103,"High")</x:f>
        <x:v>1</x:v>
      </x:c>
    </x:row>
    <x:row r="7">
      <x:c r="A7" t="str">
        <x:v>Open / In Progress</x:v>
      </x:c>
      <x:c r="B7" t="n">
        <x:f>COUNTIF('Risk Register'!Q4:Q103,"Open")+COUNTIF('Risk Register'!Q4:Q103,"In Progress")</x:f>
        <x:v>3</x:v>
      </x:c>
    </x:row>
    <x:row r="8">
      <x:c r="A8" t="str">
        <x:v>Average Inherent Score</x:v>
      </x:c>
      <x:c r="B8" s="24" t="n">
        <x:f>IFERROR(AVERAGE('Risk Register'!G4:G103),0)</x:f>
        <x:v>14.666666666666666</x:v>
      </x:c>
    </x:row>
    <x:row r="9">
      <x:c r="A9" t="str">
        <x:v>Average Residual Score</x:v>
      </x:c>
      <x:c r="B9" s="24" t="n">
        <x:f>IFERROR(AVERAGE('Risk Register'!P4:P103),0)</x:f>
        <x:v>7</x:v>
      </x:c>
    </x:row>
    <x:row r="12">
      <x:c r="A12" s="12" t="str">
        <x:v>Score Range</x:v>
      </x:c>
      <x:c r="B12" s="12" t="str">
        <x:v>Rating</x:v>
      </x:c>
    </x:row>
    <x:row r="13">
      <x:c r="A13" t="str">
        <x:v>1-5</x:v>
      </x:c>
      <x:c r="B13" t="str">
        <x:v>Low</x:v>
      </x:c>
    </x:row>
    <x:row r="14">
      <x:c r="A14" t="str">
        <x:v>6-11</x:v>
      </x:c>
      <x:c r="B14" t="str">
        <x:v>Moderate</x:v>
      </x:c>
    </x:row>
    <x:row r="15">
      <x:c r="A15" t="str">
        <x:v>12-19</x:v>
      </x:c>
      <x:c r="B15" t="str">
        <x:v>High</x:v>
      </x:c>
    </x:row>
    <x:row r="16">
      <x:c r="A16" t="str">
        <x:v>20-25</x:v>
      </x:c>
      <x:c r="B16" t="str">
        <x:v>Critical</x:v>
      </x:c>
    </x:row>
    <x:row r="17">
      <x:c r="A17" t="str">
        <x:v>Method</x:v>
      </x:c>
      <x:c r="B17" t="str">
        <x:v>Likelihood x Impact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24" hidden="0" customWidth="1"/>
    <x:col min="4" max="4" width="28" hidden="0" customWidth="1"/>
    <x:col min="5" max="5" width="11" hidden="0" customWidth="1"/>
    <x:col min="6" max="6" width="10" hidden="0" customWidth="1"/>
    <x:col min="7" max="7" width="13" hidden="0" customWidth="1"/>
    <x:col min="8" max="8" width="14" hidden="0" customWidth="1"/>
    <x:col min="9" max="9" width="28" hidden="0" customWidth="1"/>
    <x:col min="10" max="10" width="13" hidden="0" customWidth="1"/>
    <x:col min="11" max="11" width="28" hidden="0" customWidth="1"/>
    <x:col min="12" max="12" width="18" hidden="0" customWidth="1"/>
    <x:col min="13" max="13" width="13" hidden="0" customWidth="1"/>
    <x:col min="14" max="14" width="15" hidden="0" customWidth="1"/>
    <x:col min="15" max="15" width="13" hidden="0" customWidth="1"/>
    <x:col min="16" max="16" width="13" hidden="0" customWidth="1"/>
    <x:col min="17" max="17" width="14" hidden="0" customWidth="1"/>
  </x:cols>
  <x:sheetData>
    <x:row r="1">
      <x:c r="A1" s="4" t="str">
        <x:v>Cybersecurity Risk Register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3">
      <x:c r="A3" s="12" t="str">
        <x:v>Risk ID</x:v>
      </x:c>
      <x:c r="B3" s="12" t="str">
        <x:v>Asset / Process</x:v>
      </x:c>
      <x:c r="C3" s="12" t="str">
        <x:v>Threat Event</x:v>
      </x:c>
      <x:c r="D3" s="12" t="str">
        <x:v>Vulnerability / Condition</x:v>
      </x:c>
      <x:c r="E3" s="12" t="str">
        <x:v>Likelihood</x:v>
      </x:c>
      <x:c r="F3" s="12" t="str">
        <x:v>Impact</x:v>
      </x:c>
      <x:c r="G3" s="12" t="str">
        <x:v>Inherent Score</x:v>
      </x:c>
      <x:c r="H3" s="12" t="str">
        <x:v>Inherent Rating</x:v>
      </x:c>
      <x:c r="I3" s="12" t="str">
        <x:v>Existing Controls</x:v>
      </x:c>
      <x:c r="J3" s="12" t="str">
        <x:v>Treatment</x:v>
      </x:c>
      <x:c r="K3" s="12" t="str">
        <x:v>Action</x:v>
      </x:c>
      <x:c r="L3" s="12" t="str">
        <x:v>Owner</x:v>
      </x:c>
      <x:c r="M3" s="12" t="str">
        <x:v>Target Date</x:v>
      </x:c>
      <x:c r="N3" s="12" t="str">
        <x:v>Residual Likelihood</x:v>
      </x:c>
      <x:c r="O3" s="12" t="str">
        <x:v>Residual Impact</x:v>
      </x:c>
      <x:c r="P3" s="12" t="str">
        <x:v>Residual Score</x:v>
      </x:c>
      <x:c r="Q3" s="12" t="str">
        <x:v>Status</x:v>
      </x:c>
    </x:row>
    <x:row r="4">
      <x:c r="A4" s="20" t="str">
        <x:v>R-001</x:v>
      </x:c>
      <x:c r="B4" s="20" t="str">
        <x:v>Payroll Database</x:v>
      </x:c>
      <x:c r="C4" s="20" t="str">
        <x:v>Credential theft</x:v>
      </x:c>
      <x:c r="D4" s="20" t="str">
        <x:v>Privileged MFA not enforced</x:v>
      </x:c>
      <x:c r="E4" s="20" t="n">
        <x:v>4</x:v>
      </x:c>
      <x:c r="F4" s="20" t="n">
        <x:v>5</x:v>
      </x:c>
      <x:c r="G4" s="20" t="n">
        <x:f>IF(OR(E4="",F4=""),"",E4*F4)</x:f>
        <x:v>20</x:v>
      </x:c>
      <x:c r="H4" s="20" t="str">
        <x:f>IF(G4="","",IF(G4&gt;=20,"Critical",IF(G4&gt;=12,"High",IF(G4&gt;=6,"Moderate","Low"))))</x:f>
        <x:v>Critical</x:v>
      </x:c>
      <x:c r="I4" s="20" t="str">
        <x:v>Password policy</x:v>
      </x:c>
      <x:c r="J4" s="20" t="str">
        <x:v>Mitigate</x:v>
      </x:c>
      <x:c r="K4" s="20" t="str">
        <x:v>Enforce phishing-resistant MFA</x:v>
      </x:c>
      <x:c r="L4" s="20" t="str">
        <x:v>IAM Lead</x:v>
      </x:c>
      <x:c r="M4" s="21" t="str">
        <x:v>2026-08-15</x:v>
      </x:c>
      <x:c r="N4" s="20" t="n">
        <x:v>2</x:v>
      </x:c>
      <x:c r="O4" s="20" t="n">
        <x:v>5</x:v>
      </x:c>
      <x:c r="P4" s="20" t="n">
        <x:f>IF(OR(N4="",O4=""),"",N4*O4)</x:f>
        <x:v>10</x:v>
      </x:c>
      <x:c r="Q4" s="20" t="str">
        <x:v>In Progress</x:v>
      </x:c>
    </x:row>
    <x:row r="5">
      <x:c r="A5" s="20" t="str">
        <x:v>R-002</x:v>
      </x:c>
      <x:c r="B5" s="20" t="str">
        <x:v>Customer Portal</x:v>
      </x:c>
      <x:c r="C5" s="20" t="str">
        <x:v>Ransomware</x:v>
      </x:c>
      <x:c r="D5" s="20" t="str">
        <x:v>Recovery exercise overdue</x:v>
      </x:c>
      <x:c r="E5" s="20" t="n">
        <x:v>3</x:v>
      </x:c>
      <x:c r="F5" s="20" t="n">
        <x:v>5</x:v>
      </x:c>
      <x:c r="G5" s="20" t="n">
        <x:f>IF(OR(E5="",F5=""),"",E5*F5)</x:f>
        <x:v>15</x:v>
      </x:c>
      <x:c r="H5" s="20" t="str">
        <x:f>IF(G5="","",IF(G5&gt;=20,"Critical",IF(G5&gt;=12,"High",IF(G5&gt;=6,"Moderate","Low"))))</x:f>
        <x:v>High</x:v>
      </x:c>
      <x:c r="I5" s="20" t="str">
        <x:v>Backups; EDR</x:v>
      </x:c>
      <x:c r="J5" s="20" t="str">
        <x:v>Mitigate</x:v>
      </x:c>
      <x:c r="K5" s="20" t="str">
        <x:v>Run restore and failover exercise</x:v>
      </x:c>
      <x:c r="L5" s="20" t="str">
        <x:v>Application Owner</x:v>
      </x:c>
      <x:c r="M5" s="21" t="str">
        <x:v>2026-09-01</x:v>
      </x:c>
      <x:c r="N5" s="20" t="n">
        <x:v>2</x:v>
      </x:c>
      <x:c r="O5" s="20" t="n">
        <x:v>4</x:v>
      </x:c>
      <x:c r="P5" s="20" t="n">
        <x:f>IF(OR(N5="",O5=""),"",N5*O5)</x:f>
        <x:v>8</x:v>
      </x:c>
      <x:c r="Q5" s="20" t="str">
        <x:v>Open</x:v>
      </x:c>
    </x:row>
    <x:row r="6">
      <x:c r="A6" s="20" t="str">
        <x:v>R-003</x:v>
      </x:c>
      <x:c r="B6" s="20" t="str">
        <x:v>Public Website</x:v>
      </x:c>
      <x:c r="C6" s="20" t="str">
        <x:v>DNS outage</x:v>
      </x:c>
      <x:c r="D6" s="20" t="str">
        <x:v>Single provider dependency</x:v>
      </x:c>
      <x:c r="E6" s="20" t="n">
        <x:v>3</x:v>
      </x:c>
      <x:c r="F6" s="20" t="n">
        <x:v>3</x:v>
      </x:c>
      <x:c r="G6" s="20" t="n">
        <x:f>IF(OR(E6="",F6=""),"",E6*F6)</x:f>
        <x:v>9</x:v>
      </x:c>
      <x:c r="H6" s="20" t="str">
        <x:f>IF(G6="","",IF(G6&gt;=20,"Critical",IF(G6&gt;=12,"High",IF(G6&gt;=6,"Moderate","Low"))))</x:f>
        <x:v>Moderate</x:v>
      </x:c>
      <x:c r="I6" s="20" t="str">
        <x:v>Monitoring</x:v>
      </x:c>
      <x:c r="J6" s="20" t="str">
        <x:v>Transfer</x:v>
      </x:c>
      <x:c r="K6" s="20" t="str">
        <x:v>Add secondary DNS provider</x:v>
      </x:c>
      <x:c r="L6" s="20" t="str">
        <x:v>Web Admin</x:v>
      </x:c>
      <x:c r="M6" s="21" t="str">
        <x:v>2026-08-01</x:v>
      </x:c>
      <x:c r="N6" s="20" t="n">
        <x:v>1</x:v>
      </x:c>
      <x:c r="O6" s="20" t="n">
        <x:v>3</x:v>
      </x:c>
      <x:c r="P6" s="20" t="n">
        <x:f>IF(OR(N6="",O6=""),"",N6*O6)</x:f>
        <x:v>3</x:v>
      </x:c>
      <x:c r="Q6" s="20" t="str">
        <x:v>In Progress</x:v>
      </x:c>
    </x:row>
    <x:row r="7">
      <x:c r="A7" s="20"/>
      <x:c r="B7" s="20"/>
      <x:c r="C7" s="20"/>
      <x:c r="D7" s="20"/>
      <x:c r="E7" s="20"/>
      <x:c r="F7" s="20"/>
      <x:c r="G7" s="20" t="str">
        <x:f>IF(OR(E7="",F7=""),"",E7*F7)</x:f>
      </x:c>
      <x:c r="H7" s="20" t="str">
        <x:f>IF(G7="","",IF(G7&gt;=20,"Critical",IF(G7&gt;=12,"High",IF(G7&gt;=6,"Moderate","Low"))))</x:f>
      </x:c>
      <x:c r="I7" s="20"/>
      <x:c r="J7" s="20"/>
      <x:c r="K7" s="20"/>
      <x:c r="L7" s="20"/>
      <x:c r="M7" s="21"/>
      <x:c r="N7" s="20"/>
      <x:c r="O7" s="20"/>
      <x:c r="P7" s="20" t="str">
        <x:f>IF(OR(N7="",O7=""),"",N7*O7)</x:f>
      </x:c>
      <x:c r="Q7" s="20"/>
    </x:row>
    <x:row r="8">
      <x:c r="A8" s="20"/>
      <x:c r="B8" s="20"/>
      <x:c r="C8" s="20"/>
      <x:c r="D8" s="20"/>
      <x:c r="E8" s="20"/>
      <x:c r="F8" s="20"/>
      <x:c r="G8" s="20" t="str">
        <x:f>IF(OR(E8="",F8=""),"",E8*F8)</x:f>
      </x:c>
      <x:c r="H8" s="20" t="str">
        <x:f>IF(G8="","",IF(G8&gt;=20,"Critical",IF(G8&gt;=12,"High",IF(G8&gt;=6,"Moderate","Low"))))</x:f>
      </x:c>
      <x:c r="I8" s="20"/>
      <x:c r="J8" s="20"/>
      <x:c r="K8" s="20"/>
      <x:c r="L8" s="20"/>
      <x:c r="M8" s="21"/>
      <x:c r="N8" s="20"/>
      <x:c r="O8" s="20"/>
      <x:c r="P8" s="20" t="str">
        <x:f>IF(OR(N8="",O8=""),"",N8*O8)</x:f>
      </x:c>
      <x:c r="Q8" s="20"/>
    </x:row>
    <x:row r="9">
      <x:c r="A9" s="20"/>
      <x:c r="B9" s="20"/>
      <x:c r="C9" s="20"/>
      <x:c r="D9" s="20"/>
      <x:c r="E9" s="20"/>
      <x:c r="F9" s="20"/>
      <x:c r="G9" s="20" t="str">
        <x:f>IF(OR(E9="",F9=""),"",E9*F9)</x:f>
      </x:c>
      <x:c r="H9" s="20" t="str">
        <x:f>IF(G9="","",IF(G9&gt;=20,"Critical",IF(G9&gt;=12,"High",IF(G9&gt;=6,"Moderate","Low"))))</x:f>
      </x:c>
      <x:c r="I9" s="20"/>
      <x:c r="J9" s="20"/>
      <x:c r="K9" s="20"/>
      <x:c r="L9" s="20"/>
      <x:c r="M9" s="21"/>
      <x:c r="N9" s="20"/>
      <x:c r="O9" s="20"/>
      <x:c r="P9" s="20" t="str">
        <x:f>IF(OR(N9="",O9=""),"",N9*O9)</x:f>
      </x:c>
      <x:c r="Q9" s="20"/>
    </x:row>
    <x:row r="10">
      <x:c r="A10" s="20"/>
      <x:c r="B10" s="20"/>
      <x:c r="C10" s="20"/>
      <x:c r="D10" s="20"/>
      <x:c r="E10" s="20"/>
      <x:c r="F10" s="20"/>
      <x:c r="G10" s="20" t="str">
        <x:f>IF(OR(E10="",F10=""),"",E10*F10)</x:f>
      </x:c>
      <x:c r="H10" s="20" t="str">
        <x:f>IF(G10="","",IF(G10&gt;=20,"Critical",IF(G10&gt;=12,"High",IF(G10&gt;=6,"Moderate","Low"))))</x:f>
      </x:c>
      <x:c r="I10" s="20"/>
      <x:c r="J10" s="20"/>
      <x:c r="K10" s="20"/>
      <x:c r="L10" s="20"/>
      <x:c r="M10" s="21"/>
      <x:c r="N10" s="20"/>
      <x:c r="O10" s="20"/>
      <x:c r="P10" s="20" t="str">
        <x:f>IF(OR(N10="",O10=""),"",N10*O10)</x:f>
      </x:c>
      <x:c r="Q10" s="20"/>
    </x:row>
    <x:row r="11">
      <x:c r="A11" s="20"/>
      <x:c r="B11" s="20"/>
      <x:c r="C11" s="20"/>
      <x:c r="D11" s="20"/>
      <x:c r="E11" s="20"/>
      <x:c r="F11" s="20"/>
      <x:c r="G11" s="20" t="str">
        <x:f>IF(OR(E11="",F11=""),"",E11*F11)</x:f>
      </x:c>
      <x:c r="H11" s="20" t="str">
        <x:f>IF(G11="","",IF(G11&gt;=20,"Critical",IF(G11&gt;=12,"High",IF(G11&gt;=6,"Moderate","Low"))))</x:f>
      </x:c>
      <x:c r="I11" s="20"/>
      <x:c r="J11" s="20"/>
      <x:c r="K11" s="20"/>
      <x:c r="L11" s="20"/>
      <x:c r="M11" s="21"/>
      <x:c r="N11" s="20"/>
      <x:c r="O11" s="20"/>
      <x:c r="P11" s="20" t="str">
        <x:f>IF(OR(N11="",O11=""),"",N11*O11)</x:f>
      </x:c>
      <x:c r="Q11" s="20"/>
    </x:row>
    <x:row r="12">
      <x:c r="A12" s="20"/>
      <x:c r="B12" s="20"/>
      <x:c r="C12" s="20"/>
      <x:c r="D12" s="20"/>
      <x:c r="E12" s="20"/>
      <x:c r="F12" s="20"/>
      <x:c r="G12" s="20" t="str">
        <x:f>IF(OR(E12="",F12=""),"",E12*F12)</x:f>
      </x:c>
      <x:c r="H12" s="20" t="str">
        <x:f>IF(G12="","",IF(G12&gt;=20,"Critical",IF(G12&gt;=12,"High",IF(G12&gt;=6,"Moderate","Low"))))</x:f>
      </x:c>
      <x:c r="I12" s="20"/>
      <x:c r="J12" s="20"/>
      <x:c r="K12" s="20"/>
      <x:c r="L12" s="20"/>
      <x:c r="M12" s="21"/>
      <x:c r="N12" s="20"/>
      <x:c r="O12" s="20"/>
      <x:c r="P12" s="20" t="str">
        <x:f>IF(OR(N12="",O12=""),"",N12*O12)</x:f>
      </x:c>
      <x:c r="Q12" s="20"/>
    </x:row>
    <x:row r="13">
      <x:c r="A13" s="20"/>
      <x:c r="B13" s="20"/>
      <x:c r="C13" s="20"/>
      <x:c r="D13" s="20"/>
      <x:c r="E13" s="20"/>
      <x:c r="F13" s="20"/>
      <x:c r="G13" s="20" t="str">
        <x:f>IF(OR(E13="",F13=""),"",E13*F13)</x:f>
      </x:c>
      <x:c r="H13" s="20" t="str">
        <x:f>IF(G13="","",IF(G13&gt;=20,"Critical",IF(G13&gt;=12,"High",IF(G13&gt;=6,"Moderate","Low"))))</x:f>
      </x:c>
      <x:c r="I13" s="20"/>
      <x:c r="J13" s="20"/>
      <x:c r="K13" s="20"/>
      <x:c r="L13" s="20"/>
      <x:c r="M13" s="21"/>
      <x:c r="N13" s="20"/>
      <x:c r="O13" s="20"/>
      <x:c r="P13" s="20" t="str">
        <x:f>IF(OR(N13="",O13=""),"",N13*O13)</x:f>
      </x:c>
      <x:c r="Q13" s="20"/>
    </x:row>
    <x:row r="14">
      <x:c r="A14" s="20"/>
      <x:c r="B14" s="20"/>
      <x:c r="C14" s="20"/>
      <x:c r="D14" s="20"/>
      <x:c r="E14" s="20"/>
      <x:c r="F14" s="20"/>
      <x:c r="G14" s="20" t="str">
        <x:f>IF(OR(E14="",F14=""),"",E14*F14)</x:f>
      </x:c>
      <x:c r="H14" s="20" t="str">
        <x:f>IF(G14="","",IF(G14&gt;=20,"Critical",IF(G14&gt;=12,"High",IF(G14&gt;=6,"Moderate","Low"))))</x:f>
      </x:c>
      <x:c r="I14" s="20"/>
      <x:c r="J14" s="20"/>
      <x:c r="K14" s="20"/>
      <x:c r="L14" s="20"/>
      <x:c r="M14" s="21"/>
      <x:c r="N14" s="20"/>
      <x:c r="O14" s="20"/>
      <x:c r="P14" s="20" t="str">
        <x:f>IF(OR(N14="",O14=""),"",N14*O14)</x:f>
      </x:c>
      <x:c r="Q14" s="20"/>
    </x:row>
    <x:row r="15">
      <x:c r="A15" s="20"/>
      <x:c r="B15" s="20"/>
      <x:c r="C15" s="20"/>
      <x:c r="D15" s="20"/>
      <x:c r="E15" s="20"/>
      <x:c r="F15" s="20"/>
      <x:c r="G15" s="20" t="str">
        <x:f>IF(OR(E15="",F15=""),"",E15*F15)</x:f>
      </x:c>
      <x:c r="H15" s="20" t="str">
        <x:f>IF(G15="","",IF(G15&gt;=20,"Critical",IF(G15&gt;=12,"High",IF(G15&gt;=6,"Moderate","Low"))))</x:f>
      </x:c>
      <x:c r="I15" s="20"/>
      <x:c r="J15" s="20"/>
      <x:c r="K15" s="20"/>
      <x:c r="L15" s="20"/>
      <x:c r="M15" s="21"/>
      <x:c r="N15" s="20"/>
      <x:c r="O15" s="20"/>
      <x:c r="P15" s="20" t="str">
        <x:f>IF(OR(N15="",O15=""),"",N15*O15)</x:f>
      </x:c>
      <x:c r="Q15" s="20"/>
    </x:row>
    <x:row r="16">
      <x:c r="A16" s="20"/>
      <x:c r="B16" s="20"/>
      <x:c r="C16" s="20"/>
      <x:c r="D16" s="20"/>
      <x:c r="E16" s="20"/>
      <x:c r="F16" s="20"/>
      <x:c r="G16" s="20" t="str">
        <x:f>IF(OR(E16="",F16=""),"",E16*F16)</x:f>
      </x:c>
      <x:c r="H16" s="20" t="str">
        <x:f>IF(G16="","",IF(G16&gt;=20,"Critical",IF(G16&gt;=12,"High",IF(G16&gt;=6,"Moderate","Low"))))</x:f>
      </x:c>
      <x:c r="I16" s="20"/>
      <x:c r="J16" s="20"/>
      <x:c r="K16" s="20"/>
      <x:c r="L16" s="20"/>
      <x:c r="M16" s="21"/>
      <x:c r="N16" s="20"/>
      <x:c r="O16" s="20"/>
      <x:c r="P16" s="20" t="str">
        <x:f>IF(OR(N16="",O16=""),"",N16*O16)</x:f>
      </x:c>
      <x:c r="Q16" s="20"/>
    </x:row>
    <x:row r="17">
      <x:c r="A17" s="20"/>
      <x:c r="B17" s="20"/>
      <x:c r="C17" s="20"/>
      <x:c r="D17" s="20"/>
      <x:c r="E17" s="20"/>
      <x:c r="F17" s="20"/>
      <x:c r="G17" s="20" t="str">
        <x:f>IF(OR(E17="",F17=""),"",E17*F17)</x:f>
      </x:c>
      <x:c r="H17" s="20" t="str">
        <x:f>IF(G17="","",IF(G17&gt;=20,"Critical",IF(G17&gt;=12,"High",IF(G17&gt;=6,"Moderate","Low"))))</x:f>
      </x:c>
      <x:c r="I17" s="20"/>
      <x:c r="J17" s="20"/>
      <x:c r="K17" s="20"/>
      <x:c r="L17" s="20"/>
      <x:c r="M17" s="21"/>
      <x:c r="N17" s="20"/>
      <x:c r="O17" s="20"/>
      <x:c r="P17" s="20" t="str">
        <x:f>IF(OR(N17="",O17=""),"",N17*O17)</x:f>
      </x:c>
      <x:c r="Q17" s="20"/>
    </x:row>
    <x:row r="18">
      <x:c r="A18" s="20"/>
      <x:c r="B18" s="20"/>
      <x:c r="C18" s="20"/>
      <x:c r="D18" s="20"/>
      <x:c r="E18" s="20"/>
      <x:c r="F18" s="20"/>
      <x:c r="G18" s="20" t="str">
        <x:f>IF(OR(E18="",F18=""),"",E18*F18)</x:f>
      </x:c>
      <x:c r="H18" s="20" t="str">
        <x:f>IF(G18="","",IF(G18&gt;=20,"Critical",IF(G18&gt;=12,"High",IF(G18&gt;=6,"Moderate","Low"))))</x:f>
      </x:c>
      <x:c r="I18" s="20"/>
      <x:c r="J18" s="20"/>
      <x:c r="K18" s="20"/>
      <x:c r="L18" s="20"/>
      <x:c r="M18" s="21"/>
      <x:c r="N18" s="20"/>
      <x:c r="O18" s="20"/>
      <x:c r="P18" s="20" t="str">
        <x:f>IF(OR(N18="",O18=""),"",N18*O18)</x:f>
      </x:c>
      <x:c r="Q18" s="20"/>
    </x:row>
    <x:row r="19">
      <x:c r="A19" s="20"/>
      <x:c r="B19" s="20"/>
      <x:c r="C19" s="20"/>
      <x:c r="D19" s="20"/>
      <x:c r="E19" s="20"/>
      <x:c r="F19" s="20"/>
      <x:c r="G19" s="20" t="str">
        <x:f>IF(OR(E19="",F19=""),"",E19*F19)</x:f>
      </x:c>
      <x:c r="H19" s="20" t="str">
        <x:f>IF(G19="","",IF(G19&gt;=20,"Critical",IF(G19&gt;=12,"High",IF(G19&gt;=6,"Moderate","Low"))))</x:f>
      </x:c>
      <x:c r="I19" s="20"/>
      <x:c r="J19" s="20"/>
      <x:c r="K19" s="20"/>
      <x:c r="L19" s="20"/>
      <x:c r="M19" s="21"/>
      <x:c r="N19" s="20"/>
      <x:c r="O19" s="20"/>
      <x:c r="P19" s="20" t="str">
        <x:f>IF(OR(N19="",O19=""),"",N19*O19)</x:f>
      </x:c>
      <x:c r="Q19" s="20"/>
    </x:row>
    <x:row r="20">
      <x:c r="A20" s="20"/>
      <x:c r="B20" s="20"/>
      <x:c r="C20" s="20"/>
      <x:c r="D20" s="20"/>
      <x:c r="E20" s="20"/>
      <x:c r="F20" s="20"/>
      <x:c r="G20" s="20" t="str">
        <x:f>IF(OR(E20="",F20=""),"",E20*F20)</x:f>
      </x:c>
      <x:c r="H20" s="20" t="str">
        <x:f>IF(G20="","",IF(G20&gt;=20,"Critical",IF(G20&gt;=12,"High",IF(G20&gt;=6,"Moderate","Low"))))</x:f>
      </x:c>
      <x:c r="I20" s="20"/>
      <x:c r="J20" s="20"/>
      <x:c r="K20" s="20"/>
      <x:c r="L20" s="20"/>
      <x:c r="M20" s="21"/>
      <x:c r="N20" s="20"/>
      <x:c r="O20" s="20"/>
      <x:c r="P20" s="20" t="str">
        <x:f>IF(OR(N20="",O20=""),"",N20*O20)</x:f>
      </x:c>
      <x:c r="Q20" s="20"/>
    </x:row>
    <x:row r="21">
      <x:c r="A21" s="20"/>
      <x:c r="B21" s="20"/>
      <x:c r="C21" s="20"/>
      <x:c r="D21" s="20"/>
      <x:c r="E21" s="20"/>
      <x:c r="F21" s="20"/>
      <x:c r="G21" s="20" t="str">
        <x:f>IF(OR(E21="",F21=""),"",E21*F21)</x:f>
      </x:c>
      <x:c r="H21" s="20" t="str">
        <x:f>IF(G21="","",IF(G21&gt;=20,"Critical",IF(G21&gt;=12,"High",IF(G21&gt;=6,"Moderate","Low"))))</x:f>
      </x:c>
      <x:c r="I21" s="20"/>
      <x:c r="J21" s="20"/>
      <x:c r="K21" s="20"/>
      <x:c r="L21" s="20"/>
      <x:c r="M21" s="21"/>
      <x:c r="N21" s="20"/>
      <x:c r="O21" s="20"/>
      <x:c r="P21" s="20" t="str">
        <x:f>IF(OR(N21="",O21=""),"",N21*O21)</x:f>
      </x:c>
      <x:c r="Q21" s="20"/>
    </x:row>
    <x:row r="22">
      <x:c r="A22" s="20"/>
      <x:c r="B22" s="20"/>
      <x:c r="C22" s="20"/>
      <x:c r="D22" s="20"/>
      <x:c r="E22" s="20"/>
      <x:c r="F22" s="20"/>
      <x:c r="G22" s="20" t="str">
        <x:f>IF(OR(E22="",F22=""),"",E22*F22)</x:f>
      </x:c>
      <x:c r="H22" s="20" t="str">
        <x:f>IF(G22="","",IF(G22&gt;=20,"Critical",IF(G22&gt;=12,"High",IF(G22&gt;=6,"Moderate","Low"))))</x:f>
      </x:c>
      <x:c r="I22" s="20"/>
      <x:c r="J22" s="20"/>
      <x:c r="K22" s="20"/>
      <x:c r="L22" s="20"/>
      <x:c r="M22" s="21"/>
      <x:c r="N22" s="20"/>
      <x:c r="O22" s="20"/>
      <x:c r="P22" s="20" t="str">
        <x:f>IF(OR(N22="",O22=""),"",N22*O22)</x:f>
      </x:c>
      <x:c r="Q22" s="20"/>
    </x:row>
    <x:row r="23">
      <x:c r="A23" s="20"/>
      <x:c r="B23" s="20"/>
      <x:c r="C23" s="20"/>
      <x:c r="D23" s="20"/>
      <x:c r="E23" s="20"/>
      <x:c r="F23" s="20"/>
      <x:c r="G23" s="20" t="str">
        <x:f>IF(OR(E23="",F23=""),"",E23*F23)</x:f>
      </x:c>
      <x:c r="H23" s="20" t="str">
        <x:f>IF(G23="","",IF(G23&gt;=20,"Critical",IF(G23&gt;=12,"High",IF(G23&gt;=6,"Moderate","Low"))))</x:f>
      </x:c>
      <x:c r="I23" s="20"/>
      <x:c r="J23" s="20"/>
      <x:c r="K23" s="20"/>
      <x:c r="L23" s="20"/>
      <x:c r="M23" s="21"/>
      <x:c r="N23" s="20"/>
      <x:c r="O23" s="20"/>
      <x:c r="P23" s="20" t="str">
        <x:f>IF(OR(N23="",O23=""),"",N23*O23)</x:f>
      </x:c>
      <x:c r="Q23" s="20"/>
    </x:row>
    <x:row r="24">
      <x:c r="A24" s="20"/>
      <x:c r="B24" s="20"/>
      <x:c r="C24" s="20"/>
      <x:c r="D24" s="20"/>
      <x:c r="E24" s="20"/>
      <x:c r="F24" s="20"/>
      <x:c r="G24" s="20" t="str">
        <x:f>IF(OR(E24="",F24=""),"",E24*F24)</x:f>
      </x:c>
      <x:c r="H24" s="20" t="str">
        <x:f>IF(G24="","",IF(G24&gt;=20,"Critical",IF(G24&gt;=12,"High",IF(G24&gt;=6,"Moderate","Low"))))</x:f>
      </x:c>
      <x:c r="I24" s="20"/>
      <x:c r="J24" s="20"/>
      <x:c r="K24" s="20"/>
      <x:c r="L24" s="20"/>
      <x:c r="M24" s="21"/>
      <x:c r="N24" s="20"/>
      <x:c r="O24" s="20"/>
      <x:c r="P24" s="20" t="str">
        <x:f>IF(OR(N24="",O24=""),"",N24*O24)</x:f>
      </x:c>
      <x:c r="Q24" s="20"/>
    </x:row>
    <x:row r="25">
      <x:c r="A25" s="20"/>
      <x:c r="B25" s="20"/>
      <x:c r="C25" s="20"/>
      <x:c r="D25" s="20"/>
      <x:c r="E25" s="20"/>
      <x:c r="F25" s="20"/>
      <x:c r="G25" s="20" t="str">
        <x:f>IF(OR(E25="",F25=""),"",E25*F25)</x:f>
      </x:c>
      <x:c r="H25" s="20" t="str">
        <x:f>IF(G25="","",IF(G25&gt;=20,"Critical",IF(G25&gt;=12,"High",IF(G25&gt;=6,"Moderate","Low"))))</x:f>
      </x:c>
      <x:c r="I25" s="20"/>
      <x:c r="J25" s="20"/>
      <x:c r="K25" s="20"/>
      <x:c r="L25" s="20"/>
      <x:c r="M25" s="21"/>
      <x:c r="N25" s="20"/>
      <x:c r="O25" s="20"/>
      <x:c r="P25" s="20" t="str">
        <x:f>IF(OR(N25="",O25=""),"",N25*O25)</x:f>
      </x:c>
      <x:c r="Q25" s="20"/>
    </x:row>
    <x:row r="26">
      <x:c r="A26" s="20"/>
      <x:c r="B26" s="20"/>
      <x:c r="C26" s="20"/>
      <x:c r="D26" s="20"/>
      <x:c r="E26" s="20"/>
      <x:c r="F26" s="20"/>
      <x:c r="G26" s="20" t="str">
        <x:f>IF(OR(E26="",F26=""),"",E26*F26)</x:f>
      </x:c>
      <x:c r="H26" s="20" t="str">
        <x:f>IF(G26="","",IF(G26&gt;=20,"Critical",IF(G26&gt;=12,"High",IF(G26&gt;=6,"Moderate","Low"))))</x:f>
      </x:c>
      <x:c r="I26" s="20"/>
      <x:c r="J26" s="20"/>
      <x:c r="K26" s="20"/>
      <x:c r="L26" s="20"/>
      <x:c r="M26" s="21"/>
      <x:c r="N26" s="20"/>
      <x:c r="O26" s="20"/>
      <x:c r="P26" s="20" t="str">
        <x:f>IF(OR(N26="",O26=""),"",N26*O26)</x:f>
      </x:c>
      <x:c r="Q26" s="20"/>
    </x:row>
    <x:row r="27">
      <x:c r="A27" s="20"/>
      <x:c r="B27" s="20"/>
      <x:c r="C27" s="20"/>
      <x:c r="D27" s="20"/>
      <x:c r="E27" s="20"/>
      <x:c r="F27" s="20"/>
      <x:c r="G27" s="20" t="str">
        <x:f>IF(OR(E27="",F27=""),"",E27*F27)</x:f>
      </x:c>
      <x:c r="H27" s="20" t="str">
        <x:f>IF(G27="","",IF(G27&gt;=20,"Critical",IF(G27&gt;=12,"High",IF(G27&gt;=6,"Moderate","Low"))))</x:f>
      </x:c>
      <x:c r="I27" s="20"/>
      <x:c r="J27" s="20"/>
      <x:c r="K27" s="20"/>
      <x:c r="L27" s="20"/>
      <x:c r="M27" s="21"/>
      <x:c r="N27" s="20"/>
      <x:c r="O27" s="20"/>
      <x:c r="P27" s="20" t="str">
        <x:f>IF(OR(N27="",O27=""),"",N27*O27)</x:f>
      </x:c>
      <x:c r="Q27" s="20"/>
    </x:row>
    <x:row r="28">
      <x:c r="A28" s="20"/>
      <x:c r="B28" s="20"/>
      <x:c r="C28" s="20"/>
      <x:c r="D28" s="20"/>
      <x:c r="E28" s="20"/>
      <x:c r="F28" s="20"/>
      <x:c r="G28" s="20" t="str">
        <x:f>IF(OR(E28="",F28=""),"",E28*F28)</x:f>
      </x:c>
      <x:c r="H28" s="20" t="str">
        <x:f>IF(G28="","",IF(G28&gt;=20,"Critical",IF(G28&gt;=12,"High",IF(G28&gt;=6,"Moderate","Low"))))</x:f>
      </x:c>
      <x:c r="I28" s="20"/>
      <x:c r="J28" s="20"/>
      <x:c r="K28" s="20"/>
      <x:c r="L28" s="20"/>
      <x:c r="M28" s="21"/>
      <x:c r="N28" s="20"/>
      <x:c r="O28" s="20"/>
      <x:c r="P28" s="20" t="str">
        <x:f>IF(OR(N28="",O28=""),"",N28*O28)</x:f>
      </x:c>
      <x:c r="Q28" s="20"/>
    </x:row>
    <x:row r="29">
      <x:c r="A29" s="20"/>
      <x:c r="B29" s="20"/>
      <x:c r="C29" s="20"/>
      <x:c r="D29" s="20"/>
      <x:c r="E29" s="20"/>
      <x:c r="F29" s="20"/>
      <x:c r="G29" s="20" t="str">
        <x:f>IF(OR(E29="",F29=""),"",E29*F29)</x:f>
      </x:c>
      <x:c r="H29" s="20" t="str">
        <x:f>IF(G29="","",IF(G29&gt;=20,"Critical",IF(G29&gt;=12,"High",IF(G29&gt;=6,"Moderate","Low"))))</x:f>
      </x:c>
      <x:c r="I29" s="20"/>
      <x:c r="J29" s="20"/>
      <x:c r="K29" s="20"/>
      <x:c r="L29" s="20"/>
      <x:c r="M29" s="21"/>
      <x:c r="N29" s="20"/>
      <x:c r="O29" s="20"/>
      <x:c r="P29" s="20" t="str">
        <x:f>IF(OR(N29="",O29=""),"",N29*O29)</x:f>
      </x:c>
      <x:c r="Q29" s="20"/>
    </x:row>
    <x:row r="30">
      <x:c r="A30" s="20"/>
      <x:c r="B30" s="20"/>
      <x:c r="C30" s="20"/>
      <x:c r="D30" s="20"/>
      <x:c r="E30" s="20"/>
      <x:c r="F30" s="20"/>
      <x:c r="G30" s="20" t="str">
        <x:f>IF(OR(E30="",F30=""),"",E30*F30)</x:f>
      </x:c>
      <x:c r="H30" s="20" t="str">
        <x:f>IF(G30="","",IF(G30&gt;=20,"Critical",IF(G30&gt;=12,"High",IF(G30&gt;=6,"Moderate","Low"))))</x:f>
      </x:c>
      <x:c r="I30" s="20"/>
      <x:c r="J30" s="20"/>
      <x:c r="K30" s="20"/>
      <x:c r="L30" s="20"/>
      <x:c r="M30" s="21"/>
      <x:c r="N30" s="20"/>
      <x:c r="O30" s="20"/>
      <x:c r="P30" s="20" t="str">
        <x:f>IF(OR(N30="",O30=""),"",N30*O30)</x:f>
      </x:c>
      <x:c r="Q30" s="20"/>
    </x:row>
    <x:row r="31">
      <x:c r="A31" s="20"/>
      <x:c r="B31" s="20"/>
      <x:c r="C31" s="20"/>
      <x:c r="D31" s="20"/>
      <x:c r="E31" s="20"/>
      <x:c r="F31" s="20"/>
      <x:c r="G31" s="20" t="str">
        <x:f>IF(OR(E31="",F31=""),"",E31*F31)</x:f>
      </x:c>
      <x:c r="H31" s="20" t="str">
        <x:f>IF(G31="","",IF(G31&gt;=20,"Critical",IF(G31&gt;=12,"High",IF(G31&gt;=6,"Moderate","Low"))))</x:f>
      </x:c>
      <x:c r="I31" s="20"/>
      <x:c r="J31" s="20"/>
      <x:c r="K31" s="20"/>
      <x:c r="L31" s="20"/>
      <x:c r="M31" s="21"/>
      <x:c r="N31" s="20"/>
      <x:c r="O31" s="20"/>
      <x:c r="P31" s="20" t="str">
        <x:f>IF(OR(N31="",O31=""),"",N31*O31)</x:f>
      </x:c>
      <x:c r="Q31" s="20"/>
    </x:row>
    <x:row r="32">
      <x:c r="A32" s="20"/>
      <x:c r="B32" s="20"/>
      <x:c r="C32" s="20"/>
      <x:c r="D32" s="20"/>
      <x:c r="E32" s="20"/>
      <x:c r="F32" s="20"/>
      <x:c r="G32" s="20" t="str">
        <x:f>IF(OR(E32="",F32=""),"",E32*F32)</x:f>
      </x:c>
      <x:c r="H32" s="20" t="str">
        <x:f>IF(G32="","",IF(G32&gt;=20,"Critical",IF(G32&gt;=12,"High",IF(G32&gt;=6,"Moderate","Low"))))</x:f>
      </x:c>
      <x:c r="I32" s="20"/>
      <x:c r="J32" s="20"/>
      <x:c r="K32" s="20"/>
      <x:c r="L32" s="20"/>
      <x:c r="M32" s="21"/>
      <x:c r="N32" s="20"/>
      <x:c r="O32" s="20"/>
      <x:c r="P32" s="20" t="str">
        <x:f>IF(OR(N32="",O32=""),"",N32*O32)</x:f>
      </x:c>
      <x:c r="Q32" s="20"/>
    </x:row>
    <x:row r="33">
      <x:c r="A33" s="20"/>
      <x:c r="B33" s="20"/>
      <x:c r="C33" s="20"/>
      <x:c r="D33" s="20"/>
      <x:c r="E33" s="20"/>
      <x:c r="F33" s="20"/>
      <x:c r="G33" s="20" t="str">
        <x:f>IF(OR(E33="",F33=""),"",E33*F33)</x:f>
      </x:c>
      <x:c r="H33" s="20" t="str">
        <x:f>IF(G33="","",IF(G33&gt;=20,"Critical",IF(G33&gt;=12,"High",IF(G33&gt;=6,"Moderate","Low"))))</x:f>
      </x:c>
      <x:c r="I33" s="20"/>
      <x:c r="J33" s="20"/>
      <x:c r="K33" s="20"/>
      <x:c r="L33" s="20"/>
      <x:c r="M33" s="21"/>
      <x:c r="N33" s="20"/>
      <x:c r="O33" s="20"/>
      <x:c r="P33" s="20" t="str">
        <x:f>IF(OR(N33="",O33=""),"",N33*O33)</x:f>
      </x:c>
      <x:c r="Q33" s="20"/>
    </x:row>
    <x:row r="34">
      <x:c r="A34" s="20"/>
      <x:c r="B34" s="20"/>
      <x:c r="C34" s="20"/>
      <x:c r="D34" s="20"/>
      <x:c r="E34" s="20"/>
      <x:c r="F34" s="20"/>
      <x:c r="G34" s="20" t="str">
        <x:f>IF(OR(E34="",F34=""),"",E34*F34)</x:f>
      </x:c>
      <x:c r="H34" s="20" t="str">
        <x:f>IF(G34="","",IF(G34&gt;=20,"Critical",IF(G34&gt;=12,"High",IF(G34&gt;=6,"Moderate","Low"))))</x:f>
      </x:c>
      <x:c r="I34" s="20"/>
      <x:c r="J34" s="20"/>
      <x:c r="K34" s="20"/>
      <x:c r="L34" s="20"/>
      <x:c r="M34" s="21"/>
      <x:c r="N34" s="20"/>
      <x:c r="O34" s="20"/>
      <x:c r="P34" s="20" t="str">
        <x:f>IF(OR(N34="",O34=""),"",N34*O34)</x:f>
      </x:c>
      <x:c r="Q34" s="20"/>
    </x:row>
    <x:row r="35">
      <x:c r="A35" s="20"/>
      <x:c r="B35" s="20"/>
      <x:c r="C35" s="20"/>
      <x:c r="D35" s="20"/>
      <x:c r="E35" s="20"/>
      <x:c r="F35" s="20"/>
      <x:c r="G35" s="20" t="str">
        <x:f>IF(OR(E35="",F35=""),"",E35*F35)</x:f>
      </x:c>
      <x:c r="H35" s="20" t="str">
        <x:f>IF(G35="","",IF(G35&gt;=20,"Critical",IF(G35&gt;=12,"High",IF(G35&gt;=6,"Moderate","Low"))))</x:f>
      </x:c>
      <x:c r="I35" s="20"/>
      <x:c r="J35" s="20"/>
      <x:c r="K35" s="20"/>
      <x:c r="L35" s="20"/>
      <x:c r="M35" s="21"/>
      <x:c r="N35" s="20"/>
      <x:c r="O35" s="20"/>
      <x:c r="P35" s="20" t="str">
        <x:f>IF(OR(N35="",O35=""),"",N35*O35)</x:f>
      </x:c>
      <x:c r="Q35" s="20"/>
    </x:row>
    <x:row r="36">
      <x:c r="A36" s="20"/>
      <x:c r="B36" s="20"/>
      <x:c r="C36" s="20"/>
      <x:c r="D36" s="20"/>
      <x:c r="E36" s="20"/>
      <x:c r="F36" s="20"/>
      <x:c r="G36" s="20" t="str">
        <x:f>IF(OR(E36="",F36=""),"",E36*F36)</x:f>
      </x:c>
      <x:c r="H36" s="20" t="str">
        <x:f>IF(G36="","",IF(G36&gt;=20,"Critical",IF(G36&gt;=12,"High",IF(G36&gt;=6,"Moderate","Low"))))</x:f>
      </x:c>
      <x:c r="I36" s="20"/>
      <x:c r="J36" s="20"/>
      <x:c r="K36" s="20"/>
      <x:c r="L36" s="20"/>
      <x:c r="M36" s="21"/>
      <x:c r="N36" s="20"/>
      <x:c r="O36" s="20"/>
      <x:c r="P36" s="20" t="str">
        <x:f>IF(OR(N36="",O36=""),"",N36*O36)</x:f>
      </x:c>
      <x:c r="Q36" s="20"/>
    </x:row>
    <x:row r="37">
      <x:c r="A37" s="20"/>
      <x:c r="B37" s="20"/>
      <x:c r="C37" s="20"/>
      <x:c r="D37" s="20"/>
      <x:c r="E37" s="20"/>
      <x:c r="F37" s="20"/>
      <x:c r="G37" s="20" t="str">
        <x:f>IF(OR(E37="",F37=""),"",E37*F37)</x:f>
      </x:c>
      <x:c r="H37" s="20" t="str">
        <x:f>IF(G37="","",IF(G37&gt;=20,"Critical",IF(G37&gt;=12,"High",IF(G37&gt;=6,"Moderate","Low"))))</x:f>
      </x:c>
      <x:c r="I37" s="20"/>
      <x:c r="J37" s="20"/>
      <x:c r="K37" s="20"/>
      <x:c r="L37" s="20"/>
      <x:c r="M37" s="21"/>
      <x:c r="N37" s="20"/>
      <x:c r="O37" s="20"/>
      <x:c r="P37" s="20" t="str">
        <x:f>IF(OR(N37="",O37=""),"",N37*O37)</x:f>
      </x:c>
      <x:c r="Q37" s="20"/>
    </x:row>
    <x:row r="38">
      <x:c r="A38" s="20"/>
      <x:c r="B38" s="20"/>
      <x:c r="C38" s="20"/>
      <x:c r="D38" s="20"/>
      <x:c r="E38" s="20"/>
      <x:c r="F38" s="20"/>
      <x:c r="G38" s="20" t="str">
        <x:f>IF(OR(E38="",F38=""),"",E38*F38)</x:f>
      </x:c>
      <x:c r="H38" s="20" t="str">
        <x:f>IF(G38="","",IF(G38&gt;=20,"Critical",IF(G38&gt;=12,"High",IF(G38&gt;=6,"Moderate","Low"))))</x:f>
      </x:c>
      <x:c r="I38" s="20"/>
      <x:c r="J38" s="20"/>
      <x:c r="K38" s="20"/>
      <x:c r="L38" s="20"/>
      <x:c r="M38" s="21"/>
      <x:c r="N38" s="20"/>
      <x:c r="O38" s="20"/>
      <x:c r="P38" s="20" t="str">
        <x:f>IF(OR(N38="",O38=""),"",N38*O38)</x:f>
      </x:c>
      <x:c r="Q38" s="20"/>
    </x:row>
    <x:row r="39">
      <x:c r="A39" s="20"/>
      <x:c r="B39" s="20"/>
      <x:c r="C39" s="20"/>
      <x:c r="D39" s="20"/>
      <x:c r="E39" s="20"/>
      <x:c r="F39" s="20"/>
      <x:c r="G39" s="20" t="str">
        <x:f>IF(OR(E39="",F39=""),"",E39*F39)</x:f>
      </x:c>
      <x:c r="H39" s="20" t="str">
        <x:f>IF(G39="","",IF(G39&gt;=20,"Critical",IF(G39&gt;=12,"High",IF(G39&gt;=6,"Moderate","Low"))))</x:f>
      </x:c>
      <x:c r="I39" s="20"/>
      <x:c r="J39" s="20"/>
      <x:c r="K39" s="20"/>
      <x:c r="L39" s="20"/>
      <x:c r="M39" s="21"/>
      <x:c r="N39" s="20"/>
      <x:c r="O39" s="20"/>
      <x:c r="P39" s="20" t="str">
        <x:f>IF(OR(N39="",O39=""),"",N39*O39)</x:f>
      </x:c>
      <x:c r="Q39" s="20"/>
    </x:row>
    <x:row r="40">
      <x:c r="A40" s="20"/>
      <x:c r="B40" s="20"/>
      <x:c r="C40" s="20"/>
      <x:c r="D40" s="20"/>
      <x:c r="E40" s="20"/>
      <x:c r="F40" s="20"/>
      <x:c r="G40" s="20" t="str">
        <x:f>IF(OR(E40="",F40=""),"",E40*F40)</x:f>
      </x:c>
      <x:c r="H40" s="20" t="str">
        <x:f>IF(G40="","",IF(G40&gt;=20,"Critical",IF(G40&gt;=12,"High",IF(G40&gt;=6,"Moderate","Low"))))</x:f>
      </x:c>
      <x:c r="I40" s="20"/>
      <x:c r="J40" s="20"/>
      <x:c r="K40" s="20"/>
      <x:c r="L40" s="20"/>
      <x:c r="M40" s="21"/>
      <x:c r="N40" s="20"/>
      <x:c r="O40" s="20"/>
      <x:c r="P40" s="20" t="str">
        <x:f>IF(OR(N40="",O40=""),"",N40*O40)</x:f>
      </x:c>
      <x:c r="Q40" s="20"/>
    </x:row>
    <x:row r="41">
      <x:c r="A41" s="20"/>
      <x:c r="B41" s="20"/>
      <x:c r="C41" s="20"/>
      <x:c r="D41" s="20"/>
      <x:c r="E41" s="20"/>
      <x:c r="F41" s="20"/>
      <x:c r="G41" s="20" t="str">
        <x:f>IF(OR(E41="",F41=""),"",E41*F41)</x:f>
      </x:c>
      <x:c r="H41" s="20" t="str">
        <x:f>IF(G41="","",IF(G41&gt;=20,"Critical",IF(G41&gt;=12,"High",IF(G41&gt;=6,"Moderate","Low"))))</x:f>
      </x:c>
      <x:c r="I41" s="20"/>
      <x:c r="J41" s="20"/>
      <x:c r="K41" s="20"/>
      <x:c r="L41" s="20"/>
      <x:c r="M41" s="21"/>
      <x:c r="N41" s="20"/>
      <x:c r="O41" s="20"/>
      <x:c r="P41" s="20" t="str">
        <x:f>IF(OR(N41="",O41=""),"",N41*O41)</x:f>
      </x:c>
      <x:c r="Q41" s="20"/>
    </x:row>
    <x:row r="42">
      <x:c r="A42" s="20"/>
      <x:c r="B42" s="20"/>
      <x:c r="C42" s="20"/>
      <x:c r="D42" s="20"/>
      <x:c r="E42" s="20"/>
      <x:c r="F42" s="20"/>
      <x:c r="G42" s="20" t="str">
        <x:f>IF(OR(E42="",F42=""),"",E42*F42)</x:f>
      </x:c>
      <x:c r="H42" s="20" t="str">
        <x:f>IF(G42="","",IF(G42&gt;=20,"Critical",IF(G42&gt;=12,"High",IF(G42&gt;=6,"Moderate","Low"))))</x:f>
      </x:c>
      <x:c r="I42" s="20"/>
      <x:c r="J42" s="20"/>
      <x:c r="K42" s="20"/>
      <x:c r="L42" s="20"/>
      <x:c r="M42" s="21"/>
      <x:c r="N42" s="20"/>
      <x:c r="O42" s="20"/>
      <x:c r="P42" s="20" t="str">
        <x:f>IF(OR(N42="",O42=""),"",N42*O42)</x:f>
      </x:c>
      <x:c r="Q42" s="20"/>
    </x:row>
    <x:row r="43">
      <x:c r="A43" s="20"/>
      <x:c r="B43" s="20"/>
      <x:c r="C43" s="20"/>
      <x:c r="D43" s="20"/>
      <x:c r="E43" s="20"/>
      <x:c r="F43" s="20"/>
      <x:c r="G43" s="20" t="str">
        <x:f>IF(OR(E43="",F43=""),"",E43*F43)</x:f>
      </x:c>
      <x:c r="H43" s="20" t="str">
        <x:f>IF(G43="","",IF(G43&gt;=20,"Critical",IF(G43&gt;=12,"High",IF(G43&gt;=6,"Moderate","Low"))))</x:f>
      </x:c>
      <x:c r="I43" s="20"/>
      <x:c r="J43" s="20"/>
      <x:c r="K43" s="20"/>
      <x:c r="L43" s="20"/>
      <x:c r="M43" s="21"/>
      <x:c r="N43" s="20"/>
      <x:c r="O43" s="20"/>
      <x:c r="P43" s="20" t="str">
        <x:f>IF(OR(N43="",O43=""),"",N43*O43)</x:f>
      </x:c>
      <x:c r="Q43" s="20"/>
    </x:row>
    <x:row r="44">
      <x:c r="A44" s="20"/>
      <x:c r="B44" s="20"/>
      <x:c r="C44" s="20"/>
      <x:c r="D44" s="20"/>
      <x:c r="E44" s="20"/>
      <x:c r="F44" s="20"/>
      <x:c r="G44" s="20" t="str">
        <x:f>IF(OR(E44="",F44=""),"",E44*F44)</x:f>
      </x:c>
      <x:c r="H44" s="20" t="str">
        <x:f>IF(G44="","",IF(G44&gt;=20,"Critical",IF(G44&gt;=12,"High",IF(G44&gt;=6,"Moderate","Low"))))</x:f>
      </x:c>
      <x:c r="I44" s="20"/>
      <x:c r="J44" s="20"/>
      <x:c r="K44" s="20"/>
      <x:c r="L44" s="20"/>
      <x:c r="M44" s="21"/>
      <x:c r="N44" s="20"/>
      <x:c r="O44" s="20"/>
      <x:c r="P44" s="20" t="str">
        <x:f>IF(OR(N44="",O44=""),"",N44*O44)</x:f>
      </x:c>
      <x:c r="Q44" s="20"/>
    </x:row>
    <x:row r="45">
      <x:c r="A45" s="20"/>
      <x:c r="B45" s="20"/>
      <x:c r="C45" s="20"/>
      <x:c r="D45" s="20"/>
      <x:c r="E45" s="20"/>
      <x:c r="F45" s="20"/>
      <x:c r="G45" s="20" t="str">
        <x:f>IF(OR(E45="",F45=""),"",E45*F45)</x:f>
      </x:c>
      <x:c r="H45" s="20" t="str">
        <x:f>IF(G45="","",IF(G45&gt;=20,"Critical",IF(G45&gt;=12,"High",IF(G45&gt;=6,"Moderate","Low"))))</x:f>
      </x:c>
      <x:c r="I45" s="20"/>
      <x:c r="J45" s="20"/>
      <x:c r="K45" s="20"/>
      <x:c r="L45" s="20"/>
      <x:c r="M45" s="21"/>
      <x:c r="N45" s="20"/>
      <x:c r="O45" s="20"/>
      <x:c r="P45" s="20" t="str">
        <x:f>IF(OR(N45="",O45=""),"",N45*O45)</x:f>
      </x:c>
      <x:c r="Q45" s="20"/>
    </x:row>
    <x:row r="46">
      <x:c r="A46" s="20"/>
      <x:c r="B46" s="20"/>
      <x:c r="C46" s="20"/>
      <x:c r="D46" s="20"/>
      <x:c r="E46" s="20"/>
      <x:c r="F46" s="20"/>
      <x:c r="G46" s="20" t="str">
        <x:f>IF(OR(E46="",F46=""),"",E46*F46)</x:f>
      </x:c>
      <x:c r="H46" s="20" t="str">
        <x:f>IF(G46="","",IF(G46&gt;=20,"Critical",IF(G46&gt;=12,"High",IF(G46&gt;=6,"Moderate","Low"))))</x:f>
      </x:c>
      <x:c r="I46" s="20"/>
      <x:c r="J46" s="20"/>
      <x:c r="K46" s="20"/>
      <x:c r="L46" s="20"/>
      <x:c r="M46" s="21"/>
      <x:c r="N46" s="20"/>
      <x:c r="O46" s="20"/>
      <x:c r="P46" s="20" t="str">
        <x:f>IF(OR(N46="",O46=""),"",N46*O46)</x:f>
      </x:c>
      <x:c r="Q46" s="20"/>
    </x:row>
    <x:row r="47">
      <x:c r="A47" s="20"/>
      <x:c r="B47" s="20"/>
      <x:c r="C47" s="20"/>
      <x:c r="D47" s="20"/>
      <x:c r="E47" s="20"/>
      <x:c r="F47" s="20"/>
      <x:c r="G47" s="20" t="str">
        <x:f>IF(OR(E47="",F47=""),"",E47*F47)</x:f>
      </x:c>
      <x:c r="H47" s="20" t="str">
        <x:f>IF(G47="","",IF(G47&gt;=20,"Critical",IF(G47&gt;=12,"High",IF(G47&gt;=6,"Moderate","Low"))))</x:f>
      </x:c>
      <x:c r="I47" s="20"/>
      <x:c r="J47" s="20"/>
      <x:c r="K47" s="20"/>
      <x:c r="L47" s="20"/>
      <x:c r="M47" s="21"/>
      <x:c r="N47" s="20"/>
      <x:c r="O47" s="20"/>
      <x:c r="P47" s="20" t="str">
        <x:f>IF(OR(N47="",O47=""),"",N47*O47)</x:f>
      </x:c>
      <x:c r="Q47" s="20"/>
    </x:row>
    <x:row r="48">
      <x:c r="A48" s="20"/>
      <x:c r="B48" s="20"/>
      <x:c r="C48" s="20"/>
      <x:c r="D48" s="20"/>
      <x:c r="E48" s="20"/>
      <x:c r="F48" s="20"/>
      <x:c r="G48" s="20" t="str">
        <x:f>IF(OR(E48="",F48=""),"",E48*F48)</x:f>
      </x:c>
      <x:c r="H48" s="20" t="str">
        <x:f>IF(G48="","",IF(G48&gt;=20,"Critical",IF(G48&gt;=12,"High",IF(G48&gt;=6,"Moderate","Low"))))</x:f>
      </x:c>
      <x:c r="I48" s="20"/>
      <x:c r="J48" s="20"/>
      <x:c r="K48" s="20"/>
      <x:c r="L48" s="20"/>
      <x:c r="M48" s="21"/>
      <x:c r="N48" s="20"/>
      <x:c r="O48" s="20"/>
      <x:c r="P48" s="20" t="str">
        <x:f>IF(OR(N48="",O48=""),"",N48*O48)</x:f>
      </x:c>
      <x:c r="Q48" s="20"/>
    </x:row>
    <x:row r="49">
      <x:c r="A49" s="20"/>
      <x:c r="B49" s="20"/>
      <x:c r="C49" s="20"/>
      <x:c r="D49" s="20"/>
      <x:c r="E49" s="20"/>
      <x:c r="F49" s="20"/>
      <x:c r="G49" s="20" t="str">
        <x:f>IF(OR(E49="",F49=""),"",E49*F49)</x:f>
      </x:c>
      <x:c r="H49" s="20" t="str">
        <x:f>IF(G49="","",IF(G49&gt;=20,"Critical",IF(G49&gt;=12,"High",IF(G49&gt;=6,"Moderate","Low"))))</x:f>
      </x:c>
      <x:c r="I49" s="20"/>
      <x:c r="J49" s="20"/>
      <x:c r="K49" s="20"/>
      <x:c r="L49" s="20"/>
      <x:c r="M49" s="21"/>
      <x:c r="N49" s="20"/>
      <x:c r="O49" s="20"/>
      <x:c r="P49" s="20" t="str">
        <x:f>IF(OR(N49="",O49=""),"",N49*O49)</x:f>
      </x:c>
      <x:c r="Q49" s="20"/>
    </x:row>
    <x:row r="50">
      <x:c r="A50" s="20"/>
      <x:c r="B50" s="20"/>
      <x:c r="C50" s="20"/>
      <x:c r="D50" s="20"/>
      <x:c r="E50" s="20"/>
      <x:c r="F50" s="20"/>
      <x:c r="G50" s="20" t="str">
        <x:f>IF(OR(E50="",F50=""),"",E50*F50)</x:f>
      </x:c>
      <x:c r="H50" s="20" t="str">
        <x:f>IF(G50="","",IF(G50&gt;=20,"Critical",IF(G50&gt;=12,"High",IF(G50&gt;=6,"Moderate","Low"))))</x:f>
      </x:c>
      <x:c r="I50" s="20"/>
      <x:c r="J50" s="20"/>
      <x:c r="K50" s="20"/>
      <x:c r="L50" s="20"/>
      <x:c r="M50" s="21"/>
      <x:c r="N50" s="20"/>
      <x:c r="O50" s="20"/>
      <x:c r="P50" s="20" t="str">
        <x:f>IF(OR(N50="",O50=""),"",N50*O50)</x:f>
      </x:c>
      <x:c r="Q50" s="20"/>
    </x:row>
    <x:row r="51">
      <x:c r="A51" s="20"/>
      <x:c r="B51" s="20"/>
      <x:c r="C51" s="20"/>
      <x:c r="D51" s="20"/>
      <x:c r="E51" s="20"/>
      <x:c r="F51" s="20"/>
      <x:c r="G51" s="20" t="str">
        <x:f>IF(OR(E51="",F51=""),"",E51*F51)</x:f>
      </x:c>
      <x:c r="H51" s="20" t="str">
        <x:f>IF(G51="","",IF(G51&gt;=20,"Critical",IF(G51&gt;=12,"High",IF(G51&gt;=6,"Moderate","Low"))))</x:f>
      </x:c>
      <x:c r="I51" s="20"/>
      <x:c r="J51" s="20"/>
      <x:c r="K51" s="20"/>
      <x:c r="L51" s="20"/>
      <x:c r="M51" s="21"/>
      <x:c r="N51" s="20"/>
      <x:c r="O51" s="20"/>
      <x:c r="P51" s="20" t="str">
        <x:f>IF(OR(N51="",O51=""),"",N51*O51)</x:f>
      </x:c>
      <x:c r="Q51" s="20"/>
    </x:row>
    <x:row r="52">
      <x:c r="A52" s="20"/>
      <x:c r="B52" s="20"/>
      <x:c r="C52" s="20"/>
      <x:c r="D52" s="20"/>
      <x:c r="E52" s="20"/>
      <x:c r="F52" s="20"/>
      <x:c r="G52" s="20" t="str">
        <x:f>IF(OR(E52="",F52=""),"",E52*F52)</x:f>
      </x:c>
      <x:c r="H52" s="20" t="str">
        <x:f>IF(G52="","",IF(G52&gt;=20,"Critical",IF(G52&gt;=12,"High",IF(G52&gt;=6,"Moderate","Low"))))</x:f>
      </x:c>
      <x:c r="I52" s="20"/>
      <x:c r="J52" s="20"/>
      <x:c r="K52" s="20"/>
      <x:c r="L52" s="20"/>
      <x:c r="M52" s="21"/>
      <x:c r="N52" s="20"/>
      <x:c r="O52" s="20"/>
      <x:c r="P52" s="20" t="str">
        <x:f>IF(OR(N52="",O52=""),"",N52*O52)</x:f>
      </x:c>
      <x:c r="Q52" s="20"/>
    </x:row>
    <x:row r="53">
      <x:c r="A53" s="20"/>
      <x:c r="B53" s="20"/>
      <x:c r="C53" s="20"/>
      <x:c r="D53" s="20"/>
      <x:c r="E53" s="20"/>
      <x:c r="F53" s="20"/>
      <x:c r="G53" s="20" t="str">
        <x:f>IF(OR(E53="",F53=""),"",E53*F53)</x:f>
      </x:c>
      <x:c r="H53" s="20" t="str">
        <x:f>IF(G53="","",IF(G53&gt;=20,"Critical",IF(G53&gt;=12,"High",IF(G53&gt;=6,"Moderate","Low"))))</x:f>
      </x:c>
      <x:c r="I53" s="20"/>
      <x:c r="J53" s="20"/>
      <x:c r="K53" s="20"/>
      <x:c r="L53" s="20"/>
      <x:c r="M53" s="21"/>
      <x:c r="N53" s="20"/>
      <x:c r="O53" s="20"/>
      <x:c r="P53" s="20" t="str">
        <x:f>IF(OR(N53="",O53=""),"",N53*O53)</x:f>
      </x:c>
      <x:c r="Q53" s="20"/>
    </x:row>
    <x:row r="54">
      <x:c r="A54" s="20"/>
      <x:c r="B54" s="20"/>
      <x:c r="C54" s="20"/>
      <x:c r="D54" s="20"/>
      <x:c r="E54" s="20"/>
      <x:c r="F54" s="20"/>
      <x:c r="G54" s="20" t="str">
        <x:f>IF(OR(E54="",F54=""),"",E54*F54)</x:f>
      </x:c>
      <x:c r="H54" s="20" t="str">
        <x:f>IF(G54="","",IF(G54&gt;=20,"Critical",IF(G54&gt;=12,"High",IF(G54&gt;=6,"Moderate","Low"))))</x:f>
      </x:c>
      <x:c r="I54" s="20"/>
      <x:c r="J54" s="20"/>
      <x:c r="K54" s="20"/>
      <x:c r="L54" s="20"/>
      <x:c r="M54" s="21"/>
      <x:c r="N54" s="20"/>
      <x:c r="O54" s="20"/>
      <x:c r="P54" s="20" t="str">
        <x:f>IF(OR(N54="",O54=""),"",N54*O54)</x:f>
      </x:c>
      <x:c r="Q54" s="20"/>
    </x:row>
    <x:row r="55">
      <x:c r="A55" s="20"/>
      <x:c r="B55" s="20"/>
      <x:c r="C55" s="20"/>
      <x:c r="D55" s="20"/>
      <x:c r="E55" s="20"/>
      <x:c r="F55" s="20"/>
      <x:c r="G55" s="20" t="str">
        <x:f>IF(OR(E55="",F55=""),"",E55*F55)</x:f>
      </x:c>
      <x:c r="H55" s="20" t="str">
        <x:f>IF(G55="","",IF(G55&gt;=20,"Critical",IF(G55&gt;=12,"High",IF(G55&gt;=6,"Moderate","Low"))))</x:f>
      </x:c>
      <x:c r="I55" s="20"/>
      <x:c r="J55" s="20"/>
      <x:c r="K55" s="20"/>
      <x:c r="L55" s="20"/>
      <x:c r="M55" s="21"/>
      <x:c r="N55" s="20"/>
      <x:c r="O55" s="20"/>
      <x:c r="P55" s="20" t="str">
        <x:f>IF(OR(N55="",O55=""),"",N55*O55)</x:f>
      </x:c>
      <x:c r="Q55" s="20"/>
    </x:row>
    <x:row r="56">
      <x:c r="A56" s="20"/>
      <x:c r="B56" s="20"/>
      <x:c r="C56" s="20"/>
      <x:c r="D56" s="20"/>
      <x:c r="E56" s="20"/>
      <x:c r="F56" s="20"/>
      <x:c r="G56" s="20" t="str">
        <x:f>IF(OR(E56="",F56=""),"",E56*F56)</x:f>
      </x:c>
      <x:c r="H56" s="20" t="str">
        <x:f>IF(G56="","",IF(G56&gt;=20,"Critical",IF(G56&gt;=12,"High",IF(G56&gt;=6,"Moderate","Low"))))</x:f>
      </x:c>
      <x:c r="I56" s="20"/>
      <x:c r="J56" s="20"/>
      <x:c r="K56" s="20"/>
      <x:c r="L56" s="20"/>
      <x:c r="M56" s="21"/>
      <x:c r="N56" s="20"/>
      <x:c r="O56" s="20"/>
      <x:c r="P56" s="20" t="str">
        <x:f>IF(OR(N56="",O56=""),"",N56*O56)</x:f>
      </x:c>
      <x:c r="Q56" s="20"/>
    </x:row>
    <x:row r="57">
      <x:c r="A57" s="20"/>
      <x:c r="B57" s="20"/>
      <x:c r="C57" s="20"/>
      <x:c r="D57" s="20"/>
      <x:c r="E57" s="20"/>
      <x:c r="F57" s="20"/>
      <x:c r="G57" s="20" t="str">
        <x:f>IF(OR(E57="",F57=""),"",E57*F57)</x:f>
      </x:c>
      <x:c r="H57" s="20" t="str">
        <x:f>IF(G57="","",IF(G57&gt;=20,"Critical",IF(G57&gt;=12,"High",IF(G57&gt;=6,"Moderate","Low"))))</x:f>
      </x:c>
      <x:c r="I57" s="20"/>
      <x:c r="J57" s="20"/>
      <x:c r="K57" s="20"/>
      <x:c r="L57" s="20"/>
      <x:c r="M57" s="21"/>
      <x:c r="N57" s="20"/>
      <x:c r="O57" s="20"/>
      <x:c r="P57" s="20" t="str">
        <x:f>IF(OR(N57="",O57=""),"",N57*O57)</x:f>
      </x:c>
      <x:c r="Q57" s="20"/>
    </x:row>
    <x:row r="58">
      <x:c r="A58" s="20"/>
      <x:c r="B58" s="20"/>
      <x:c r="C58" s="20"/>
      <x:c r="D58" s="20"/>
      <x:c r="E58" s="20"/>
      <x:c r="F58" s="20"/>
      <x:c r="G58" s="20" t="str">
        <x:f>IF(OR(E58="",F58=""),"",E58*F58)</x:f>
      </x:c>
      <x:c r="H58" s="20" t="str">
        <x:f>IF(G58="","",IF(G58&gt;=20,"Critical",IF(G58&gt;=12,"High",IF(G58&gt;=6,"Moderate","Low"))))</x:f>
      </x:c>
      <x:c r="I58" s="20"/>
      <x:c r="J58" s="20"/>
      <x:c r="K58" s="20"/>
      <x:c r="L58" s="20"/>
      <x:c r="M58" s="21"/>
      <x:c r="N58" s="20"/>
      <x:c r="O58" s="20"/>
      <x:c r="P58" s="20" t="str">
        <x:f>IF(OR(N58="",O58=""),"",N58*O58)</x:f>
      </x:c>
      <x:c r="Q58" s="20"/>
    </x:row>
    <x:row r="59">
      <x:c r="A59" s="20"/>
      <x:c r="B59" s="20"/>
      <x:c r="C59" s="20"/>
      <x:c r="D59" s="20"/>
      <x:c r="E59" s="20"/>
      <x:c r="F59" s="20"/>
      <x:c r="G59" s="20" t="str">
        <x:f>IF(OR(E59="",F59=""),"",E59*F59)</x:f>
      </x:c>
      <x:c r="H59" s="20" t="str">
        <x:f>IF(G59="","",IF(G59&gt;=20,"Critical",IF(G59&gt;=12,"High",IF(G59&gt;=6,"Moderate","Low"))))</x:f>
      </x:c>
      <x:c r="I59" s="20"/>
      <x:c r="J59" s="20"/>
      <x:c r="K59" s="20"/>
      <x:c r="L59" s="20"/>
      <x:c r="M59" s="21"/>
      <x:c r="N59" s="20"/>
      <x:c r="O59" s="20"/>
      <x:c r="P59" s="20" t="str">
        <x:f>IF(OR(N59="",O59=""),"",N59*O59)</x:f>
      </x:c>
      <x:c r="Q59" s="20"/>
    </x:row>
    <x:row r="60">
      <x:c r="A60" s="20"/>
      <x:c r="B60" s="20"/>
      <x:c r="C60" s="20"/>
      <x:c r="D60" s="20"/>
      <x:c r="E60" s="20"/>
      <x:c r="F60" s="20"/>
      <x:c r="G60" s="20" t="str">
        <x:f>IF(OR(E60="",F60=""),"",E60*F60)</x:f>
      </x:c>
      <x:c r="H60" s="20" t="str">
        <x:f>IF(G60="","",IF(G60&gt;=20,"Critical",IF(G60&gt;=12,"High",IF(G60&gt;=6,"Moderate","Low"))))</x:f>
      </x:c>
      <x:c r="I60" s="20"/>
      <x:c r="J60" s="20"/>
      <x:c r="K60" s="20"/>
      <x:c r="L60" s="20"/>
      <x:c r="M60" s="21"/>
      <x:c r="N60" s="20"/>
      <x:c r="O60" s="20"/>
      <x:c r="P60" s="20" t="str">
        <x:f>IF(OR(N60="",O60=""),"",N60*O60)</x:f>
      </x:c>
      <x:c r="Q60" s="20"/>
    </x:row>
    <x:row r="61">
      <x:c r="A61" s="20"/>
      <x:c r="B61" s="20"/>
      <x:c r="C61" s="20"/>
      <x:c r="D61" s="20"/>
      <x:c r="E61" s="20"/>
      <x:c r="F61" s="20"/>
      <x:c r="G61" s="20" t="str">
        <x:f>IF(OR(E61="",F61=""),"",E61*F61)</x:f>
      </x:c>
      <x:c r="H61" s="20" t="str">
        <x:f>IF(G61="","",IF(G61&gt;=20,"Critical",IF(G61&gt;=12,"High",IF(G61&gt;=6,"Moderate","Low"))))</x:f>
      </x:c>
      <x:c r="I61" s="20"/>
      <x:c r="J61" s="20"/>
      <x:c r="K61" s="20"/>
      <x:c r="L61" s="20"/>
      <x:c r="M61" s="21"/>
      <x:c r="N61" s="20"/>
      <x:c r="O61" s="20"/>
      <x:c r="P61" s="20" t="str">
        <x:f>IF(OR(N61="",O61=""),"",N61*O61)</x:f>
      </x:c>
      <x:c r="Q61" s="20"/>
    </x:row>
    <x:row r="62">
      <x:c r="A62" s="20"/>
      <x:c r="B62" s="20"/>
      <x:c r="C62" s="20"/>
      <x:c r="D62" s="20"/>
      <x:c r="E62" s="20"/>
      <x:c r="F62" s="20"/>
      <x:c r="G62" s="20" t="str">
        <x:f>IF(OR(E62="",F62=""),"",E62*F62)</x:f>
      </x:c>
      <x:c r="H62" s="20" t="str">
        <x:f>IF(G62="","",IF(G62&gt;=20,"Critical",IF(G62&gt;=12,"High",IF(G62&gt;=6,"Moderate","Low"))))</x:f>
      </x:c>
      <x:c r="I62" s="20"/>
      <x:c r="J62" s="20"/>
      <x:c r="K62" s="20"/>
      <x:c r="L62" s="20"/>
      <x:c r="M62" s="21"/>
      <x:c r="N62" s="20"/>
      <x:c r="O62" s="20"/>
      <x:c r="P62" s="20" t="str">
        <x:f>IF(OR(N62="",O62=""),"",N62*O62)</x:f>
      </x:c>
      <x:c r="Q62" s="20"/>
    </x:row>
    <x:row r="63">
      <x:c r="A63" s="20"/>
      <x:c r="B63" s="20"/>
      <x:c r="C63" s="20"/>
      <x:c r="D63" s="20"/>
      <x:c r="E63" s="20"/>
      <x:c r="F63" s="20"/>
      <x:c r="G63" s="20" t="str">
        <x:f>IF(OR(E63="",F63=""),"",E63*F63)</x:f>
      </x:c>
      <x:c r="H63" s="20" t="str">
        <x:f>IF(G63="","",IF(G63&gt;=20,"Critical",IF(G63&gt;=12,"High",IF(G63&gt;=6,"Moderate","Low"))))</x:f>
      </x:c>
      <x:c r="I63" s="20"/>
      <x:c r="J63" s="20"/>
      <x:c r="K63" s="20"/>
      <x:c r="L63" s="20"/>
      <x:c r="M63" s="21"/>
      <x:c r="N63" s="20"/>
      <x:c r="O63" s="20"/>
      <x:c r="P63" s="20" t="str">
        <x:f>IF(OR(N63="",O63=""),"",N63*O63)</x:f>
      </x:c>
      <x:c r="Q63" s="20"/>
    </x:row>
    <x:row r="64">
      <x:c r="A64" s="20"/>
      <x:c r="B64" s="20"/>
      <x:c r="C64" s="20"/>
      <x:c r="D64" s="20"/>
      <x:c r="E64" s="20"/>
      <x:c r="F64" s="20"/>
      <x:c r="G64" s="20" t="str">
        <x:f>IF(OR(E64="",F64=""),"",E64*F64)</x:f>
      </x:c>
      <x:c r="H64" s="20" t="str">
        <x:f>IF(G64="","",IF(G64&gt;=20,"Critical",IF(G64&gt;=12,"High",IF(G64&gt;=6,"Moderate","Low"))))</x:f>
      </x:c>
      <x:c r="I64" s="20"/>
      <x:c r="J64" s="20"/>
      <x:c r="K64" s="20"/>
      <x:c r="L64" s="20"/>
      <x:c r="M64" s="21"/>
      <x:c r="N64" s="20"/>
      <x:c r="O64" s="20"/>
      <x:c r="P64" s="20" t="str">
        <x:f>IF(OR(N64="",O64=""),"",N64*O64)</x:f>
      </x:c>
      <x:c r="Q64" s="20"/>
    </x:row>
    <x:row r="65">
      <x:c r="A65" s="20"/>
      <x:c r="B65" s="20"/>
      <x:c r="C65" s="20"/>
      <x:c r="D65" s="20"/>
      <x:c r="E65" s="20"/>
      <x:c r="F65" s="20"/>
      <x:c r="G65" s="20" t="str">
        <x:f>IF(OR(E65="",F65=""),"",E65*F65)</x:f>
      </x:c>
      <x:c r="H65" s="20" t="str">
        <x:f>IF(G65="","",IF(G65&gt;=20,"Critical",IF(G65&gt;=12,"High",IF(G65&gt;=6,"Moderate","Low"))))</x:f>
      </x:c>
      <x:c r="I65" s="20"/>
      <x:c r="J65" s="20"/>
      <x:c r="K65" s="20"/>
      <x:c r="L65" s="20"/>
      <x:c r="M65" s="21"/>
      <x:c r="N65" s="20"/>
      <x:c r="O65" s="20"/>
      <x:c r="P65" s="20" t="str">
        <x:f>IF(OR(N65="",O65=""),"",N65*O65)</x:f>
      </x:c>
      <x:c r="Q65" s="20"/>
    </x:row>
    <x:row r="66">
      <x:c r="A66" s="20"/>
      <x:c r="B66" s="20"/>
      <x:c r="C66" s="20"/>
      <x:c r="D66" s="20"/>
      <x:c r="E66" s="20"/>
      <x:c r="F66" s="20"/>
      <x:c r="G66" s="20" t="str">
        <x:f>IF(OR(E66="",F66=""),"",E66*F66)</x:f>
      </x:c>
      <x:c r="H66" s="20" t="str">
        <x:f>IF(G66="","",IF(G66&gt;=20,"Critical",IF(G66&gt;=12,"High",IF(G66&gt;=6,"Moderate","Low"))))</x:f>
      </x:c>
      <x:c r="I66" s="20"/>
      <x:c r="J66" s="20"/>
      <x:c r="K66" s="20"/>
      <x:c r="L66" s="20"/>
      <x:c r="M66" s="21"/>
      <x:c r="N66" s="20"/>
      <x:c r="O66" s="20"/>
      <x:c r="P66" s="20" t="str">
        <x:f>IF(OR(N66="",O66=""),"",N66*O66)</x:f>
      </x:c>
      <x:c r="Q66" s="20"/>
    </x:row>
    <x:row r="67">
      <x:c r="A67" s="20"/>
      <x:c r="B67" s="20"/>
      <x:c r="C67" s="20"/>
      <x:c r="D67" s="20"/>
      <x:c r="E67" s="20"/>
      <x:c r="F67" s="20"/>
      <x:c r="G67" s="20" t="str">
        <x:f>IF(OR(E67="",F67=""),"",E67*F67)</x:f>
      </x:c>
      <x:c r="H67" s="20" t="str">
        <x:f>IF(G67="","",IF(G67&gt;=20,"Critical",IF(G67&gt;=12,"High",IF(G67&gt;=6,"Moderate","Low"))))</x:f>
      </x:c>
      <x:c r="I67" s="20"/>
      <x:c r="J67" s="20"/>
      <x:c r="K67" s="20"/>
      <x:c r="L67" s="20"/>
      <x:c r="M67" s="21"/>
      <x:c r="N67" s="20"/>
      <x:c r="O67" s="20"/>
      <x:c r="P67" s="20" t="str">
        <x:f>IF(OR(N67="",O67=""),"",N67*O67)</x:f>
      </x:c>
      <x:c r="Q67" s="20"/>
    </x:row>
    <x:row r="68">
      <x:c r="A68" s="20"/>
      <x:c r="B68" s="20"/>
      <x:c r="C68" s="20"/>
      <x:c r="D68" s="20"/>
      <x:c r="E68" s="20"/>
      <x:c r="F68" s="20"/>
      <x:c r="G68" s="20" t="str">
        <x:f>IF(OR(E68="",F68=""),"",E68*F68)</x:f>
      </x:c>
      <x:c r="H68" s="20" t="str">
        <x:f>IF(G68="","",IF(G68&gt;=20,"Critical",IF(G68&gt;=12,"High",IF(G68&gt;=6,"Moderate","Low"))))</x:f>
      </x:c>
      <x:c r="I68" s="20"/>
      <x:c r="J68" s="20"/>
      <x:c r="K68" s="20"/>
      <x:c r="L68" s="20"/>
      <x:c r="M68" s="21"/>
      <x:c r="N68" s="20"/>
      <x:c r="O68" s="20"/>
      <x:c r="P68" s="20" t="str">
        <x:f>IF(OR(N68="",O68=""),"",N68*O68)</x:f>
      </x:c>
      <x:c r="Q68" s="20"/>
    </x:row>
    <x:row r="69">
      <x:c r="A69" s="20"/>
      <x:c r="B69" s="20"/>
      <x:c r="C69" s="20"/>
      <x:c r="D69" s="20"/>
      <x:c r="E69" s="20"/>
      <x:c r="F69" s="20"/>
      <x:c r="G69" s="20" t="str">
        <x:f>IF(OR(E69="",F69=""),"",E69*F69)</x:f>
      </x:c>
      <x:c r="H69" s="20" t="str">
        <x:f>IF(G69="","",IF(G69&gt;=20,"Critical",IF(G69&gt;=12,"High",IF(G69&gt;=6,"Moderate","Low"))))</x:f>
      </x:c>
      <x:c r="I69" s="20"/>
      <x:c r="J69" s="20"/>
      <x:c r="K69" s="20"/>
      <x:c r="L69" s="20"/>
      <x:c r="M69" s="21"/>
      <x:c r="N69" s="20"/>
      <x:c r="O69" s="20"/>
      <x:c r="P69" s="20" t="str">
        <x:f>IF(OR(N69="",O69=""),"",N69*O69)</x:f>
      </x:c>
      <x:c r="Q69" s="20"/>
    </x:row>
    <x:row r="70">
      <x:c r="A70" s="20"/>
      <x:c r="B70" s="20"/>
      <x:c r="C70" s="20"/>
      <x:c r="D70" s="20"/>
      <x:c r="E70" s="20"/>
      <x:c r="F70" s="20"/>
      <x:c r="G70" s="20" t="str">
        <x:f>IF(OR(E70="",F70=""),"",E70*F70)</x:f>
      </x:c>
      <x:c r="H70" s="20" t="str">
        <x:f>IF(G70="","",IF(G70&gt;=20,"Critical",IF(G70&gt;=12,"High",IF(G70&gt;=6,"Moderate","Low"))))</x:f>
      </x:c>
      <x:c r="I70" s="20"/>
      <x:c r="J70" s="20"/>
      <x:c r="K70" s="20"/>
      <x:c r="L70" s="20"/>
      <x:c r="M70" s="21"/>
      <x:c r="N70" s="20"/>
      <x:c r="O70" s="20"/>
      <x:c r="P70" s="20" t="str">
        <x:f>IF(OR(N70="",O70=""),"",N70*O70)</x:f>
      </x:c>
      <x:c r="Q70" s="20"/>
    </x:row>
    <x:row r="71">
      <x:c r="A71" s="20"/>
      <x:c r="B71" s="20"/>
      <x:c r="C71" s="20"/>
      <x:c r="D71" s="20"/>
      <x:c r="E71" s="20"/>
      <x:c r="F71" s="20"/>
      <x:c r="G71" s="20" t="str">
        <x:f>IF(OR(E71="",F71=""),"",E71*F71)</x:f>
      </x:c>
      <x:c r="H71" s="20" t="str">
        <x:f>IF(G71="","",IF(G71&gt;=20,"Critical",IF(G71&gt;=12,"High",IF(G71&gt;=6,"Moderate","Low"))))</x:f>
      </x:c>
      <x:c r="I71" s="20"/>
      <x:c r="J71" s="20"/>
      <x:c r="K71" s="20"/>
      <x:c r="L71" s="20"/>
      <x:c r="M71" s="21"/>
      <x:c r="N71" s="20"/>
      <x:c r="O71" s="20"/>
      <x:c r="P71" s="20" t="str">
        <x:f>IF(OR(N71="",O71=""),"",N71*O71)</x:f>
      </x:c>
      <x:c r="Q71" s="20"/>
    </x:row>
    <x:row r="72">
      <x:c r="A72" s="20"/>
      <x:c r="B72" s="20"/>
      <x:c r="C72" s="20"/>
      <x:c r="D72" s="20"/>
      <x:c r="E72" s="20"/>
      <x:c r="F72" s="20"/>
      <x:c r="G72" s="20" t="str">
        <x:f>IF(OR(E72="",F72=""),"",E72*F72)</x:f>
      </x:c>
      <x:c r="H72" s="20" t="str">
        <x:f>IF(G72="","",IF(G72&gt;=20,"Critical",IF(G72&gt;=12,"High",IF(G72&gt;=6,"Moderate","Low"))))</x:f>
      </x:c>
      <x:c r="I72" s="20"/>
      <x:c r="J72" s="20"/>
      <x:c r="K72" s="20"/>
      <x:c r="L72" s="20"/>
      <x:c r="M72" s="21"/>
      <x:c r="N72" s="20"/>
      <x:c r="O72" s="20"/>
      <x:c r="P72" s="20" t="str">
        <x:f>IF(OR(N72="",O72=""),"",N72*O72)</x:f>
      </x:c>
      <x:c r="Q72" s="20"/>
    </x:row>
    <x:row r="73">
      <x:c r="A73" s="20"/>
      <x:c r="B73" s="20"/>
      <x:c r="C73" s="20"/>
      <x:c r="D73" s="20"/>
      <x:c r="E73" s="20"/>
      <x:c r="F73" s="20"/>
      <x:c r="G73" s="20" t="str">
        <x:f>IF(OR(E73="",F73=""),"",E73*F73)</x:f>
      </x:c>
      <x:c r="H73" s="20" t="str">
        <x:f>IF(G73="","",IF(G73&gt;=20,"Critical",IF(G73&gt;=12,"High",IF(G73&gt;=6,"Moderate","Low"))))</x:f>
      </x:c>
      <x:c r="I73" s="20"/>
      <x:c r="J73" s="20"/>
      <x:c r="K73" s="20"/>
      <x:c r="L73" s="20"/>
      <x:c r="M73" s="21"/>
      <x:c r="N73" s="20"/>
      <x:c r="O73" s="20"/>
      <x:c r="P73" s="20" t="str">
        <x:f>IF(OR(N73="",O73=""),"",N73*O73)</x:f>
      </x:c>
      <x:c r="Q73" s="20"/>
    </x:row>
    <x:row r="74">
      <x:c r="A74" s="20"/>
      <x:c r="B74" s="20"/>
      <x:c r="C74" s="20"/>
      <x:c r="D74" s="20"/>
      <x:c r="E74" s="20"/>
      <x:c r="F74" s="20"/>
      <x:c r="G74" s="20" t="str">
        <x:f>IF(OR(E74="",F74=""),"",E74*F74)</x:f>
      </x:c>
      <x:c r="H74" s="20" t="str">
        <x:f>IF(G74="","",IF(G74&gt;=20,"Critical",IF(G74&gt;=12,"High",IF(G74&gt;=6,"Moderate","Low"))))</x:f>
      </x:c>
      <x:c r="I74" s="20"/>
      <x:c r="J74" s="20"/>
      <x:c r="K74" s="20"/>
      <x:c r="L74" s="20"/>
      <x:c r="M74" s="21"/>
      <x:c r="N74" s="20"/>
      <x:c r="O74" s="20"/>
      <x:c r="P74" s="20" t="str">
        <x:f>IF(OR(N74="",O74=""),"",N74*O74)</x:f>
      </x:c>
      <x:c r="Q74" s="20"/>
    </x:row>
    <x:row r="75">
      <x:c r="A75" s="20"/>
      <x:c r="B75" s="20"/>
      <x:c r="C75" s="20"/>
      <x:c r="D75" s="20"/>
      <x:c r="E75" s="20"/>
      <x:c r="F75" s="20"/>
      <x:c r="G75" s="20" t="str">
        <x:f>IF(OR(E75="",F75=""),"",E75*F75)</x:f>
      </x:c>
      <x:c r="H75" s="20" t="str">
        <x:f>IF(G75="","",IF(G75&gt;=20,"Critical",IF(G75&gt;=12,"High",IF(G75&gt;=6,"Moderate","Low"))))</x:f>
      </x:c>
      <x:c r="I75" s="20"/>
      <x:c r="J75" s="20"/>
      <x:c r="K75" s="20"/>
      <x:c r="L75" s="20"/>
      <x:c r="M75" s="21"/>
      <x:c r="N75" s="20"/>
      <x:c r="O75" s="20"/>
      <x:c r="P75" s="20" t="str">
        <x:f>IF(OR(N75="",O75=""),"",N75*O75)</x:f>
      </x:c>
      <x:c r="Q75" s="20"/>
    </x:row>
    <x:row r="76">
      <x:c r="A76" s="20"/>
      <x:c r="B76" s="20"/>
      <x:c r="C76" s="20"/>
      <x:c r="D76" s="20"/>
      <x:c r="E76" s="20"/>
      <x:c r="F76" s="20"/>
      <x:c r="G76" s="20" t="str">
        <x:f>IF(OR(E76="",F76=""),"",E76*F76)</x:f>
      </x:c>
      <x:c r="H76" s="20" t="str">
        <x:f>IF(G76="","",IF(G76&gt;=20,"Critical",IF(G76&gt;=12,"High",IF(G76&gt;=6,"Moderate","Low"))))</x:f>
      </x:c>
      <x:c r="I76" s="20"/>
      <x:c r="J76" s="20"/>
      <x:c r="K76" s="20"/>
      <x:c r="L76" s="20"/>
      <x:c r="M76" s="21"/>
      <x:c r="N76" s="20"/>
      <x:c r="O76" s="20"/>
      <x:c r="P76" s="20" t="str">
        <x:f>IF(OR(N76="",O76=""),"",N76*O76)</x:f>
      </x:c>
      <x:c r="Q76" s="20"/>
    </x:row>
    <x:row r="77">
      <x:c r="A77" s="20"/>
      <x:c r="B77" s="20"/>
      <x:c r="C77" s="20"/>
      <x:c r="D77" s="20"/>
      <x:c r="E77" s="20"/>
      <x:c r="F77" s="20"/>
      <x:c r="G77" s="20" t="str">
        <x:f>IF(OR(E77="",F77=""),"",E77*F77)</x:f>
      </x:c>
      <x:c r="H77" s="20" t="str">
        <x:f>IF(G77="","",IF(G77&gt;=20,"Critical",IF(G77&gt;=12,"High",IF(G77&gt;=6,"Moderate","Low"))))</x:f>
      </x:c>
      <x:c r="I77" s="20"/>
      <x:c r="J77" s="20"/>
      <x:c r="K77" s="20"/>
      <x:c r="L77" s="20"/>
      <x:c r="M77" s="21"/>
      <x:c r="N77" s="20"/>
      <x:c r="O77" s="20"/>
      <x:c r="P77" s="20" t="str">
        <x:f>IF(OR(N77="",O77=""),"",N77*O77)</x:f>
      </x:c>
      <x:c r="Q77" s="20"/>
    </x:row>
    <x:row r="78">
      <x:c r="A78" s="20"/>
      <x:c r="B78" s="20"/>
      <x:c r="C78" s="20"/>
      <x:c r="D78" s="20"/>
      <x:c r="E78" s="20"/>
      <x:c r="F78" s="20"/>
      <x:c r="G78" s="20" t="str">
        <x:f>IF(OR(E78="",F78=""),"",E78*F78)</x:f>
      </x:c>
      <x:c r="H78" s="20" t="str">
        <x:f>IF(G78="","",IF(G78&gt;=20,"Critical",IF(G78&gt;=12,"High",IF(G78&gt;=6,"Moderate","Low"))))</x:f>
      </x:c>
      <x:c r="I78" s="20"/>
      <x:c r="J78" s="20"/>
      <x:c r="K78" s="20"/>
      <x:c r="L78" s="20"/>
      <x:c r="M78" s="21"/>
      <x:c r="N78" s="20"/>
      <x:c r="O78" s="20"/>
      <x:c r="P78" s="20" t="str">
        <x:f>IF(OR(N78="",O78=""),"",N78*O78)</x:f>
      </x:c>
      <x:c r="Q78" s="20"/>
    </x:row>
    <x:row r="79">
      <x:c r="A79" s="20"/>
      <x:c r="B79" s="20"/>
      <x:c r="C79" s="20"/>
      <x:c r="D79" s="20"/>
      <x:c r="E79" s="20"/>
      <x:c r="F79" s="20"/>
      <x:c r="G79" s="20" t="str">
        <x:f>IF(OR(E79="",F79=""),"",E79*F79)</x:f>
      </x:c>
      <x:c r="H79" s="20" t="str">
        <x:f>IF(G79="","",IF(G79&gt;=20,"Critical",IF(G79&gt;=12,"High",IF(G79&gt;=6,"Moderate","Low"))))</x:f>
      </x:c>
      <x:c r="I79" s="20"/>
      <x:c r="J79" s="20"/>
      <x:c r="K79" s="20"/>
      <x:c r="L79" s="20"/>
      <x:c r="M79" s="21"/>
      <x:c r="N79" s="20"/>
      <x:c r="O79" s="20"/>
      <x:c r="P79" s="20" t="str">
        <x:f>IF(OR(N79="",O79=""),"",N79*O79)</x:f>
      </x:c>
      <x:c r="Q79" s="20"/>
    </x:row>
    <x:row r="80">
      <x:c r="A80" s="20"/>
      <x:c r="B80" s="20"/>
      <x:c r="C80" s="20"/>
      <x:c r="D80" s="20"/>
      <x:c r="E80" s="20"/>
      <x:c r="F80" s="20"/>
      <x:c r="G80" s="20" t="str">
        <x:f>IF(OR(E80="",F80=""),"",E80*F80)</x:f>
      </x:c>
      <x:c r="H80" s="20" t="str">
        <x:f>IF(G80="","",IF(G80&gt;=20,"Critical",IF(G80&gt;=12,"High",IF(G80&gt;=6,"Moderate","Low"))))</x:f>
      </x:c>
      <x:c r="I80" s="20"/>
      <x:c r="J80" s="20"/>
      <x:c r="K80" s="20"/>
      <x:c r="L80" s="20"/>
      <x:c r="M80" s="21"/>
      <x:c r="N80" s="20"/>
      <x:c r="O80" s="20"/>
      <x:c r="P80" s="20" t="str">
        <x:f>IF(OR(N80="",O80=""),"",N80*O80)</x:f>
      </x:c>
      <x:c r="Q80" s="20"/>
    </x:row>
    <x:row r="81">
      <x:c r="A81" s="20"/>
      <x:c r="B81" s="20"/>
      <x:c r="C81" s="20"/>
      <x:c r="D81" s="20"/>
      <x:c r="E81" s="20"/>
      <x:c r="F81" s="20"/>
      <x:c r="G81" s="20" t="str">
        <x:f>IF(OR(E81="",F81=""),"",E81*F81)</x:f>
      </x:c>
      <x:c r="H81" s="20" t="str">
        <x:f>IF(G81="","",IF(G81&gt;=20,"Critical",IF(G81&gt;=12,"High",IF(G81&gt;=6,"Moderate","Low"))))</x:f>
      </x:c>
      <x:c r="I81" s="20"/>
      <x:c r="J81" s="20"/>
      <x:c r="K81" s="20"/>
      <x:c r="L81" s="20"/>
      <x:c r="M81" s="21"/>
      <x:c r="N81" s="20"/>
      <x:c r="O81" s="20"/>
      <x:c r="P81" s="20" t="str">
        <x:f>IF(OR(N81="",O81=""),"",N81*O81)</x:f>
      </x:c>
      <x:c r="Q81" s="20"/>
    </x:row>
    <x:row r="82">
      <x:c r="A82" s="20"/>
      <x:c r="B82" s="20"/>
      <x:c r="C82" s="20"/>
      <x:c r="D82" s="20"/>
      <x:c r="E82" s="20"/>
      <x:c r="F82" s="20"/>
      <x:c r="G82" s="20" t="str">
        <x:f>IF(OR(E82="",F82=""),"",E82*F82)</x:f>
      </x:c>
      <x:c r="H82" s="20" t="str">
        <x:f>IF(G82="","",IF(G82&gt;=20,"Critical",IF(G82&gt;=12,"High",IF(G82&gt;=6,"Moderate","Low"))))</x:f>
      </x:c>
      <x:c r="I82" s="20"/>
      <x:c r="J82" s="20"/>
      <x:c r="K82" s="20"/>
      <x:c r="L82" s="20"/>
      <x:c r="M82" s="21"/>
      <x:c r="N82" s="20"/>
      <x:c r="O82" s="20"/>
      <x:c r="P82" s="20" t="str">
        <x:f>IF(OR(N82="",O82=""),"",N82*O82)</x:f>
      </x:c>
      <x:c r="Q82" s="20"/>
    </x:row>
    <x:row r="83">
      <x:c r="A83" s="20"/>
      <x:c r="B83" s="20"/>
      <x:c r="C83" s="20"/>
      <x:c r="D83" s="20"/>
      <x:c r="E83" s="20"/>
      <x:c r="F83" s="20"/>
      <x:c r="G83" s="20" t="str">
        <x:f>IF(OR(E83="",F83=""),"",E83*F83)</x:f>
      </x:c>
      <x:c r="H83" s="20" t="str">
        <x:f>IF(G83="","",IF(G83&gt;=20,"Critical",IF(G83&gt;=12,"High",IF(G83&gt;=6,"Moderate","Low"))))</x:f>
      </x:c>
      <x:c r="I83" s="20"/>
      <x:c r="J83" s="20"/>
      <x:c r="K83" s="20"/>
      <x:c r="L83" s="20"/>
      <x:c r="M83" s="21"/>
      <x:c r="N83" s="20"/>
      <x:c r="O83" s="20"/>
      <x:c r="P83" s="20" t="str">
        <x:f>IF(OR(N83="",O83=""),"",N83*O83)</x:f>
      </x:c>
      <x:c r="Q83" s="20"/>
    </x:row>
    <x:row r="84">
      <x:c r="A84" s="20"/>
      <x:c r="B84" s="20"/>
      <x:c r="C84" s="20"/>
      <x:c r="D84" s="20"/>
      <x:c r="E84" s="20"/>
      <x:c r="F84" s="20"/>
      <x:c r="G84" s="20" t="str">
        <x:f>IF(OR(E84="",F84=""),"",E84*F84)</x:f>
      </x:c>
      <x:c r="H84" s="20" t="str">
        <x:f>IF(G84="","",IF(G84&gt;=20,"Critical",IF(G84&gt;=12,"High",IF(G84&gt;=6,"Moderate","Low"))))</x:f>
      </x:c>
      <x:c r="I84" s="20"/>
      <x:c r="J84" s="20"/>
      <x:c r="K84" s="20"/>
      <x:c r="L84" s="20"/>
      <x:c r="M84" s="21"/>
      <x:c r="N84" s="20"/>
      <x:c r="O84" s="20"/>
      <x:c r="P84" s="20" t="str">
        <x:f>IF(OR(N84="",O84=""),"",N84*O84)</x:f>
      </x:c>
      <x:c r="Q84" s="20"/>
    </x:row>
    <x:row r="85">
      <x:c r="A85" s="20"/>
      <x:c r="B85" s="20"/>
      <x:c r="C85" s="20"/>
      <x:c r="D85" s="20"/>
      <x:c r="E85" s="20"/>
      <x:c r="F85" s="20"/>
      <x:c r="G85" s="20" t="str">
        <x:f>IF(OR(E85="",F85=""),"",E85*F85)</x:f>
      </x:c>
      <x:c r="H85" s="20" t="str">
        <x:f>IF(G85="","",IF(G85&gt;=20,"Critical",IF(G85&gt;=12,"High",IF(G85&gt;=6,"Moderate","Low"))))</x:f>
      </x:c>
      <x:c r="I85" s="20"/>
      <x:c r="J85" s="20"/>
      <x:c r="K85" s="20"/>
      <x:c r="L85" s="20"/>
      <x:c r="M85" s="21"/>
      <x:c r="N85" s="20"/>
      <x:c r="O85" s="20"/>
      <x:c r="P85" s="20" t="str">
        <x:f>IF(OR(N85="",O85=""),"",N85*O85)</x:f>
      </x:c>
      <x:c r="Q85" s="20"/>
    </x:row>
    <x:row r="86">
      <x:c r="A86" s="20"/>
      <x:c r="B86" s="20"/>
      <x:c r="C86" s="20"/>
      <x:c r="D86" s="20"/>
      <x:c r="E86" s="20"/>
      <x:c r="F86" s="20"/>
      <x:c r="G86" s="20" t="str">
        <x:f>IF(OR(E86="",F86=""),"",E86*F86)</x:f>
      </x:c>
      <x:c r="H86" s="20" t="str">
        <x:f>IF(G86="","",IF(G86&gt;=20,"Critical",IF(G86&gt;=12,"High",IF(G86&gt;=6,"Moderate","Low"))))</x:f>
      </x:c>
      <x:c r="I86" s="20"/>
      <x:c r="J86" s="20"/>
      <x:c r="K86" s="20"/>
      <x:c r="L86" s="20"/>
      <x:c r="M86" s="21"/>
      <x:c r="N86" s="20"/>
      <x:c r="O86" s="20"/>
      <x:c r="P86" s="20" t="str">
        <x:f>IF(OR(N86="",O86=""),"",N86*O86)</x:f>
      </x:c>
      <x:c r="Q86" s="20"/>
    </x:row>
    <x:row r="87">
      <x:c r="A87" s="20"/>
      <x:c r="B87" s="20"/>
      <x:c r="C87" s="20"/>
      <x:c r="D87" s="20"/>
      <x:c r="E87" s="20"/>
      <x:c r="F87" s="20"/>
      <x:c r="G87" s="20" t="str">
        <x:f>IF(OR(E87="",F87=""),"",E87*F87)</x:f>
      </x:c>
      <x:c r="H87" s="20" t="str">
        <x:f>IF(G87="","",IF(G87&gt;=20,"Critical",IF(G87&gt;=12,"High",IF(G87&gt;=6,"Moderate","Low"))))</x:f>
      </x:c>
      <x:c r="I87" s="20"/>
      <x:c r="J87" s="20"/>
      <x:c r="K87" s="20"/>
      <x:c r="L87" s="20"/>
      <x:c r="M87" s="21"/>
      <x:c r="N87" s="20"/>
      <x:c r="O87" s="20"/>
      <x:c r="P87" s="20" t="str">
        <x:f>IF(OR(N87="",O87=""),"",N87*O87)</x:f>
      </x:c>
      <x:c r="Q87" s="20"/>
    </x:row>
    <x:row r="88">
      <x:c r="A88" s="20"/>
      <x:c r="B88" s="20"/>
      <x:c r="C88" s="20"/>
      <x:c r="D88" s="20"/>
      <x:c r="E88" s="20"/>
      <x:c r="F88" s="20"/>
      <x:c r="G88" s="20" t="str">
        <x:f>IF(OR(E88="",F88=""),"",E88*F88)</x:f>
      </x:c>
      <x:c r="H88" s="20" t="str">
        <x:f>IF(G88="","",IF(G88&gt;=20,"Critical",IF(G88&gt;=12,"High",IF(G88&gt;=6,"Moderate","Low"))))</x:f>
      </x:c>
      <x:c r="I88" s="20"/>
      <x:c r="J88" s="20"/>
      <x:c r="K88" s="20"/>
      <x:c r="L88" s="20"/>
      <x:c r="M88" s="21"/>
      <x:c r="N88" s="20"/>
      <x:c r="O88" s="20"/>
      <x:c r="P88" s="20" t="str">
        <x:f>IF(OR(N88="",O88=""),"",N88*O88)</x:f>
      </x:c>
      <x:c r="Q88" s="20"/>
    </x:row>
    <x:row r="89">
      <x:c r="A89" s="20"/>
      <x:c r="B89" s="20"/>
      <x:c r="C89" s="20"/>
      <x:c r="D89" s="20"/>
      <x:c r="E89" s="20"/>
      <x:c r="F89" s="20"/>
      <x:c r="G89" s="20" t="str">
        <x:f>IF(OR(E89="",F89=""),"",E89*F89)</x:f>
      </x:c>
      <x:c r="H89" s="20" t="str">
        <x:f>IF(G89="","",IF(G89&gt;=20,"Critical",IF(G89&gt;=12,"High",IF(G89&gt;=6,"Moderate","Low"))))</x:f>
      </x:c>
      <x:c r="I89" s="20"/>
      <x:c r="J89" s="20"/>
      <x:c r="K89" s="20"/>
      <x:c r="L89" s="20"/>
      <x:c r="M89" s="21"/>
      <x:c r="N89" s="20"/>
      <x:c r="O89" s="20"/>
      <x:c r="P89" s="20" t="str">
        <x:f>IF(OR(N89="",O89=""),"",N89*O89)</x:f>
      </x:c>
      <x:c r="Q89" s="20"/>
    </x:row>
    <x:row r="90">
      <x:c r="A90" s="20"/>
      <x:c r="B90" s="20"/>
      <x:c r="C90" s="20"/>
      <x:c r="D90" s="20"/>
      <x:c r="E90" s="20"/>
      <x:c r="F90" s="20"/>
      <x:c r="G90" s="20" t="str">
        <x:f>IF(OR(E90="",F90=""),"",E90*F90)</x:f>
      </x:c>
      <x:c r="H90" s="20" t="str">
        <x:f>IF(G90="","",IF(G90&gt;=20,"Critical",IF(G90&gt;=12,"High",IF(G90&gt;=6,"Moderate","Low"))))</x:f>
      </x:c>
      <x:c r="I90" s="20"/>
      <x:c r="J90" s="20"/>
      <x:c r="K90" s="20"/>
      <x:c r="L90" s="20"/>
      <x:c r="M90" s="21"/>
      <x:c r="N90" s="20"/>
      <x:c r="O90" s="20"/>
      <x:c r="P90" s="20" t="str">
        <x:f>IF(OR(N90="",O90=""),"",N90*O90)</x:f>
      </x:c>
      <x:c r="Q90" s="20"/>
    </x:row>
    <x:row r="91">
      <x:c r="A91" s="20"/>
      <x:c r="B91" s="20"/>
      <x:c r="C91" s="20"/>
      <x:c r="D91" s="20"/>
      <x:c r="E91" s="20"/>
      <x:c r="F91" s="20"/>
      <x:c r="G91" s="20" t="str">
        <x:f>IF(OR(E91="",F91=""),"",E91*F91)</x:f>
      </x:c>
      <x:c r="H91" s="20" t="str">
        <x:f>IF(G91="","",IF(G91&gt;=20,"Critical",IF(G91&gt;=12,"High",IF(G91&gt;=6,"Moderate","Low"))))</x:f>
      </x:c>
      <x:c r="I91" s="20"/>
      <x:c r="J91" s="20"/>
      <x:c r="K91" s="20"/>
      <x:c r="L91" s="20"/>
      <x:c r="M91" s="21"/>
      <x:c r="N91" s="20"/>
      <x:c r="O91" s="20"/>
      <x:c r="P91" s="20" t="str">
        <x:f>IF(OR(N91="",O91=""),"",N91*O91)</x:f>
      </x:c>
      <x:c r="Q91" s="20"/>
    </x:row>
    <x:row r="92">
      <x:c r="A92" s="20"/>
      <x:c r="B92" s="20"/>
      <x:c r="C92" s="20"/>
      <x:c r="D92" s="20"/>
      <x:c r="E92" s="20"/>
      <x:c r="F92" s="20"/>
      <x:c r="G92" s="20" t="str">
        <x:f>IF(OR(E92="",F92=""),"",E92*F92)</x:f>
      </x:c>
      <x:c r="H92" s="20" t="str">
        <x:f>IF(G92="","",IF(G92&gt;=20,"Critical",IF(G92&gt;=12,"High",IF(G92&gt;=6,"Moderate","Low"))))</x:f>
      </x:c>
      <x:c r="I92" s="20"/>
      <x:c r="J92" s="20"/>
      <x:c r="K92" s="20"/>
      <x:c r="L92" s="20"/>
      <x:c r="M92" s="21"/>
      <x:c r="N92" s="20"/>
      <x:c r="O92" s="20"/>
      <x:c r="P92" s="20" t="str">
        <x:f>IF(OR(N92="",O92=""),"",N92*O92)</x:f>
      </x:c>
      <x:c r="Q92" s="20"/>
    </x:row>
    <x:row r="93">
      <x:c r="A93" s="20"/>
      <x:c r="B93" s="20"/>
      <x:c r="C93" s="20"/>
      <x:c r="D93" s="20"/>
      <x:c r="E93" s="20"/>
      <x:c r="F93" s="20"/>
      <x:c r="G93" s="20" t="str">
        <x:f>IF(OR(E93="",F93=""),"",E93*F93)</x:f>
      </x:c>
      <x:c r="H93" s="20" t="str">
        <x:f>IF(G93="","",IF(G93&gt;=20,"Critical",IF(G93&gt;=12,"High",IF(G93&gt;=6,"Moderate","Low"))))</x:f>
      </x:c>
      <x:c r="I93" s="20"/>
      <x:c r="J93" s="20"/>
      <x:c r="K93" s="20"/>
      <x:c r="L93" s="20"/>
      <x:c r="M93" s="21"/>
      <x:c r="N93" s="20"/>
      <x:c r="O93" s="20"/>
      <x:c r="P93" s="20" t="str">
        <x:f>IF(OR(N93="",O93=""),"",N93*O93)</x:f>
      </x:c>
      <x:c r="Q93" s="20"/>
    </x:row>
    <x:row r="94">
      <x:c r="A94" s="20"/>
      <x:c r="B94" s="20"/>
      <x:c r="C94" s="20"/>
      <x:c r="D94" s="20"/>
      <x:c r="E94" s="20"/>
      <x:c r="F94" s="20"/>
      <x:c r="G94" s="20" t="str">
        <x:f>IF(OR(E94="",F94=""),"",E94*F94)</x:f>
      </x:c>
      <x:c r="H94" s="20" t="str">
        <x:f>IF(G94="","",IF(G94&gt;=20,"Critical",IF(G94&gt;=12,"High",IF(G94&gt;=6,"Moderate","Low"))))</x:f>
      </x:c>
      <x:c r="I94" s="20"/>
      <x:c r="J94" s="20"/>
      <x:c r="K94" s="20"/>
      <x:c r="L94" s="20"/>
      <x:c r="M94" s="21"/>
      <x:c r="N94" s="20"/>
      <x:c r="O94" s="20"/>
      <x:c r="P94" s="20" t="str">
        <x:f>IF(OR(N94="",O94=""),"",N94*O94)</x:f>
      </x:c>
      <x:c r="Q94" s="20"/>
    </x:row>
    <x:row r="95">
      <x:c r="A95" s="20"/>
      <x:c r="B95" s="20"/>
      <x:c r="C95" s="20"/>
      <x:c r="D95" s="20"/>
      <x:c r="E95" s="20"/>
      <x:c r="F95" s="20"/>
      <x:c r="G95" s="20" t="str">
        <x:f>IF(OR(E95="",F95=""),"",E95*F95)</x:f>
      </x:c>
      <x:c r="H95" s="20" t="str">
        <x:f>IF(G95="","",IF(G95&gt;=20,"Critical",IF(G95&gt;=12,"High",IF(G95&gt;=6,"Moderate","Low"))))</x:f>
      </x:c>
      <x:c r="I95" s="20"/>
      <x:c r="J95" s="20"/>
      <x:c r="K95" s="20"/>
      <x:c r="L95" s="20"/>
      <x:c r="M95" s="21"/>
      <x:c r="N95" s="20"/>
      <x:c r="O95" s="20"/>
      <x:c r="P95" s="20" t="str">
        <x:f>IF(OR(N95="",O95=""),"",N95*O95)</x:f>
      </x:c>
      <x:c r="Q95" s="20"/>
    </x:row>
    <x:row r="96">
      <x:c r="A96" s="20"/>
      <x:c r="B96" s="20"/>
      <x:c r="C96" s="20"/>
      <x:c r="D96" s="20"/>
      <x:c r="E96" s="20"/>
      <x:c r="F96" s="20"/>
      <x:c r="G96" s="20" t="str">
        <x:f>IF(OR(E96="",F96=""),"",E96*F96)</x:f>
      </x:c>
      <x:c r="H96" s="20" t="str">
        <x:f>IF(G96="","",IF(G96&gt;=20,"Critical",IF(G96&gt;=12,"High",IF(G96&gt;=6,"Moderate","Low"))))</x:f>
      </x:c>
      <x:c r="I96" s="20"/>
      <x:c r="J96" s="20"/>
      <x:c r="K96" s="20"/>
      <x:c r="L96" s="20"/>
      <x:c r="M96" s="21"/>
      <x:c r="N96" s="20"/>
      <x:c r="O96" s="20"/>
      <x:c r="P96" s="20" t="str">
        <x:f>IF(OR(N96="",O96=""),"",N96*O96)</x:f>
      </x:c>
      <x:c r="Q96" s="20"/>
    </x:row>
    <x:row r="97">
      <x:c r="A97" s="20"/>
      <x:c r="B97" s="20"/>
      <x:c r="C97" s="20"/>
      <x:c r="D97" s="20"/>
      <x:c r="E97" s="20"/>
      <x:c r="F97" s="20"/>
      <x:c r="G97" s="20" t="str">
        <x:f>IF(OR(E97="",F97=""),"",E97*F97)</x:f>
      </x:c>
      <x:c r="H97" s="20" t="str">
        <x:f>IF(G97="","",IF(G97&gt;=20,"Critical",IF(G97&gt;=12,"High",IF(G97&gt;=6,"Moderate","Low"))))</x:f>
      </x:c>
      <x:c r="I97" s="20"/>
      <x:c r="J97" s="20"/>
      <x:c r="K97" s="20"/>
      <x:c r="L97" s="20"/>
      <x:c r="M97" s="21"/>
      <x:c r="N97" s="20"/>
      <x:c r="O97" s="20"/>
      <x:c r="P97" s="20" t="str">
        <x:f>IF(OR(N97="",O97=""),"",N97*O97)</x:f>
      </x:c>
      <x:c r="Q97" s="20"/>
    </x:row>
    <x:row r="98">
      <x:c r="A98" s="20"/>
      <x:c r="B98" s="20"/>
      <x:c r="C98" s="20"/>
      <x:c r="D98" s="20"/>
      <x:c r="E98" s="20"/>
      <x:c r="F98" s="20"/>
      <x:c r="G98" s="20" t="str">
        <x:f>IF(OR(E98="",F98=""),"",E98*F98)</x:f>
      </x:c>
      <x:c r="H98" s="20" t="str">
        <x:f>IF(G98="","",IF(G98&gt;=20,"Critical",IF(G98&gt;=12,"High",IF(G98&gt;=6,"Moderate","Low"))))</x:f>
      </x:c>
      <x:c r="I98" s="20"/>
      <x:c r="J98" s="20"/>
      <x:c r="K98" s="20"/>
      <x:c r="L98" s="20"/>
      <x:c r="M98" s="21"/>
      <x:c r="N98" s="20"/>
      <x:c r="O98" s="20"/>
      <x:c r="P98" s="20" t="str">
        <x:f>IF(OR(N98="",O98=""),"",N98*O98)</x:f>
      </x:c>
      <x:c r="Q98" s="20"/>
    </x:row>
    <x:row r="99">
      <x:c r="A99" s="20"/>
      <x:c r="B99" s="20"/>
      <x:c r="C99" s="20"/>
      <x:c r="D99" s="20"/>
      <x:c r="E99" s="20"/>
      <x:c r="F99" s="20"/>
      <x:c r="G99" s="20" t="str">
        <x:f>IF(OR(E99="",F99=""),"",E99*F99)</x:f>
      </x:c>
      <x:c r="H99" s="20" t="str">
        <x:f>IF(G99="","",IF(G99&gt;=20,"Critical",IF(G99&gt;=12,"High",IF(G99&gt;=6,"Moderate","Low"))))</x:f>
      </x:c>
      <x:c r="I99" s="20"/>
      <x:c r="J99" s="20"/>
      <x:c r="K99" s="20"/>
      <x:c r="L99" s="20"/>
      <x:c r="M99" s="21"/>
      <x:c r="N99" s="20"/>
      <x:c r="O99" s="20"/>
      <x:c r="P99" s="20" t="str">
        <x:f>IF(OR(N99="",O99=""),"",N99*O99)</x:f>
      </x:c>
      <x:c r="Q99" s="20"/>
    </x:row>
    <x:row r="100">
      <x:c r="A100" s="20"/>
      <x:c r="B100" s="20"/>
      <x:c r="C100" s="20"/>
      <x:c r="D100" s="20"/>
      <x:c r="E100" s="20"/>
      <x:c r="F100" s="20"/>
      <x:c r="G100" s="20" t="str">
        <x:f>IF(OR(E100="",F100=""),"",E100*F100)</x:f>
      </x:c>
      <x:c r="H100" s="20" t="str">
        <x:f>IF(G100="","",IF(G100&gt;=20,"Critical",IF(G100&gt;=12,"High",IF(G100&gt;=6,"Moderate","Low"))))</x:f>
      </x:c>
      <x:c r="I100" s="20"/>
      <x:c r="J100" s="20"/>
      <x:c r="K100" s="20"/>
      <x:c r="L100" s="20"/>
      <x:c r="M100" s="21"/>
      <x:c r="N100" s="20"/>
      <x:c r="O100" s="20"/>
      <x:c r="P100" s="20" t="str">
        <x:f>IF(OR(N100="",O100=""),"",N100*O100)</x:f>
      </x:c>
      <x:c r="Q100" s="20"/>
    </x:row>
    <x:row r="101">
      <x:c r="A101" s="20"/>
      <x:c r="B101" s="20"/>
      <x:c r="C101" s="20"/>
      <x:c r="D101" s="20"/>
      <x:c r="E101" s="20"/>
      <x:c r="F101" s="20"/>
      <x:c r="G101" s="20" t="str">
        <x:f>IF(OR(E101="",F101=""),"",E101*F101)</x:f>
      </x:c>
      <x:c r="H101" s="20" t="str">
        <x:f>IF(G101="","",IF(G101&gt;=20,"Critical",IF(G101&gt;=12,"High",IF(G101&gt;=6,"Moderate","Low"))))</x:f>
      </x:c>
      <x:c r="I101" s="20"/>
      <x:c r="J101" s="20"/>
      <x:c r="K101" s="20"/>
      <x:c r="L101" s="20"/>
      <x:c r="M101" s="21"/>
      <x:c r="N101" s="20"/>
      <x:c r="O101" s="20"/>
      <x:c r="P101" s="20" t="str">
        <x:f>IF(OR(N101="",O101=""),"",N101*O101)</x:f>
      </x:c>
      <x:c r="Q101" s="20"/>
    </x:row>
    <x:row r="102">
      <x:c r="A102" s="20"/>
      <x:c r="B102" s="20"/>
      <x:c r="C102" s="20"/>
      <x:c r="D102" s="20"/>
      <x:c r="E102" s="20"/>
      <x:c r="F102" s="20"/>
      <x:c r="G102" s="20" t="str">
        <x:f>IF(OR(E102="",F102=""),"",E102*F102)</x:f>
      </x:c>
      <x:c r="H102" s="20" t="str">
        <x:f>IF(G102="","",IF(G102&gt;=20,"Critical",IF(G102&gt;=12,"High",IF(G102&gt;=6,"Moderate","Low"))))</x:f>
      </x:c>
      <x:c r="I102" s="20"/>
      <x:c r="J102" s="20"/>
      <x:c r="K102" s="20"/>
      <x:c r="L102" s="20"/>
      <x:c r="M102" s="21"/>
      <x:c r="N102" s="20"/>
      <x:c r="O102" s="20"/>
      <x:c r="P102" s="20" t="str">
        <x:f>IF(OR(N102="",O102=""),"",N102*O102)</x:f>
      </x:c>
      <x:c r="Q102" s="20"/>
    </x:row>
    <x:row r="103">
      <x:c r="A103" s="20"/>
      <x:c r="B103" s="20"/>
      <x:c r="C103" s="20"/>
      <x:c r="D103" s="20"/>
      <x:c r="E103" s="20"/>
      <x:c r="F103" s="20"/>
      <x:c r="G103" s="20" t="str">
        <x:f>IF(OR(E103="",F103=""),"",E103*F103)</x:f>
      </x:c>
      <x:c r="H103" s="20" t="str">
        <x:f>IF(G103="","",IF(G103&gt;=20,"Critical",IF(G103&gt;=12,"High",IF(G103&gt;=6,"Moderate","Low"))))</x:f>
      </x:c>
      <x:c r="I103" s="20"/>
      <x:c r="J103" s="20"/>
      <x:c r="K103" s="20"/>
      <x:c r="L103" s="20"/>
      <x:c r="M103" s="21"/>
      <x:c r="N103" s="20"/>
      <x:c r="O103" s="20"/>
      <x:c r="P103" s="20" t="str">
        <x:f>IF(OR(N103="",O103=""),"",N103*O103)</x:f>
      </x:c>
      <x:c r="Q103" s="20"/>
    </x:row>
  </x:sheetData>
  <x:mergeCells>
    <x:mergeCell ref="A1:Q1"/>
  </x:mergeCells>
  <x:conditionalFormatting sqref="G4:G103">
    <x:cfRule type="colorScale" priority="1">
      <x:colorScale>
        <x:cfvo type="min"/>
        <x:cfvo type="percentile" val="50"/>
        <x:cfvo type="max"/>
        <x:color rgb="FFD9EAD3"/>
        <x:color rgb="FFFFD966"/>
        <x:color rgb="FFF4CCCC"/>
      </x:colorScale>
    </x:cfRule>
  </x:conditionalFormatting>
  <x:conditionalFormatting sqref="P4:P103">
    <x:cfRule type="colorScale" priority="2">
      <x:colorScale>
        <x:cfvo type="min"/>
        <x:cfvo type="percentile" val="50"/>
        <x:cfvo type="max"/>
        <x:color rgb="FFD9EAD3"/>
        <x:color rgb="FFFFD966"/>
        <x:color rgb="FFF4CCCC"/>
      </x:colorScale>
    </x:cfRule>
  </x:conditionalFormatting>
  <x:dataValidations count="600">
    <x:dataValidation type="list" sqref="E4">
      <x:formula1>"1,2,3,4,5"</x:formula1>
    </x:dataValidation>
    <x:dataValidation type="list" sqref="F4">
      <x:formula1>"1,2,3,4,5"</x:formula1>
    </x:dataValidation>
    <x:dataValidation type="list" sqref="N4">
      <x:formula1>"1,2,3,4,5"</x:formula1>
    </x:dataValidation>
    <x:dataValidation type="list" sqref="O4">
      <x:formula1>"1,2,3,4,5"</x:formula1>
    </x:dataValidation>
    <x:dataValidation type="list" sqref="J4">
      <x:formula1>"Mitigate,Transfer,Avoid,Accept"</x:formula1>
    </x:dataValidation>
    <x:dataValidation type="list" sqref="Q4">
      <x:formula1>"Open,In Progress,Closed,Accepted"</x:formula1>
    </x:dataValidation>
    <x:dataValidation type="list" sqref="E5">
      <x:formula1>"1,2,3,4,5"</x:formula1>
    </x:dataValidation>
    <x:dataValidation type="list" sqref="F5">
      <x:formula1>"1,2,3,4,5"</x:formula1>
    </x:dataValidation>
    <x:dataValidation type="list" sqref="N5">
      <x:formula1>"1,2,3,4,5"</x:formula1>
    </x:dataValidation>
    <x:dataValidation type="list" sqref="O5">
      <x:formula1>"1,2,3,4,5"</x:formula1>
    </x:dataValidation>
    <x:dataValidation type="list" sqref="J5">
      <x:formula1>"Mitigate,Transfer,Avoid,Accept"</x:formula1>
    </x:dataValidation>
    <x:dataValidation type="list" sqref="Q5">
      <x:formula1>"Open,In Progress,Closed,Accepted"</x:formula1>
    </x:dataValidation>
    <x:dataValidation type="list" sqref="E6">
      <x:formula1>"1,2,3,4,5"</x:formula1>
    </x:dataValidation>
    <x:dataValidation type="list" sqref="F6">
      <x:formula1>"1,2,3,4,5"</x:formula1>
    </x:dataValidation>
    <x:dataValidation type="list" sqref="N6">
      <x:formula1>"1,2,3,4,5"</x:formula1>
    </x:dataValidation>
    <x:dataValidation type="list" sqref="O6">
      <x:formula1>"1,2,3,4,5"</x:formula1>
    </x:dataValidation>
    <x:dataValidation type="list" sqref="J6">
      <x:formula1>"Mitigate,Transfer,Avoid,Accept"</x:formula1>
    </x:dataValidation>
    <x:dataValidation type="list" sqref="Q6">
      <x:formula1>"Open,In Progress,Closed,Accepted"</x:formula1>
    </x:dataValidation>
    <x:dataValidation type="list" sqref="E7">
      <x:formula1>"1,2,3,4,5"</x:formula1>
    </x:dataValidation>
    <x:dataValidation type="list" sqref="F7">
      <x:formula1>"1,2,3,4,5"</x:formula1>
    </x:dataValidation>
    <x:dataValidation type="list" sqref="N7">
      <x:formula1>"1,2,3,4,5"</x:formula1>
    </x:dataValidation>
    <x:dataValidation type="list" sqref="O7">
      <x:formula1>"1,2,3,4,5"</x:formula1>
    </x:dataValidation>
    <x:dataValidation type="list" sqref="J7">
      <x:formula1>"Mitigate,Transfer,Avoid,Accept"</x:formula1>
    </x:dataValidation>
    <x:dataValidation type="list" sqref="Q7">
      <x:formula1>"Open,In Progress,Closed,Accepted"</x:formula1>
    </x:dataValidation>
    <x:dataValidation type="list" sqref="E8">
      <x:formula1>"1,2,3,4,5"</x:formula1>
    </x:dataValidation>
    <x:dataValidation type="list" sqref="F8">
      <x:formula1>"1,2,3,4,5"</x:formula1>
    </x:dataValidation>
    <x:dataValidation type="list" sqref="N8">
      <x:formula1>"1,2,3,4,5"</x:formula1>
    </x:dataValidation>
    <x:dataValidation type="list" sqref="O8">
      <x:formula1>"1,2,3,4,5"</x:formula1>
    </x:dataValidation>
    <x:dataValidation type="list" sqref="J8">
      <x:formula1>"Mitigate,Transfer,Avoid,Accept"</x:formula1>
    </x:dataValidation>
    <x:dataValidation type="list" sqref="Q8">
      <x:formula1>"Open,In Progress,Closed,Accepted"</x:formula1>
    </x:dataValidation>
    <x:dataValidation type="list" sqref="E9">
      <x:formula1>"1,2,3,4,5"</x:formula1>
    </x:dataValidation>
    <x:dataValidation type="list" sqref="F9">
      <x:formula1>"1,2,3,4,5"</x:formula1>
    </x:dataValidation>
    <x:dataValidation type="list" sqref="N9">
      <x:formula1>"1,2,3,4,5"</x:formula1>
    </x:dataValidation>
    <x:dataValidation type="list" sqref="O9">
      <x:formula1>"1,2,3,4,5"</x:formula1>
    </x:dataValidation>
    <x:dataValidation type="list" sqref="J9">
      <x:formula1>"Mitigate,Transfer,Avoid,Accept"</x:formula1>
    </x:dataValidation>
    <x:dataValidation type="list" sqref="Q9">
      <x:formula1>"Open,In Progress,Closed,Accepted"</x:formula1>
    </x:dataValidation>
    <x:dataValidation type="list" sqref="E10">
      <x:formula1>"1,2,3,4,5"</x:formula1>
    </x:dataValidation>
    <x:dataValidation type="list" sqref="F10">
      <x:formula1>"1,2,3,4,5"</x:formula1>
    </x:dataValidation>
    <x:dataValidation type="list" sqref="N10">
      <x:formula1>"1,2,3,4,5"</x:formula1>
    </x:dataValidation>
    <x:dataValidation type="list" sqref="O10">
      <x:formula1>"1,2,3,4,5"</x:formula1>
    </x:dataValidation>
    <x:dataValidation type="list" sqref="J10">
      <x:formula1>"Mitigate,Transfer,Avoid,Accept"</x:formula1>
    </x:dataValidation>
    <x:dataValidation type="list" sqref="Q10">
      <x:formula1>"Open,In Progress,Closed,Accepted"</x:formula1>
    </x:dataValidation>
    <x:dataValidation type="list" sqref="E11">
      <x:formula1>"1,2,3,4,5"</x:formula1>
    </x:dataValidation>
    <x:dataValidation type="list" sqref="F11">
      <x:formula1>"1,2,3,4,5"</x:formula1>
    </x:dataValidation>
    <x:dataValidation type="list" sqref="N11">
      <x:formula1>"1,2,3,4,5"</x:formula1>
    </x:dataValidation>
    <x:dataValidation type="list" sqref="O11">
      <x:formula1>"1,2,3,4,5"</x:formula1>
    </x:dataValidation>
    <x:dataValidation type="list" sqref="J11">
      <x:formula1>"Mitigate,Transfer,Avoid,Accept"</x:formula1>
    </x:dataValidation>
    <x:dataValidation type="list" sqref="Q11">
      <x:formula1>"Open,In Progress,Closed,Accepted"</x:formula1>
    </x:dataValidation>
    <x:dataValidation type="list" sqref="E12">
      <x:formula1>"1,2,3,4,5"</x:formula1>
    </x:dataValidation>
    <x:dataValidation type="list" sqref="F12">
      <x:formula1>"1,2,3,4,5"</x:formula1>
    </x:dataValidation>
    <x:dataValidation type="list" sqref="N12">
      <x:formula1>"1,2,3,4,5"</x:formula1>
    </x:dataValidation>
    <x:dataValidation type="list" sqref="O12">
      <x:formula1>"1,2,3,4,5"</x:formula1>
    </x:dataValidation>
    <x:dataValidation type="list" sqref="J12">
      <x:formula1>"Mitigate,Transfer,Avoid,Accept"</x:formula1>
    </x:dataValidation>
    <x:dataValidation type="list" sqref="Q12">
      <x:formula1>"Open,In Progress,Closed,Accepted"</x:formula1>
    </x:dataValidation>
    <x:dataValidation type="list" sqref="E13">
      <x:formula1>"1,2,3,4,5"</x:formula1>
    </x:dataValidation>
    <x:dataValidation type="list" sqref="F13">
      <x:formula1>"1,2,3,4,5"</x:formula1>
    </x:dataValidation>
    <x:dataValidation type="list" sqref="N13">
      <x:formula1>"1,2,3,4,5"</x:formula1>
    </x:dataValidation>
    <x:dataValidation type="list" sqref="O13">
      <x:formula1>"1,2,3,4,5"</x:formula1>
    </x:dataValidation>
    <x:dataValidation type="list" sqref="J13">
      <x:formula1>"Mitigate,Transfer,Avoid,Accept"</x:formula1>
    </x:dataValidation>
    <x:dataValidation type="list" sqref="Q13">
      <x:formula1>"Open,In Progress,Closed,Accepted"</x:formula1>
    </x:dataValidation>
    <x:dataValidation type="list" sqref="E14">
      <x:formula1>"1,2,3,4,5"</x:formula1>
    </x:dataValidation>
    <x:dataValidation type="list" sqref="F14">
      <x:formula1>"1,2,3,4,5"</x:formula1>
    </x:dataValidation>
    <x:dataValidation type="list" sqref="N14">
      <x:formula1>"1,2,3,4,5"</x:formula1>
    </x:dataValidation>
    <x:dataValidation type="list" sqref="O14">
      <x:formula1>"1,2,3,4,5"</x:formula1>
    </x:dataValidation>
    <x:dataValidation type="list" sqref="J14">
      <x:formula1>"Mitigate,Transfer,Avoid,Accept"</x:formula1>
    </x:dataValidation>
    <x:dataValidation type="list" sqref="Q14">
      <x:formula1>"Open,In Progress,Closed,Accepted"</x:formula1>
    </x:dataValidation>
    <x:dataValidation type="list" sqref="E15">
      <x:formula1>"1,2,3,4,5"</x:formula1>
    </x:dataValidation>
    <x:dataValidation type="list" sqref="F15">
      <x:formula1>"1,2,3,4,5"</x:formula1>
    </x:dataValidation>
    <x:dataValidation type="list" sqref="N15">
      <x:formula1>"1,2,3,4,5"</x:formula1>
    </x:dataValidation>
    <x:dataValidation type="list" sqref="O15">
      <x:formula1>"1,2,3,4,5"</x:formula1>
    </x:dataValidation>
    <x:dataValidation type="list" sqref="J15">
      <x:formula1>"Mitigate,Transfer,Avoid,Accept"</x:formula1>
    </x:dataValidation>
    <x:dataValidation type="list" sqref="Q15">
      <x:formula1>"Open,In Progress,Closed,Accepted"</x:formula1>
    </x:dataValidation>
    <x:dataValidation type="list" sqref="E16">
      <x:formula1>"1,2,3,4,5"</x:formula1>
    </x:dataValidation>
    <x:dataValidation type="list" sqref="F16">
      <x:formula1>"1,2,3,4,5"</x:formula1>
    </x:dataValidation>
    <x:dataValidation type="list" sqref="N16">
      <x:formula1>"1,2,3,4,5"</x:formula1>
    </x:dataValidation>
    <x:dataValidation type="list" sqref="O16">
      <x:formula1>"1,2,3,4,5"</x:formula1>
    </x:dataValidation>
    <x:dataValidation type="list" sqref="J16">
      <x:formula1>"Mitigate,Transfer,Avoid,Accept"</x:formula1>
    </x:dataValidation>
    <x:dataValidation type="list" sqref="Q16">
      <x:formula1>"Open,In Progress,Closed,Accepted"</x:formula1>
    </x:dataValidation>
    <x:dataValidation type="list" sqref="E17">
      <x:formula1>"1,2,3,4,5"</x:formula1>
    </x:dataValidation>
    <x:dataValidation type="list" sqref="F17">
      <x:formula1>"1,2,3,4,5"</x:formula1>
    </x:dataValidation>
    <x:dataValidation type="list" sqref="N17">
      <x:formula1>"1,2,3,4,5"</x:formula1>
    </x:dataValidation>
    <x:dataValidation type="list" sqref="O17">
      <x:formula1>"1,2,3,4,5"</x:formula1>
    </x:dataValidation>
    <x:dataValidation type="list" sqref="J17">
      <x:formula1>"Mitigate,Transfer,Avoid,Accept"</x:formula1>
    </x:dataValidation>
    <x:dataValidation type="list" sqref="Q17">
      <x:formula1>"Open,In Progress,Closed,Accepted"</x:formula1>
    </x:dataValidation>
    <x:dataValidation type="list" sqref="E18">
      <x:formula1>"1,2,3,4,5"</x:formula1>
    </x:dataValidation>
    <x:dataValidation type="list" sqref="F18">
      <x:formula1>"1,2,3,4,5"</x:formula1>
    </x:dataValidation>
    <x:dataValidation type="list" sqref="N18">
      <x:formula1>"1,2,3,4,5"</x:formula1>
    </x:dataValidation>
    <x:dataValidation type="list" sqref="O18">
      <x:formula1>"1,2,3,4,5"</x:formula1>
    </x:dataValidation>
    <x:dataValidation type="list" sqref="J18">
      <x:formula1>"Mitigate,Transfer,Avoid,Accept"</x:formula1>
    </x:dataValidation>
    <x:dataValidation type="list" sqref="Q18">
      <x:formula1>"Open,In Progress,Closed,Accepted"</x:formula1>
    </x:dataValidation>
    <x:dataValidation type="list" sqref="E19">
      <x:formula1>"1,2,3,4,5"</x:formula1>
    </x:dataValidation>
    <x:dataValidation type="list" sqref="F19">
      <x:formula1>"1,2,3,4,5"</x:formula1>
    </x:dataValidation>
    <x:dataValidation type="list" sqref="N19">
      <x:formula1>"1,2,3,4,5"</x:formula1>
    </x:dataValidation>
    <x:dataValidation type="list" sqref="O19">
      <x:formula1>"1,2,3,4,5"</x:formula1>
    </x:dataValidation>
    <x:dataValidation type="list" sqref="J19">
      <x:formula1>"Mitigate,Transfer,Avoid,Accept"</x:formula1>
    </x:dataValidation>
    <x:dataValidation type="list" sqref="Q19">
      <x:formula1>"Open,In Progress,Closed,Accepted"</x:formula1>
    </x:dataValidation>
    <x:dataValidation type="list" sqref="E20">
      <x:formula1>"1,2,3,4,5"</x:formula1>
    </x:dataValidation>
    <x:dataValidation type="list" sqref="F20">
      <x:formula1>"1,2,3,4,5"</x:formula1>
    </x:dataValidation>
    <x:dataValidation type="list" sqref="N20">
      <x:formula1>"1,2,3,4,5"</x:formula1>
    </x:dataValidation>
    <x:dataValidation type="list" sqref="O20">
      <x:formula1>"1,2,3,4,5"</x:formula1>
    </x:dataValidation>
    <x:dataValidation type="list" sqref="J20">
      <x:formula1>"Mitigate,Transfer,Avoid,Accept"</x:formula1>
    </x:dataValidation>
    <x:dataValidation type="list" sqref="Q20">
      <x:formula1>"Open,In Progress,Closed,Accepted"</x:formula1>
    </x:dataValidation>
    <x:dataValidation type="list" sqref="E21">
      <x:formula1>"1,2,3,4,5"</x:formula1>
    </x:dataValidation>
    <x:dataValidation type="list" sqref="F21">
      <x:formula1>"1,2,3,4,5"</x:formula1>
    </x:dataValidation>
    <x:dataValidation type="list" sqref="N21">
      <x:formula1>"1,2,3,4,5"</x:formula1>
    </x:dataValidation>
    <x:dataValidation type="list" sqref="O21">
      <x:formula1>"1,2,3,4,5"</x:formula1>
    </x:dataValidation>
    <x:dataValidation type="list" sqref="J21">
      <x:formula1>"Mitigate,Transfer,Avoid,Accept"</x:formula1>
    </x:dataValidation>
    <x:dataValidation type="list" sqref="Q21">
      <x:formula1>"Open,In Progress,Closed,Accepted"</x:formula1>
    </x:dataValidation>
    <x:dataValidation type="list" sqref="E22">
      <x:formula1>"1,2,3,4,5"</x:formula1>
    </x:dataValidation>
    <x:dataValidation type="list" sqref="F22">
      <x:formula1>"1,2,3,4,5"</x:formula1>
    </x:dataValidation>
    <x:dataValidation type="list" sqref="N22">
      <x:formula1>"1,2,3,4,5"</x:formula1>
    </x:dataValidation>
    <x:dataValidation type="list" sqref="O22">
      <x:formula1>"1,2,3,4,5"</x:formula1>
    </x:dataValidation>
    <x:dataValidation type="list" sqref="J22">
      <x:formula1>"Mitigate,Transfer,Avoid,Accept"</x:formula1>
    </x:dataValidation>
    <x:dataValidation type="list" sqref="Q22">
      <x:formula1>"Open,In Progress,Closed,Accepted"</x:formula1>
    </x:dataValidation>
    <x:dataValidation type="list" sqref="E23">
      <x:formula1>"1,2,3,4,5"</x:formula1>
    </x:dataValidation>
    <x:dataValidation type="list" sqref="F23">
      <x:formula1>"1,2,3,4,5"</x:formula1>
    </x:dataValidation>
    <x:dataValidation type="list" sqref="N23">
      <x:formula1>"1,2,3,4,5"</x:formula1>
    </x:dataValidation>
    <x:dataValidation type="list" sqref="O23">
      <x:formula1>"1,2,3,4,5"</x:formula1>
    </x:dataValidation>
    <x:dataValidation type="list" sqref="J23">
      <x:formula1>"Mitigate,Transfer,Avoid,Accept"</x:formula1>
    </x:dataValidation>
    <x:dataValidation type="list" sqref="Q23">
      <x:formula1>"Open,In Progress,Closed,Accepted"</x:formula1>
    </x:dataValidation>
    <x:dataValidation type="list" sqref="E24">
      <x:formula1>"1,2,3,4,5"</x:formula1>
    </x:dataValidation>
    <x:dataValidation type="list" sqref="F24">
      <x:formula1>"1,2,3,4,5"</x:formula1>
    </x:dataValidation>
    <x:dataValidation type="list" sqref="N24">
      <x:formula1>"1,2,3,4,5"</x:formula1>
    </x:dataValidation>
    <x:dataValidation type="list" sqref="O24">
      <x:formula1>"1,2,3,4,5"</x:formula1>
    </x:dataValidation>
    <x:dataValidation type="list" sqref="J24">
      <x:formula1>"Mitigate,Transfer,Avoid,Accept"</x:formula1>
    </x:dataValidation>
    <x:dataValidation type="list" sqref="Q24">
      <x:formula1>"Open,In Progress,Closed,Accepted"</x:formula1>
    </x:dataValidation>
    <x:dataValidation type="list" sqref="E25">
      <x:formula1>"1,2,3,4,5"</x:formula1>
    </x:dataValidation>
    <x:dataValidation type="list" sqref="F25">
      <x:formula1>"1,2,3,4,5"</x:formula1>
    </x:dataValidation>
    <x:dataValidation type="list" sqref="N25">
      <x:formula1>"1,2,3,4,5"</x:formula1>
    </x:dataValidation>
    <x:dataValidation type="list" sqref="O25">
      <x:formula1>"1,2,3,4,5"</x:formula1>
    </x:dataValidation>
    <x:dataValidation type="list" sqref="J25">
      <x:formula1>"Mitigate,Transfer,Avoid,Accept"</x:formula1>
    </x:dataValidation>
    <x:dataValidation type="list" sqref="Q25">
      <x:formula1>"Open,In Progress,Closed,Accepted"</x:formula1>
    </x:dataValidation>
    <x:dataValidation type="list" sqref="E26">
      <x:formula1>"1,2,3,4,5"</x:formula1>
    </x:dataValidation>
    <x:dataValidation type="list" sqref="F26">
      <x:formula1>"1,2,3,4,5"</x:formula1>
    </x:dataValidation>
    <x:dataValidation type="list" sqref="N26">
      <x:formula1>"1,2,3,4,5"</x:formula1>
    </x:dataValidation>
    <x:dataValidation type="list" sqref="O26">
      <x:formula1>"1,2,3,4,5"</x:formula1>
    </x:dataValidation>
    <x:dataValidation type="list" sqref="J26">
      <x:formula1>"Mitigate,Transfer,Avoid,Accept"</x:formula1>
    </x:dataValidation>
    <x:dataValidation type="list" sqref="Q26">
      <x:formula1>"Open,In Progress,Closed,Accepted"</x:formula1>
    </x:dataValidation>
    <x:dataValidation type="list" sqref="E27">
      <x:formula1>"1,2,3,4,5"</x:formula1>
    </x:dataValidation>
    <x:dataValidation type="list" sqref="F27">
      <x:formula1>"1,2,3,4,5"</x:formula1>
    </x:dataValidation>
    <x:dataValidation type="list" sqref="N27">
      <x:formula1>"1,2,3,4,5"</x:formula1>
    </x:dataValidation>
    <x:dataValidation type="list" sqref="O27">
      <x:formula1>"1,2,3,4,5"</x:formula1>
    </x:dataValidation>
    <x:dataValidation type="list" sqref="J27">
      <x:formula1>"Mitigate,Transfer,Avoid,Accept"</x:formula1>
    </x:dataValidation>
    <x:dataValidation type="list" sqref="Q27">
      <x:formula1>"Open,In Progress,Closed,Accepted"</x:formula1>
    </x:dataValidation>
    <x:dataValidation type="list" sqref="E28">
      <x:formula1>"1,2,3,4,5"</x:formula1>
    </x:dataValidation>
    <x:dataValidation type="list" sqref="F28">
      <x:formula1>"1,2,3,4,5"</x:formula1>
    </x:dataValidation>
    <x:dataValidation type="list" sqref="N28">
      <x:formula1>"1,2,3,4,5"</x:formula1>
    </x:dataValidation>
    <x:dataValidation type="list" sqref="O28">
      <x:formula1>"1,2,3,4,5"</x:formula1>
    </x:dataValidation>
    <x:dataValidation type="list" sqref="J28">
      <x:formula1>"Mitigate,Transfer,Avoid,Accept"</x:formula1>
    </x:dataValidation>
    <x:dataValidation type="list" sqref="Q28">
      <x:formula1>"Open,In Progress,Closed,Accepted"</x:formula1>
    </x:dataValidation>
    <x:dataValidation type="list" sqref="E29">
      <x:formula1>"1,2,3,4,5"</x:formula1>
    </x:dataValidation>
    <x:dataValidation type="list" sqref="F29">
      <x:formula1>"1,2,3,4,5"</x:formula1>
    </x:dataValidation>
    <x:dataValidation type="list" sqref="N29">
      <x:formula1>"1,2,3,4,5"</x:formula1>
    </x:dataValidation>
    <x:dataValidation type="list" sqref="O29">
      <x:formula1>"1,2,3,4,5"</x:formula1>
    </x:dataValidation>
    <x:dataValidation type="list" sqref="J29">
      <x:formula1>"Mitigate,Transfer,Avoid,Accept"</x:formula1>
    </x:dataValidation>
    <x:dataValidation type="list" sqref="Q29">
      <x:formula1>"Open,In Progress,Closed,Accepted"</x:formula1>
    </x:dataValidation>
    <x:dataValidation type="list" sqref="E30">
      <x:formula1>"1,2,3,4,5"</x:formula1>
    </x:dataValidation>
    <x:dataValidation type="list" sqref="F30">
      <x:formula1>"1,2,3,4,5"</x:formula1>
    </x:dataValidation>
    <x:dataValidation type="list" sqref="N30">
      <x:formula1>"1,2,3,4,5"</x:formula1>
    </x:dataValidation>
    <x:dataValidation type="list" sqref="O30">
      <x:formula1>"1,2,3,4,5"</x:formula1>
    </x:dataValidation>
    <x:dataValidation type="list" sqref="J30">
      <x:formula1>"Mitigate,Transfer,Avoid,Accept"</x:formula1>
    </x:dataValidation>
    <x:dataValidation type="list" sqref="Q30">
      <x:formula1>"Open,In Progress,Closed,Accepted"</x:formula1>
    </x:dataValidation>
    <x:dataValidation type="list" sqref="E31">
      <x:formula1>"1,2,3,4,5"</x:formula1>
    </x:dataValidation>
    <x:dataValidation type="list" sqref="F31">
      <x:formula1>"1,2,3,4,5"</x:formula1>
    </x:dataValidation>
    <x:dataValidation type="list" sqref="N31">
      <x:formula1>"1,2,3,4,5"</x:formula1>
    </x:dataValidation>
    <x:dataValidation type="list" sqref="O31">
      <x:formula1>"1,2,3,4,5"</x:formula1>
    </x:dataValidation>
    <x:dataValidation type="list" sqref="J31">
      <x:formula1>"Mitigate,Transfer,Avoid,Accept"</x:formula1>
    </x:dataValidation>
    <x:dataValidation type="list" sqref="Q31">
      <x:formula1>"Open,In Progress,Closed,Accepted"</x:formula1>
    </x:dataValidation>
    <x:dataValidation type="list" sqref="E32">
      <x:formula1>"1,2,3,4,5"</x:formula1>
    </x:dataValidation>
    <x:dataValidation type="list" sqref="F32">
      <x:formula1>"1,2,3,4,5"</x:formula1>
    </x:dataValidation>
    <x:dataValidation type="list" sqref="N32">
      <x:formula1>"1,2,3,4,5"</x:formula1>
    </x:dataValidation>
    <x:dataValidation type="list" sqref="O32">
      <x:formula1>"1,2,3,4,5"</x:formula1>
    </x:dataValidation>
    <x:dataValidation type="list" sqref="J32">
      <x:formula1>"Mitigate,Transfer,Avoid,Accept"</x:formula1>
    </x:dataValidation>
    <x:dataValidation type="list" sqref="Q32">
      <x:formula1>"Open,In Progress,Closed,Accepted"</x:formula1>
    </x:dataValidation>
    <x:dataValidation type="list" sqref="E33">
      <x:formula1>"1,2,3,4,5"</x:formula1>
    </x:dataValidation>
    <x:dataValidation type="list" sqref="F33">
      <x:formula1>"1,2,3,4,5"</x:formula1>
    </x:dataValidation>
    <x:dataValidation type="list" sqref="N33">
      <x:formula1>"1,2,3,4,5"</x:formula1>
    </x:dataValidation>
    <x:dataValidation type="list" sqref="O33">
      <x:formula1>"1,2,3,4,5"</x:formula1>
    </x:dataValidation>
    <x:dataValidation type="list" sqref="J33">
      <x:formula1>"Mitigate,Transfer,Avoid,Accept"</x:formula1>
    </x:dataValidation>
    <x:dataValidation type="list" sqref="Q33">
      <x:formula1>"Open,In Progress,Closed,Accepted"</x:formula1>
    </x:dataValidation>
    <x:dataValidation type="list" sqref="E34">
      <x:formula1>"1,2,3,4,5"</x:formula1>
    </x:dataValidation>
    <x:dataValidation type="list" sqref="F34">
      <x:formula1>"1,2,3,4,5"</x:formula1>
    </x:dataValidation>
    <x:dataValidation type="list" sqref="N34">
      <x:formula1>"1,2,3,4,5"</x:formula1>
    </x:dataValidation>
    <x:dataValidation type="list" sqref="O34">
      <x:formula1>"1,2,3,4,5"</x:formula1>
    </x:dataValidation>
    <x:dataValidation type="list" sqref="J34">
      <x:formula1>"Mitigate,Transfer,Avoid,Accept"</x:formula1>
    </x:dataValidation>
    <x:dataValidation type="list" sqref="Q34">
      <x:formula1>"Open,In Progress,Closed,Accepted"</x:formula1>
    </x:dataValidation>
    <x:dataValidation type="list" sqref="E35">
      <x:formula1>"1,2,3,4,5"</x:formula1>
    </x:dataValidation>
    <x:dataValidation type="list" sqref="F35">
      <x:formula1>"1,2,3,4,5"</x:formula1>
    </x:dataValidation>
    <x:dataValidation type="list" sqref="N35">
      <x:formula1>"1,2,3,4,5"</x:formula1>
    </x:dataValidation>
    <x:dataValidation type="list" sqref="O35">
      <x:formula1>"1,2,3,4,5"</x:formula1>
    </x:dataValidation>
    <x:dataValidation type="list" sqref="J35">
      <x:formula1>"Mitigate,Transfer,Avoid,Accept"</x:formula1>
    </x:dataValidation>
    <x:dataValidation type="list" sqref="Q35">
      <x:formula1>"Open,In Progress,Closed,Accepted"</x:formula1>
    </x:dataValidation>
    <x:dataValidation type="list" sqref="E36">
      <x:formula1>"1,2,3,4,5"</x:formula1>
    </x:dataValidation>
    <x:dataValidation type="list" sqref="F36">
      <x:formula1>"1,2,3,4,5"</x:formula1>
    </x:dataValidation>
    <x:dataValidation type="list" sqref="N36">
      <x:formula1>"1,2,3,4,5"</x:formula1>
    </x:dataValidation>
    <x:dataValidation type="list" sqref="O36">
      <x:formula1>"1,2,3,4,5"</x:formula1>
    </x:dataValidation>
    <x:dataValidation type="list" sqref="J36">
      <x:formula1>"Mitigate,Transfer,Avoid,Accept"</x:formula1>
    </x:dataValidation>
    <x:dataValidation type="list" sqref="Q36">
      <x:formula1>"Open,In Progress,Closed,Accepted"</x:formula1>
    </x:dataValidation>
    <x:dataValidation type="list" sqref="E37">
      <x:formula1>"1,2,3,4,5"</x:formula1>
    </x:dataValidation>
    <x:dataValidation type="list" sqref="F37">
      <x:formula1>"1,2,3,4,5"</x:formula1>
    </x:dataValidation>
    <x:dataValidation type="list" sqref="N37">
      <x:formula1>"1,2,3,4,5"</x:formula1>
    </x:dataValidation>
    <x:dataValidation type="list" sqref="O37">
      <x:formula1>"1,2,3,4,5"</x:formula1>
    </x:dataValidation>
    <x:dataValidation type="list" sqref="J37">
      <x:formula1>"Mitigate,Transfer,Avoid,Accept"</x:formula1>
    </x:dataValidation>
    <x:dataValidation type="list" sqref="Q37">
      <x:formula1>"Open,In Progress,Closed,Accepted"</x:formula1>
    </x:dataValidation>
    <x:dataValidation type="list" sqref="E38">
      <x:formula1>"1,2,3,4,5"</x:formula1>
    </x:dataValidation>
    <x:dataValidation type="list" sqref="F38">
      <x:formula1>"1,2,3,4,5"</x:formula1>
    </x:dataValidation>
    <x:dataValidation type="list" sqref="N38">
      <x:formula1>"1,2,3,4,5"</x:formula1>
    </x:dataValidation>
    <x:dataValidation type="list" sqref="O38">
      <x:formula1>"1,2,3,4,5"</x:formula1>
    </x:dataValidation>
    <x:dataValidation type="list" sqref="J38">
      <x:formula1>"Mitigate,Transfer,Avoid,Accept"</x:formula1>
    </x:dataValidation>
    <x:dataValidation type="list" sqref="Q38">
      <x:formula1>"Open,In Progress,Closed,Accepted"</x:formula1>
    </x:dataValidation>
    <x:dataValidation type="list" sqref="E39">
      <x:formula1>"1,2,3,4,5"</x:formula1>
    </x:dataValidation>
    <x:dataValidation type="list" sqref="F39">
      <x:formula1>"1,2,3,4,5"</x:formula1>
    </x:dataValidation>
    <x:dataValidation type="list" sqref="N39">
      <x:formula1>"1,2,3,4,5"</x:formula1>
    </x:dataValidation>
    <x:dataValidation type="list" sqref="O39">
      <x:formula1>"1,2,3,4,5"</x:formula1>
    </x:dataValidation>
    <x:dataValidation type="list" sqref="J39">
      <x:formula1>"Mitigate,Transfer,Avoid,Accept"</x:formula1>
    </x:dataValidation>
    <x:dataValidation type="list" sqref="Q39">
      <x:formula1>"Open,In Progress,Closed,Accepted"</x:formula1>
    </x:dataValidation>
    <x:dataValidation type="list" sqref="E40">
      <x:formula1>"1,2,3,4,5"</x:formula1>
    </x:dataValidation>
    <x:dataValidation type="list" sqref="F40">
      <x:formula1>"1,2,3,4,5"</x:formula1>
    </x:dataValidation>
    <x:dataValidation type="list" sqref="N40">
      <x:formula1>"1,2,3,4,5"</x:formula1>
    </x:dataValidation>
    <x:dataValidation type="list" sqref="O40">
      <x:formula1>"1,2,3,4,5"</x:formula1>
    </x:dataValidation>
    <x:dataValidation type="list" sqref="J40">
      <x:formula1>"Mitigate,Transfer,Avoid,Accept"</x:formula1>
    </x:dataValidation>
    <x:dataValidation type="list" sqref="Q40">
      <x:formula1>"Open,In Progress,Closed,Accepted"</x:formula1>
    </x:dataValidation>
    <x:dataValidation type="list" sqref="E41">
      <x:formula1>"1,2,3,4,5"</x:formula1>
    </x:dataValidation>
    <x:dataValidation type="list" sqref="F41">
      <x:formula1>"1,2,3,4,5"</x:formula1>
    </x:dataValidation>
    <x:dataValidation type="list" sqref="N41">
      <x:formula1>"1,2,3,4,5"</x:formula1>
    </x:dataValidation>
    <x:dataValidation type="list" sqref="O41">
      <x:formula1>"1,2,3,4,5"</x:formula1>
    </x:dataValidation>
    <x:dataValidation type="list" sqref="J41">
      <x:formula1>"Mitigate,Transfer,Avoid,Accept"</x:formula1>
    </x:dataValidation>
    <x:dataValidation type="list" sqref="Q41">
      <x:formula1>"Open,In Progress,Closed,Accepted"</x:formula1>
    </x:dataValidation>
    <x:dataValidation type="list" sqref="E42">
      <x:formula1>"1,2,3,4,5"</x:formula1>
    </x:dataValidation>
    <x:dataValidation type="list" sqref="F42">
      <x:formula1>"1,2,3,4,5"</x:formula1>
    </x:dataValidation>
    <x:dataValidation type="list" sqref="N42">
      <x:formula1>"1,2,3,4,5"</x:formula1>
    </x:dataValidation>
    <x:dataValidation type="list" sqref="O42">
      <x:formula1>"1,2,3,4,5"</x:formula1>
    </x:dataValidation>
    <x:dataValidation type="list" sqref="J42">
      <x:formula1>"Mitigate,Transfer,Avoid,Accept"</x:formula1>
    </x:dataValidation>
    <x:dataValidation type="list" sqref="Q42">
      <x:formula1>"Open,In Progress,Closed,Accepted"</x:formula1>
    </x:dataValidation>
    <x:dataValidation type="list" sqref="E43">
      <x:formula1>"1,2,3,4,5"</x:formula1>
    </x:dataValidation>
    <x:dataValidation type="list" sqref="F43">
      <x:formula1>"1,2,3,4,5"</x:formula1>
    </x:dataValidation>
    <x:dataValidation type="list" sqref="N43">
      <x:formula1>"1,2,3,4,5"</x:formula1>
    </x:dataValidation>
    <x:dataValidation type="list" sqref="O43">
      <x:formula1>"1,2,3,4,5"</x:formula1>
    </x:dataValidation>
    <x:dataValidation type="list" sqref="J43">
      <x:formula1>"Mitigate,Transfer,Avoid,Accept"</x:formula1>
    </x:dataValidation>
    <x:dataValidation type="list" sqref="Q43">
      <x:formula1>"Open,In Progress,Closed,Accepted"</x:formula1>
    </x:dataValidation>
    <x:dataValidation type="list" sqref="E44">
      <x:formula1>"1,2,3,4,5"</x:formula1>
    </x:dataValidation>
    <x:dataValidation type="list" sqref="F44">
      <x:formula1>"1,2,3,4,5"</x:formula1>
    </x:dataValidation>
    <x:dataValidation type="list" sqref="N44">
      <x:formula1>"1,2,3,4,5"</x:formula1>
    </x:dataValidation>
    <x:dataValidation type="list" sqref="O44">
      <x:formula1>"1,2,3,4,5"</x:formula1>
    </x:dataValidation>
    <x:dataValidation type="list" sqref="J44">
      <x:formula1>"Mitigate,Transfer,Avoid,Accept"</x:formula1>
    </x:dataValidation>
    <x:dataValidation type="list" sqref="Q44">
      <x:formula1>"Open,In Progress,Closed,Accepted"</x:formula1>
    </x:dataValidation>
    <x:dataValidation type="list" sqref="E45">
      <x:formula1>"1,2,3,4,5"</x:formula1>
    </x:dataValidation>
    <x:dataValidation type="list" sqref="F45">
      <x:formula1>"1,2,3,4,5"</x:formula1>
    </x:dataValidation>
    <x:dataValidation type="list" sqref="N45">
      <x:formula1>"1,2,3,4,5"</x:formula1>
    </x:dataValidation>
    <x:dataValidation type="list" sqref="O45">
      <x:formula1>"1,2,3,4,5"</x:formula1>
    </x:dataValidation>
    <x:dataValidation type="list" sqref="J45">
      <x:formula1>"Mitigate,Transfer,Avoid,Accept"</x:formula1>
    </x:dataValidation>
    <x:dataValidation type="list" sqref="Q45">
      <x:formula1>"Open,In Progress,Closed,Accepted"</x:formula1>
    </x:dataValidation>
    <x:dataValidation type="list" sqref="E46">
      <x:formula1>"1,2,3,4,5"</x:formula1>
    </x:dataValidation>
    <x:dataValidation type="list" sqref="F46">
      <x:formula1>"1,2,3,4,5"</x:formula1>
    </x:dataValidation>
    <x:dataValidation type="list" sqref="N46">
      <x:formula1>"1,2,3,4,5"</x:formula1>
    </x:dataValidation>
    <x:dataValidation type="list" sqref="O46">
      <x:formula1>"1,2,3,4,5"</x:formula1>
    </x:dataValidation>
    <x:dataValidation type="list" sqref="J46">
      <x:formula1>"Mitigate,Transfer,Avoid,Accept"</x:formula1>
    </x:dataValidation>
    <x:dataValidation type="list" sqref="Q46">
      <x:formula1>"Open,In Progress,Closed,Accepted"</x:formula1>
    </x:dataValidation>
    <x:dataValidation type="list" sqref="E47">
      <x:formula1>"1,2,3,4,5"</x:formula1>
    </x:dataValidation>
    <x:dataValidation type="list" sqref="F47">
      <x:formula1>"1,2,3,4,5"</x:formula1>
    </x:dataValidation>
    <x:dataValidation type="list" sqref="N47">
      <x:formula1>"1,2,3,4,5"</x:formula1>
    </x:dataValidation>
    <x:dataValidation type="list" sqref="O47">
      <x:formula1>"1,2,3,4,5"</x:formula1>
    </x:dataValidation>
    <x:dataValidation type="list" sqref="J47">
      <x:formula1>"Mitigate,Transfer,Avoid,Accept"</x:formula1>
    </x:dataValidation>
    <x:dataValidation type="list" sqref="Q47">
      <x:formula1>"Open,In Progress,Closed,Accepted"</x:formula1>
    </x:dataValidation>
    <x:dataValidation type="list" sqref="E48">
      <x:formula1>"1,2,3,4,5"</x:formula1>
    </x:dataValidation>
    <x:dataValidation type="list" sqref="F48">
      <x:formula1>"1,2,3,4,5"</x:formula1>
    </x:dataValidation>
    <x:dataValidation type="list" sqref="N48">
      <x:formula1>"1,2,3,4,5"</x:formula1>
    </x:dataValidation>
    <x:dataValidation type="list" sqref="O48">
      <x:formula1>"1,2,3,4,5"</x:formula1>
    </x:dataValidation>
    <x:dataValidation type="list" sqref="J48">
      <x:formula1>"Mitigate,Transfer,Avoid,Accept"</x:formula1>
    </x:dataValidation>
    <x:dataValidation type="list" sqref="Q48">
      <x:formula1>"Open,In Progress,Closed,Accepted"</x:formula1>
    </x:dataValidation>
    <x:dataValidation type="list" sqref="E49">
      <x:formula1>"1,2,3,4,5"</x:formula1>
    </x:dataValidation>
    <x:dataValidation type="list" sqref="F49">
      <x:formula1>"1,2,3,4,5"</x:formula1>
    </x:dataValidation>
    <x:dataValidation type="list" sqref="N49">
      <x:formula1>"1,2,3,4,5"</x:formula1>
    </x:dataValidation>
    <x:dataValidation type="list" sqref="O49">
      <x:formula1>"1,2,3,4,5"</x:formula1>
    </x:dataValidation>
    <x:dataValidation type="list" sqref="J49">
      <x:formula1>"Mitigate,Transfer,Avoid,Accept"</x:formula1>
    </x:dataValidation>
    <x:dataValidation type="list" sqref="Q49">
      <x:formula1>"Open,In Progress,Closed,Accepted"</x:formula1>
    </x:dataValidation>
    <x:dataValidation type="list" sqref="E50">
      <x:formula1>"1,2,3,4,5"</x:formula1>
    </x:dataValidation>
    <x:dataValidation type="list" sqref="F50">
      <x:formula1>"1,2,3,4,5"</x:formula1>
    </x:dataValidation>
    <x:dataValidation type="list" sqref="N50">
      <x:formula1>"1,2,3,4,5"</x:formula1>
    </x:dataValidation>
    <x:dataValidation type="list" sqref="O50">
      <x:formula1>"1,2,3,4,5"</x:formula1>
    </x:dataValidation>
    <x:dataValidation type="list" sqref="J50">
      <x:formula1>"Mitigate,Transfer,Avoid,Accept"</x:formula1>
    </x:dataValidation>
    <x:dataValidation type="list" sqref="Q50">
      <x:formula1>"Open,In Progress,Closed,Accepted"</x:formula1>
    </x:dataValidation>
    <x:dataValidation type="list" sqref="E51">
      <x:formula1>"1,2,3,4,5"</x:formula1>
    </x:dataValidation>
    <x:dataValidation type="list" sqref="F51">
      <x:formula1>"1,2,3,4,5"</x:formula1>
    </x:dataValidation>
    <x:dataValidation type="list" sqref="N51">
      <x:formula1>"1,2,3,4,5"</x:formula1>
    </x:dataValidation>
    <x:dataValidation type="list" sqref="O51">
      <x:formula1>"1,2,3,4,5"</x:formula1>
    </x:dataValidation>
    <x:dataValidation type="list" sqref="J51">
      <x:formula1>"Mitigate,Transfer,Avoid,Accept"</x:formula1>
    </x:dataValidation>
    <x:dataValidation type="list" sqref="Q51">
      <x:formula1>"Open,In Progress,Closed,Accepted"</x:formula1>
    </x:dataValidation>
    <x:dataValidation type="list" sqref="E52">
      <x:formula1>"1,2,3,4,5"</x:formula1>
    </x:dataValidation>
    <x:dataValidation type="list" sqref="F52">
      <x:formula1>"1,2,3,4,5"</x:formula1>
    </x:dataValidation>
    <x:dataValidation type="list" sqref="N52">
      <x:formula1>"1,2,3,4,5"</x:formula1>
    </x:dataValidation>
    <x:dataValidation type="list" sqref="O52">
      <x:formula1>"1,2,3,4,5"</x:formula1>
    </x:dataValidation>
    <x:dataValidation type="list" sqref="J52">
      <x:formula1>"Mitigate,Transfer,Avoid,Accept"</x:formula1>
    </x:dataValidation>
    <x:dataValidation type="list" sqref="Q52">
      <x:formula1>"Open,In Progress,Closed,Accepted"</x:formula1>
    </x:dataValidation>
    <x:dataValidation type="list" sqref="E53">
      <x:formula1>"1,2,3,4,5"</x:formula1>
    </x:dataValidation>
    <x:dataValidation type="list" sqref="F53">
      <x:formula1>"1,2,3,4,5"</x:formula1>
    </x:dataValidation>
    <x:dataValidation type="list" sqref="N53">
      <x:formula1>"1,2,3,4,5"</x:formula1>
    </x:dataValidation>
    <x:dataValidation type="list" sqref="O53">
      <x:formula1>"1,2,3,4,5"</x:formula1>
    </x:dataValidation>
    <x:dataValidation type="list" sqref="J53">
      <x:formula1>"Mitigate,Transfer,Avoid,Accept"</x:formula1>
    </x:dataValidation>
    <x:dataValidation type="list" sqref="Q53">
      <x:formula1>"Open,In Progress,Closed,Accepted"</x:formula1>
    </x:dataValidation>
    <x:dataValidation type="list" sqref="E54">
      <x:formula1>"1,2,3,4,5"</x:formula1>
    </x:dataValidation>
    <x:dataValidation type="list" sqref="F54">
      <x:formula1>"1,2,3,4,5"</x:formula1>
    </x:dataValidation>
    <x:dataValidation type="list" sqref="N54">
      <x:formula1>"1,2,3,4,5"</x:formula1>
    </x:dataValidation>
    <x:dataValidation type="list" sqref="O54">
      <x:formula1>"1,2,3,4,5"</x:formula1>
    </x:dataValidation>
    <x:dataValidation type="list" sqref="J54">
      <x:formula1>"Mitigate,Transfer,Avoid,Accept"</x:formula1>
    </x:dataValidation>
    <x:dataValidation type="list" sqref="Q54">
      <x:formula1>"Open,In Progress,Closed,Accepted"</x:formula1>
    </x:dataValidation>
    <x:dataValidation type="list" sqref="E55">
      <x:formula1>"1,2,3,4,5"</x:formula1>
    </x:dataValidation>
    <x:dataValidation type="list" sqref="F55">
      <x:formula1>"1,2,3,4,5"</x:formula1>
    </x:dataValidation>
    <x:dataValidation type="list" sqref="N55">
      <x:formula1>"1,2,3,4,5"</x:formula1>
    </x:dataValidation>
    <x:dataValidation type="list" sqref="O55">
      <x:formula1>"1,2,3,4,5"</x:formula1>
    </x:dataValidation>
    <x:dataValidation type="list" sqref="J55">
      <x:formula1>"Mitigate,Transfer,Avoid,Accept"</x:formula1>
    </x:dataValidation>
    <x:dataValidation type="list" sqref="Q55">
      <x:formula1>"Open,In Progress,Closed,Accepted"</x:formula1>
    </x:dataValidation>
    <x:dataValidation type="list" sqref="E56">
      <x:formula1>"1,2,3,4,5"</x:formula1>
    </x:dataValidation>
    <x:dataValidation type="list" sqref="F56">
      <x:formula1>"1,2,3,4,5"</x:formula1>
    </x:dataValidation>
    <x:dataValidation type="list" sqref="N56">
      <x:formula1>"1,2,3,4,5"</x:formula1>
    </x:dataValidation>
    <x:dataValidation type="list" sqref="O56">
      <x:formula1>"1,2,3,4,5"</x:formula1>
    </x:dataValidation>
    <x:dataValidation type="list" sqref="J56">
      <x:formula1>"Mitigate,Transfer,Avoid,Accept"</x:formula1>
    </x:dataValidation>
    <x:dataValidation type="list" sqref="Q56">
      <x:formula1>"Open,In Progress,Closed,Accepted"</x:formula1>
    </x:dataValidation>
    <x:dataValidation type="list" sqref="E57">
      <x:formula1>"1,2,3,4,5"</x:formula1>
    </x:dataValidation>
    <x:dataValidation type="list" sqref="F57">
      <x:formula1>"1,2,3,4,5"</x:formula1>
    </x:dataValidation>
    <x:dataValidation type="list" sqref="N57">
      <x:formula1>"1,2,3,4,5"</x:formula1>
    </x:dataValidation>
    <x:dataValidation type="list" sqref="O57">
      <x:formula1>"1,2,3,4,5"</x:formula1>
    </x:dataValidation>
    <x:dataValidation type="list" sqref="J57">
      <x:formula1>"Mitigate,Transfer,Avoid,Accept"</x:formula1>
    </x:dataValidation>
    <x:dataValidation type="list" sqref="Q57">
      <x:formula1>"Open,In Progress,Closed,Accepted"</x:formula1>
    </x:dataValidation>
    <x:dataValidation type="list" sqref="E58">
      <x:formula1>"1,2,3,4,5"</x:formula1>
    </x:dataValidation>
    <x:dataValidation type="list" sqref="F58">
      <x:formula1>"1,2,3,4,5"</x:formula1>
    </x:dataValidation>
    <x:dataValidation type="list" sqref="N58">
      <x:formula1>"1,2,3,4,5"</x:formula1>
    </x:dataValidation>
    <x:dataValidation type="list" sqref="O58">
      <x:formula1>"1,2,3,4,5"</x:formula1>
    </x:dataValidation>
    <x:dataValidation type="list" sqref="J58">
      <x:formula1>"Mitigate,Transfer,Avoid,Accept"</x:formula1>
    </x:dataValidation>
    <x:dataValidation type="list" sqref="Q58">
      <x:formula1>"Open,In Progress,Closed,Accepted"</x:formula1>
    </x:dataValidation>
    <x:dataValidation type="list" sqref="E59">
      <x:formula1>"1,2,3,4,5"</x:formula1>
    </x:dataValidation>
    <x:dataValidation type="list" sqref="F59">
      <x:formula1>"1,2,3,4,5"</x:formula1>
    </x:dataValidation>
    <x:dataValidation type="list" sqref="N59">
      <x:formula1>"1,2,3,4,5"</x:formula1>
    </x:dataValidation>
    <x:dataValidation type="list" sqref="O59">
      <x:formula1>"1,2,3,4,5"</x:formula1>
    </x:dataValidation>
    <x:dataValidation type="list" sqref="J59">
      <x:formula1>"Mitigate,Transfer,Avoid,Accept"</x:formula1>
    </x:dataValidation>
    <x:dataValidation type="list" sqref="Q59">
      <x:formula1>"Open,In Progress,Closed,Accepted"</x:formula1>
    </x:dataValidation>
    <x:dataValidation type="list" sqref="E60">
      <x:formula1>"1,2,3,4,5"</x:formula1>
    </x:dataValidation>
    <x:dataValidation type="list" sqref="F60">
      <x:formula1>"1,2,3,4,5"</x:formula1>
    </x:dataValidation>
    <x:dataValidation type="list" sqref="N60">
      <x:formula1>"1,2,3,4,5"</x:formula1>
    </x:dataValidation>
    <x:dataValidation type="list" sqref="O60">
      <x:formula1>"1,2,3,4,5"</x:formula1>
    </x:dataValidation>
    <x:dataValidation type="list" sqref="J60">
      <x:formula1>"Mitigate,Transfer,Avoid,Accept"</x:formula1>
    </x:dataValidation>
    <x:dataValidation type="list" sqref="Q60">
      <x:formula1>"Open,In Progress,Closed,Accepted"</x:formula1>
    </x:dataValidation>
    <x:dataValidation type="list" sqref="E61">
      <x:formula1>"1,2,3,4,5"</x:formula1>
    </x:dataValidation>
    <x:dataValidation type="list" sqref="F61">
      <x:formula1>"1,2,3,4,5"</x:formula1>
    </x:dataValidation>
    <x:dataValidation type="list" sqref="N61">
      <x:formula1>"1,2,3,4,5"</x:formula1>
    </x:dataValidation>
    <x:dataValidation type="list" sqref="O61">
      <x:formula1>"1,2,3,4,5"</x:formula1>
    </x:dataValidation>
    <x:dataValidation type="list" sqref="J61">
      <x:formula1>"Mitigate,Transfer,Avoid,Accept"</x:formula1>
    </x:dataValidation>
    <x:dataValidation type="list" sqref="Q61">
      <x:formula1>"Open,In Progress,Closed,Accepted"</x:formula1>
    </x:dataValidation>
    <x:dataValidation type="list" sqref="E62">
      <x:formula1>"1,2,3,4,5"</x:formula1>
    </x:dataValidation>
    <x:dataValidation type="list" sqref="F62">
      <x:formula1>"1,2,3,4,5"</x:formula1>
    </x:dataValidation>
    <x:dataValidation type="list" sqref="N62">
      <x:formula1>"1,2,3,4,5"</x:formula1>
    </x:dataValidation>
    <x:dataValidation type="list" sqref="O62">
      <x:formula1>"1,2,3,4,5"</x:formula1>
    </x:dataValidation>
    <x:dataValidation type="list" sqref="J62">
      <x:formula1>"Mitigate,Transfer,Avoid,Accept"</x:formula1>
    </x:dataValidation>
    <x:dataValidation type="list" sqref="Q62">
      <x:formula1>"Open,In Progress,Closed,Accepted"</x:formula1>
    </x:dataValidation>
    <x:dataValidation type="list" sqref="E63">
      <x:formula1>"1,2,3,4,5"</x:formula1>
    </x:dataValidation>
    <x:dataValidation type="list" sqref="F63">
      <x:formula1>"1,2,3,4,5"</x:formula1>
    </x:dataValidation>
    <x:dataValidation type="list" sqref="N63">
      <x:formula1>"1,2,3,4,5"</x:formula1>
    </x:dataValidation>
    <x:dataValidation type="list" sqref="O63">
      <x:formula1>"1,2,3,4,5"</x:formula1>
    </x:dataValidation>
    <x:dataValidation type="list" sqref="J63">
      <x:formula1>"Mitigate,Transfer,Avoid,Accept"</x:formula1>
    </x:dataValidation>
    <x:dataValidation type="list" sqref="Q63">
      <x:formula1>"Open,In Progress,Closed,Accepted"</x:formula1>
    </x:dataValidation>
    <x:dataValidation type="list" sqref="E64">
      <x:formula1>"1,2,3,4,5"</x:formula1>
    </x:dataValidation>
    <x:dataValidation type="list" sqref="F64">
      <x:formula1>"1,2,3,4,5"</x:formula1>
    </x:dataValidation>
    <x:dataValidation type="list" sqref="N64">
      <x:formula1>"1,2,3,4,5"</x:formula1>
    </x:dataValidation>
    <x:dataValidation type="list" sqref="O64">
      <x:formula1>"1,2,3,4,5"</x:formula1>
    </x:dataValidation>
    <x:dataValidation type="list" sqref="J64">
      <x:formula1>"Mitigate,Transfer,Avoid,Accept"</x:formula1>
    </x:dataValidation>
    <x:dataValidation type="list" sqref="Q64">
      <x:formula1>"Open,In Progress,Closed,Accepted"</x:formula1>
    </x:dataValidation>
    <x:dataValidation type="list" sqref="E65">
      <x:formula1>"1,2,3,4,5"</x:formula1>
    </x:dataValidation>
    <x:dataValidation type="list" sqref="F65">
      <x:formula1>"1,2,3,4,5"</x:formula1>
    </x:dataValidation>
    <x:dataValidation type="list" sqref="N65">
      <x:formula1>"1,2,3,4,5"</x:formula1>
    </x:dataValidation>
    <x:dataValidation type="list" sqref="O65">
      <x:formula1>"1,2,3,4,5"</x:formula1>
    </x:dataValidation>
    <x:dataValidation type="list" sqref="J65">
      <x:formula1>"Mitigate,Transfer,Avoid,Accept"</x:formula1>
    </x:dataValidation>
    <x:dataValidation type="list" sqref="Q65">
      <x:formula1>"Open,In Progress,Closed,Accepted"</x:formula1>
    </x:dataValidation>
    <x:dataValidation type="list" sqref="E66">
      <x:formula1>"1,2,3,4,5"</x:formula1>
    </x:dataValidation>
    <x:dataValidation type="list" sqref="F66">
      <x:formula1>"1,2,3,4,5"</x:formula1>
    </x:dataValidation>
    <x:dataValidation type="list" sqref="N66">
      <x:formula1>"1,2,3,4,5"</x:formula1>
    </x:dataValidation>
    <x:dataValidation type="list" sqref="O66">
      <x:formula1>"1,2,3,4,5"</x:formula1>
    </x:dataValidation>
    <x:dataValidation type="list" sqref="J66">
      <x:formula1>"Mitigate,Transfer,Avoid,Accept"</x:formula1>
    </x:dataValidation>
    <x:dataValidation type="list" sqref="Q66">
      <x:formula1>"Open,In Progress,Closed,Accepted"</x:formula1>
    </x:dataValidation>
    <x:dataValidation type="list" sqref="E67">
      <x:formula1>"1,2,3,4,5"</x:formula1>
    </x:dataValidation>
    <x:dataValidation type="list" sqref="F67">
      <x:formula1>"1,2,3,4,5"</x:formula1>
    </x:dataValidation>
    <x:dataValidation type="list" sqref="N67">
      <x:formula1>"1,2,3,4,5"</x:formula1>
    </x:dataValidation>
    <x:dataValidation type="list" sqref="O67">
      <x:formula1>"1,2,3,4,5"</x:formula1>
    </x:dataValidation>
    <x:dataValidation type="list" sqref="J67">
      <x:formula1>"Mitigate,Transfer,Avoid,Accept"</x:formula1>
    </x:dataValidation>
    <x:dataValidation type="list" sqref="Q67">
      <x:formula1>"Open,In Progress,Closed,Accepted"</x:formula1>
    </x:dataValidation>
    <x:dataValidation type="list" sqref="E68">
      <x:formula1>"1,2,3,4,5"</x:formula1>
    </x:dataValidation>
    <x:dataValidation type="list" sqref="F68">
      <x:formula1>"1,2,3,4,5"</x:formula1>
    </x:dataValidation>
    <x:dataValidation type="list" sqref="N68">
      <x:formula1>"1,2,3,4,5"</x:formula1>
    </x:dataValidation>
    <x:dataValidation type="list" sqref="O68">
      <x:formula1>"1,2,3,4,5"</x:formula1>
    </x:dataValidation>
    <x:dataValidation type="list" sqref="J68">
      <x:formula1>"Mitigate,Transfer,Avoid,Accept"</x:formula1>
    </x:dataValidation>
    <x:dataValidation type="list" sqref="Q68">
      <x:formula1>"Open,In Progress,Closed,Accepted"</x:formula1>
    </x:dataValidation>
    <x:dataValidation type="list" sqref="E69">
      <x:formula1>"1,2,3,4,5"</x:formula1>
    </x:dataValidation>
    <x:dataValidation type="list" sqref="F69">
      <x:formula1>"1,2,3,4,5"</x:formula1>
    </x:dataValidation>
    <x:dataValidation type="list" sqref="N69">
      <x:formula1>"1,2,3,4,5"</x:formula1>
    </x:dataValidation>
    <x:dataValidation type="list" sqref="O69">
      <x:formula1>"1,2,3,4,5"</x:formula1>
    </x:dataValidation>
    <x:dataValidation type="list" sqref="J69">
      <x:formula1>"Mitigate,Transfer,Avoid,Accept"</x:formula1>
    </x:dataValidation>
    <x:dataValidation type="list" sqref="Q69">
      <x:formula1>"Open,In Progress,Closed,Accepted"</x:formula1>
    </x:dataValidation>
    <x:dataValidation type="list" sqref="E70">
      <x:formula1>"1,2,3,4,5"</x:formula1>
    </x:dataValidation>
    <x:dataValidation type="list" sqref="F70">
      <x:formula1>"1,2,3,4,5"</x:formula1>
    </x:dataValidation>
    <x:dataValidation type="list" sqref="N70">
      <x:formula1>"1,2,3,4,5"</x:formula1>
    </x:dataValidation>
    <x:dataValidation type="list" sqref="O70">
      <x:formula1>"1,2,3,4,5"</x:formula1>
    </x:dataValidation>
    <x:dataValidation type="list" sqref="J70">
      <x:formula1>"Mitigate,Transfer,Avoid,Accept"</x:formula1>
    </x:dataValidation>
    <x:dataValidation type="list" sqref="Q70">
      <x:formula1>"Open,In Progress,Closed,Accepted"</x:formula1>
    </x:dataValidation>
    <x:dataValidation type="list" sqref="E71">
      <x:formula1>"1,2,3,4,5"</x:formula1>
    </x:dataValidation>
    <x:dataValidation type="list" sqref="F71">
      <x:formula1>"1,2,3,4,5"</x:formula1>
    </x:dataValidation>
    <x:dataValidation type="list" sqref="N71">
      <x:formula1>"1,2,3,4,5"</x:formula1>
    </x:dataValidation>
    <x:dataValidation type="list" sqref="O71">
      <x:formula1>"1,2,3,4,5"</x:formula1>
    </x:dataValidation>
    <x:dataValidation type="list" sqref="J71">
      <x:formula1>"Mitigate,Transfer,Avoid,Accept"</x:formula1>
    </x:dataValidation>
    <x:dataValidation type="list" sqref="Q71">
      <x:formula1>"Open,In Progress,Closed,Accepted"</x:formula1>
    </x:dataValidation>
    <x:dataValidation type="list" sqref="E72">
      <x:formula1>"1,2,3,4,5"</x:formula1>
    </x:dataValidation>
    <x:dataValidation type="list" sqref="F72">
      <x:formula1>"1,2,3,4,5"</x:formula1>
    </x:dataValidation>
    <x:dataValidation type="list" sqref="N72">
      <x:formula1>"1,2,3,4,5"</x:formula1>
    </x:dataValidation>
    <x:dataValidation type="list" sqref="O72">
      <x:formula1>"1,2,3,4,5"</x:formula1>
    </x:dataValidation>
    <x:dataValidation type="list" sqref="J72">
      <x:formula1>"Mitigate,Transfer,Avoid,Accept"</x:formula1>
    </x:dataValidation>
    <x:dataValidation type="list" sqref="Q72">
      <x:formula1>"Open,In Progress,Closed,Accepted"</x:formula1>
    </x:dataValidation>
    <x:dataValidation type="list" sqref="E73">
      <x:formula1>"1,2,3,4,5"</x:formula1>
    </x:dataValidation>
    <x:dataValidation type="list" sqref="F73">
      <x:formula1>"1,2,3,4,5"</x:formula1>
    </x:dataValidation>
    <x:dataValidation type="list" sqref="N73">
      <x:formula1>"1,2,3,4,5"</x:formula1>
    </x:dataValidation>
    <x:dataValidation type="list" sqref="O73">
      <x:formula1>"1,2,3,4,5"</x:formula1>
    </x:dataValidation>
    <x:dataValidation type="list" sqref="J73">
      <x:formula1>"Mitigate,Transfer,Avoid,Accept"</x:formula1>
    </x:dataValidation>
    <x:dataValidation type="list" sqref="Q73">
      <x:formula1>"Open,In Progress,Closed,Accepted"</x:formula1>
    </x:dataValidation>
    <x:dataValidation type="list" sqref="E74">
      <x:formula1>"1,2,3,4,5"</x:formula1>
    </x:dataValidation>
    <x:dataValidation type="list" sqref="F74">
      <x:formula1>"1,2,3,4,5"</x:formula1>
    </x:dataValidation>
    <x:dataValidation type="list" sqref="N74">
      <x:formula1>"1,2,3,4,5"</x:formula1>
    </x:dataValidation>
    <x:dataValidation type="list" sqref="O74">
      <x:formula1>"1,2,3,4,5"</x:formula1>
    </x:dataValidation>
    <x:dataValidation type="list" sqref="J74">
      <x:formula1>"Mitigate,Transfer,Avoid,Accept"</x:formula1>
    </x:dataValidation>
    <x:dataValidation type="list" sqref="Q74">
      <x:formula1>"Open,In Progress,Closed,Accepted"</x:formula1>
    </x:dataValidation>
    <x:dataValidation type="list" sqref="E75">
      <x:formula1>"1,2,3,4,5"</x:formula1>
    </x:dataValidation>
    <x:dataValidation type="list" sqref="F75">
      <x:formula1>"1,2,3,4,5"</x:formula1>
    </x:dataValidation>
    <x:dataValidation type="list" sqref="N75">
      <x:formula1>"1,2,3,4,5"</x:formula1>
    </x:dataValidation>
    <x:dataValidation type="list" sqref="O75">
      <x:formula1>"1,2,3,4,5"</x:formula1>
    </x:dataValidation>
    <x:dataValidation type="list" sqref="J75">
      <x:formula1>"Mitigate,Transfer,Avoid,Accept"</x:formula1>
    </x:dataValidation>
    <x:dataValidation type="list" sqref="Q75">
      <x:formula1>"Open,In Progress,Closed,Accepted"</x:formula1>
    </x:dataValidation>
    <x:dataValidation type="list" sqref="E76">
      <x:formula1>"1,2,3,4,5"</x:formula1>
    </x:dataValidation>
    <x:dataValidation type="list" sqref="F76">
      <x:formula1>"1,2,3,4,5"</x:formula1>
    </x:dataValidation>
    <x:dataValidation type="list" sqref="N76">
      <x:formula1>"1,2,3,4,5"</x:formula1>
    </x:dataValidation>
    <x:dataValidation type="list" sqref="O76">
      <x:formula1>"1,2,3,4,5"</x:formula1>
    </x:dataValidation>
    <x:dataValidation type="list" sqref="J76">
      <x:formula1>"Mitigate,Transfer,Avoid,Accept"</x:formula1>
    </x:dataValidation>
    <x:dataValidation type="list" sqref="Q76">
      <x:formula1>"Open,In Progress,Closed,Accepted"</x:formula1>
    </x:dataValidation>
    <x:dataValidation type="list" sqref="E77">
      <x:formula1>"1,2,3,4,5"</x:formula1>
    </x:dataValidation>
    <x:dataValidation type="list" sqref="F77">
      <x:formula1>"1,2,3,4,5"</x:formula1>
    </x:dataValidation>
    <x:dataValidation type="list" sqref="N77">
      <x:formula1>"1,2,3,4,5"</x:formula1>
    </x:dataValidation>
    <x:dataValidation type="list" sqref="O77">
      <x:formula1>"1,2,3,4,5"</x:formula1>
    </x:dataValidation>
    <x:dataValidation type="list" sqref="J77">
      <x:formula1>"Mitigate,Transfer,Avoid,Accept"</x:formula1>
    </x:dataValidation>
    <x:dataValidation type="list" sqref="Q77">
      <x:formula1>"Open,In Progress,Closed,Accepted"</x:formula1>
    </x:dataValidation>
    <x:dataValidation type="list" sqref="E78">
      <x:formula1>"1,2,3,4,5"</x:formula1>
    </x:dataValidation>
    <x:dataValidation type="list" sqref="F78">
      <x:formula1>"1,2,3,4,5"</x:formula1>
    </x:dataValidation>
    <x:dataValidation type="list" sqref="N78">
      <x:formula1>"1,2,3,4,5"</x:formula1>
    </x:dataValidation>
    <x:dataValidation type="list" sqref="O78">
      <x:formula1>"1,2,3,4,5"</x:formula1>
    </x:dataValidation>
    <x:dataValidation type="list" sqref="J78">
      <x:formula1>"Mitigate,Transfer,Avoid,Accept"</x:formula1>
    </x:dataValidation>
    <x:dataValidation type="list" sqref="Q78">
      <x:formula1>"Open,In Progress,Closed,Accepted"</x:formula1>
    </x:dataValidation>
    <x:dataValidation type="list" sqref="E79">
      <x:formula1>"1,2,3,4,5"</x:formula1>
    </x:dataValidation>
    <x:dataValidation type="list" sqref="F79">
      <x:formula1>"1,2,3,4,5"</x:formula1>
    </x:dataValidation>
    <x:dataValidation type="list" sqref="N79">
      <x:formula1>"1,2,3,4,5"</x:formula1>
    </x:dataValidation>
    <x:dataValidation type="list" sqref="O79">
      <x:formula1>"1,2,3,4,5"</x:formula1>
    </x:dataValidation>
    <x:dataValidation type="list" sqref="J79">
      <x:formula1>"Mitigate,Transfer,Avoid,Accept"</x:formula1>
    </x:dataValidation>
    <x:dataValidation type="list" sqref="Q79">
      <x:formula1>"Open,In Progress,Closed,Accepted"</x:formula1>
    </x:dataValidation>
    <x:dataValidation type="list" sqref="E80">
      <x:formula1>"1,2,3,4,5"</x:formula1>
    </x:dataValidation>
    <x:dataValidation type="list" sqref="F80">
      <x:formula1>"1,2,3,4,5"</x:formula1>
    </x:dataValidation>
    <x:dataValidation type="list" sqref="N80">
      <x:formula1>"1,2,3,4,5"</x:formula1>
    </x:dataValidation>
    <x:dataValidation type="list" sqref="O80">
      <x:formula1>"1,2,3,4,5"</x:formula1>
    </x:dataValidation>
    <x:dataValidation type="list" sqref="J80">
      <x:formula1>"Mitigate,Transfer,Avoid,Accept"</x:formula1>
    </x:dataValidation>
    <x:dataValidation type="list" sqref="Q80">
      <x:formula1>"Open,In Progress,Closed,Accepted"</x:formula1>
    </x:dataValidation>
    <x:dataValidation type="list" sqref="E81">
      <x:formula1>"1,2,3,4,5"</x:formula1>
    </x:dataValidation>
    <x:dataValidation type="list" sqref="F81">
      <x:formula1>"1,2,3,4,5"</x:formula1>
    </x:dataValidation>
    <x:dataValidation type="list" sqref="N81">
      <x:formula1>"1,2,3,4,5"</x:formula1>
    </x:dataValidation>
    <x:dataValidation type="list" sqref="O81">
      <x:formula1>"1,2,3,4,5"</x:formula1>
    </x:dataValidation>
    <x:dataValidation type="list" sqref="J81">
      <x:formula1>"Mitigate,Transfer,Avoid,Accept"</x:formula1>
    </x:dataValidation>
    <x:dataValidation type="list" sqref="Q81">
      <x:formula1>"Open,In Progress,Closed,Accepted"</x:formula1>
    </x:dataValidation>
    <x:dataValidation type="list" sqref="E82">
      <x:formula1>"1,2,3,4,5"</x:formula1>
    </x:dataValidation>
    <x:dataValidation type="list" sqref="F82">
      <x:formula1>"1,2,3,4,5"</x:formula1>
    </x:dataValidation>
    <x:dataValidation type="list" sqref="N82">
      <x:formula1>"1,2,3,4,5"</x:formula1>
    </x:dataValidation>
    <x:dataValidation type="list" sqref="O82">
      <x:formula1>"1,2,3,4,5"</x:formula1>
    </x:dataValidation>
    <x:dataValidation type="list" sqref="J82">
      <x:formula1>"Mitigate,Transfer,Avoid,Accept"</x:formula1>
    </x:dataValidation>
    <x:dataValidation type="list" sqref="Q82">
      <x:formula1>"Open,In Progress,Closed,Accepted"</x:formula1>
    </x:dataValidation>
    <x:dataValidation type="list" sqref="E83">
      <x:formula1>"1,2,3,4,5"</x:formula1>
    </x:dataValidation>
    <x:dataValidation type="list" sqref="F83">
      <x:formula1>"1,2,3,4,5"</x:formula1>
    </x:dataValidation>
    <x:dataValidation type="list" sqref="N83">
      <x:formula1>"1,2,3,4,5"</x:formula1>
    </x:dataValidation>
    <x:dataValidation type="list" sqref="O83">
      <x:formula1>"1,2,3,4,5"</x:formula1>
    </x:dataValidation>
    <x:dataValidation type="list" sqref="J83">
      <x:formula1>"Mitigate,Transfer,Avoid,Accept"</x:formula1>
    </x:dataValidation>
    <x:dataValidation type="list" sqref="Q83">
      <x:formula1>"Open,In Progress,Closed,Accepted"</x:formula1>
    </x:dataValidation>
    <x:dataValidation type="list" sqref="E84">
      <x:formula1>"1,2,3,4,5"</x:formula1>
    </x:dataValidation>
    <x:dataValidation type="list" sqref="F84">
      <x:formula1>"1,2,3,4,5"</x:formula1>
    </x:dataValidation>
    <x:dataValidation type="list" sqref="N84">
      <x:formula1>"1,2,3,4,5"</x:formula1>
    </x:dataValidation>
    <x:dataValidation type="list" sqref="O84">
      <x:formula1>"1,2,3,4,5"</x:formula1>
    </x:dataValidation>
    <x:dataValidation type="list" sqref="J84">
      <x:formula1>"Mitigate,Transfer,Avoid,Accept"</x:formula1>
    </x:dataValidation>
    <x:dataValidation type="list" sqref="Q84">
      <x:formula1>"Open,In Progress,Closed,Accepted"</x:formula1>
    </x:dataValidation>
    <x:dataValidation type="list" sqref="E85">
      <x:formula1>"1,2,3,4,5"</x:formula1>
    </x:dataValidation>
    <x:dataValidation type="list" sqref="F85">
      <x:formula1>"1,2,3,4,5"</x:formula1>
    </x:dataValidation>
    <x:dataValidation type="list" sqref="N85">
      <x:formula1>"1,2,3,4,5"</x:formula1>
    </x:dataValidation>
    <x:dataValidation type="list" sqref="O85">
      <x:formula1>"1,2,3,4,5"</x:formula1>
    </x:dataValidation>
    <x:dataValidation type="list" sqref="J85">
      <x:formula1>"Mitigate,Transfer,Avoid,Accept"</x:formula1>
    </x:dataValidation>
    <x:dataValidation type="list" sqref="Q85">
      <x:formula1>"Open,In Progress,Closed,Accepted"</x:formula1>
    </x:dataValidation>
    <x:dataValidation type="list" sqref="E86">
      <x:formula1>"1,2,3,4,5"</x:formula1>
    </x:dataValidation>
    <x:dataValidation type="list" sqref="F86">
      <x:formula1>"1,2,3,4,5"</x:formula1>
    </x:dataValidation>
    <x:dataValidation type="list" sqref="N86">
      <x:formula1>"1,2,3,4,5"</x:formula1>
    </x:dataValidation>
    <x:dataValidation type="list" sqref="O86">
      <x:formula1>"1,2,3,4,5"</x:formula1>
    </x:dataValidation>
    <x:dataValidation type="list" sqref="J86">
      <x:formula1>"Mitigate,Transfer,Avoid,Accept"</x:formula1>
    </x:dataValidation>
    <x:dataValidation type="list" sqref="Q86">
      <x:formula1>"Open,In Progress,Closed,Accepted"</x:formula1>
    </x:dataValidation>
    <x:dataValidation type="list" sqref="E87">
      <x:formula1>"1,2,3,4,5"</x:formula1>
    </x:dataValidation>
    <x:dataValidation type="list" sqref="F87">
      <x:formula1>"1,2,3,4,5"</x:formula1>
    </x:dataValidation>
    <x:dataValidation type="list" sqref="N87">
      <x:formula1>"1,2,3,4,5"</x:formula1>
    </x:dataValidation>
    <x:dataValidation type="list" sqref="O87">
      <x:formula1>"1,2,3,4,5"</x:formula1>
    </x:dataValidation>
    <x:dataValidation type="list" sqref="J87">
      <x:formula1>"Mitigate,Transfer,Avoid,Accept"</x:formula1>
    </x:dataValidation>
    <x:dataValidation type="list" sqref="Q87">
      <x:formula1>"Open,In Progress,Closed,Accepted"</x:formula1>
    </x:dataValidation>
    <x:dataValidation type="list" sqref="E88">
      <x:formula1>"1,2,3,4,5"</x:formula1>
    </x:dataValidation>
    <x:dataValidation type="list" sqref="F88">
      <x:formula1>"1,2,3,4,5"</x:formula1>
    </x:dataValidation>
    <x:dataValidation type="list" sqref="N88">
      <x:formula1>"1,2,3,4,5"</x:formula1>
    </x:dataValidation>
    <x:dataValidation type="list" sqref="O88">
      <x:formula1>"1,2,3,4,5"</x:formula1>
    </x:dataValidation>
    <x:dataValidation type="list" sqref="J88">
      <x:formula1>"Mitigate,Transfer,Avoid,Accept"</x:formula1>
    </x:dataValidation>
    <x:dataValidation type="list" sqref="Q88">
      <x:formula1>"Open,In Progress,Closed,Accepted"</x:formula1>
    </x:dataValidation>
    <x:dataValidation type="list" sqref="E89">
      <x:formula1>"1,2,3,4,5"</x:formula1>
    </x:dataValidation>
    <x:dataValidation type="list" sqref="F89">
      <x:formula1>"1,2,3,4,5"</x:formula1>
    </x:dataValidation>
    <x:dataValidation type="list" sqref="N89">
      <x:formula1>"1,2,3,4,5"</x:formula1>
    </x:dataValidation>
    <x:dataValidation type="list" sqref="O89">
      <x:formula1>"1,2,3,4,5"</x:formula1>
    </x:dataValidation>
    <x:dataValidation type="list" sqref="J89">
      <x:formula1>"Mitigate,Transfer,Avoid,Accept"</x:formula1>
    </x:dataValidation>
    <x:dataValidation type="list" sqref="Q89">
      <x:formula1>"Open,In Progress,Closed,Accepted"</x:formula1>
    </x:dataValidation>
    <x:dataValidation type="list" sqref="E90">
      <x:formula1>"1,2,3,4,5"</x:formula1>
    </x:dataValidation>
    <x:dataValidation type="list" sqref="F90">
      <x:formula1>"1,2,3,4,5"</x:formula1>
    </x:dataValidation>
    <x:dataValidation type="list" sqref="N90">
      <x:formula1>"1,2,3,4,5"</x:formula1>
    </x:dataValidation>
    <x:dataValidation type="list" sqref="O90">
      <x:formula1>"1,2,3,4,5"</x:formula1>
    </x:dataValidation>
    <x:dataValidation type="list" sqref="J90">
      <x:formula1>"Mitigate,Transfer,Avoid,Accept"</x:formula1>
    </x:dataValidation>
    <x:dataValidation type="list" sqref="Q90">
      <x:formula1>"Open,In Progress,Closed,Accepted"</x:formula1>
    </x:dataValidation>
    <x:dataValidation type="list" sqref="E91">
      <x:formula1>"1,2,3,4,5"</x:formula1>
    </x:dataValidation>
    <x:dataValidation type="list" sqref="F91">
      <x:formula1>"1,2,3,4,5"</x:formula1>
    </x:dataValidation>
    <x:dataValidation type="list" sqref="N91">
      <x:formula1>"1,2,3,4,5"</x:formula1>
    </x:dataValidation>
    <x:dataValidation type="list" sqref="O91">
      <x:formula1>"1,2,3,4,5"</x:formula1>
    </x:dataValidation>
    <x:dataValidation type="list" sqref="J91">
      <x:formula1>"Mitigate,Transfer,Avoid,Accept"</x:formula1>
    </x:dataValidation>
    <x:dataValidation type="list" sqref="Q91">
      <x:formula1>"Open,In Progress,Closed,Accepted"</x:formula1>
    </x:dataValidation>
    <x:dataValidation type="list" sqref="E92">
      <x:formula1>"1,2,3,4,5"</x:formula1>
    </x:dataValidation>
    <x:dataValidation type="list" sqref="F92">
      <x:formula1>"1,2,3,4,5"</x:formula1>
    </x:dataValidation>
    <x:dataValidation type="list" sqref="N92">
      <x:formula1>"1,2,3,4,5"</x:formula1>
    </x:dataValidation>
    <x:dataValidation type="list" sqref="O92">
      <x:formula1>"1,2,3,4,5"</x:formula1>
    </x:dataValidation>
    <x:dataValidation type="list" sqref="J92">
      <x:formula1>"Mitigate,Transfer,Avoid,Accept"</x:formula1>
    </x:dataValidation>
    <x:dataValidation type="list" sqref="Q92">
      <x:formula1>"Open,In Progress,Closed,Accepted"</x:formula1>
    </x:dataValidation>
    <x:dataValidation type="list" sqref="E93">
      <x:formula1>"1,2,3,4,5"</x:formula1>
    </x:dataValidation>
    <x:dataValidation type="list" sqref="F93">
      <x:formula1>"1,2,3,4,5"</x:formula1>
    </x:dataValidation>
    <x:dataValidation type="list" sqref="N93">
      <x:formula1>"1,2,3,4,5"</x:formula1>
    </x:dataValidation>
    <x:dataValidation type="list" sqref="O93">
      <x:formula1>"1,2,3,4,5"</x:formula1>
    </x:dataValidation>
    <x:dataValidation type="list" sqref="J93">
      <x:formula1>"Mitigate,Transfer,Avoid,Accept"</x:formula1>
    </x:dataValidation>
    <x:dataValidation type="list" sqref="Q93">
      <x:formula1>"Open,In Progress,Closed,Accepted"</x:formula1>
    </x:dataValidation>
    <x:dataValidation type="list" sqref="E94">
      <x:formula1>"1,2,3,4,5"</x:formula1>
    </x:dataValidation>
    <x:dataValidation type="list" sqref="F94">
      <x:formula1>"1,2,3,4,5"</x:formula1>
    </x:dataValidation>
    <x:dataValidation type="list" sqref="N94">
      <x:formula1>"1,2,3,4,5"</x:formula1>
    </x:dataValidation>
    <x:dataValidation type="list" sqref="O94">
      <x:formula1>"1,2,3,4,5"</x:formula1>
    </x:dataValidation>
    <x:dataValidation type="list" sqref="J94">
      <x:formula1>"Mitigate,Transfer,Avoid,Accept"</x:formula1>
    </x:dataValidation>
    <x:dataValidation type="list" sqref="Q94">
      <x:formula1>"Open,In Progress,Closed,Accepted"</x:formula1>
    </x:dataValidation>
    <x:dataValidation type="list" sqref="E95">
      <x:formula1>"1,2,3,4,5"</x:formula1>
    </x:dataValidation>
    <x:dataValidation type="list" sqref="F95">
      <x:formula1>"1,2,3,4,5"</x:formula1>
    </x:dataValidation>
    <x:dataValidation type="list" sqref="N95">
      <x:formula1>"1,2,3,4,5"</x:formula1>
    </x:dataValidation>
    <x:dataValidation type="list" sqref="O95">
      <x:formula1>"1,2,3,4,5"</x:formula1>
    </x:dataValidation>
    <x:dataValidation type="list" sqref="J95">
      <x:formula1>"Mitigate,Transfer,Avoid,Accept"</x:formula1>
    </x:dataValidation>
    <x:dataValidation type="list" sqref="Q95">
      <x:formula1>"Open,In Progress,Closed,Accepted"</x:formula1>
    </x:dataValidation>
    <x:dataValidation type="list" sqref="E96">
      <x:formula1>"1,2,3,4,5"</x:formula1>
    </x:dataValidation>
    <x:dataValidation type="list" sqref="F96">
      <x:formula1>"1,2,3,4,5"</x:formula1>
    </x:dataValidation>
    <x:dataValidation type="list" sqref="N96">
      <x:formula1>"1,2,3,4,5"</x:formula1>
    </x:dataValidation>
    <x:dataValidation type="list" sqref="O96">
      <x:formula1>"1,2,3,4,5"</x:formula1>
    </x:dataValidation>
    <x:dataValidation type="list" sqref="J96">
      <x:formula1>"Mitigate,Transfer,Avoid,Accept"</x:formula1>
    </x:dataValidation>
    <x:dataValidation type="list" sqref="Q96">
      <x:formula1>"Open,In Progress,Closed,Accepted"</x:formula1>
    </x:dataValidation>
    <x:dataValidation type="list" sqref="E97">
      <x:formula1>"1,2,3,4,5"</x:formula1>
    </x:dataValidation>
    <x:dataValidation type="list" sqref="F97">
      <x:formula1>"1,2,3,4,5"</x:formula1>
    </x:dataValidation>
    <x:dataValidation type="list" sqref="N97">
      <x:formula1>"1,2,3,4,5"</x:formula1>
    </x:dataValidation>
    <x:dataValidation type="list" sqref="O97">
      <x:formula1>"1,2,3,4,5"</x:formula1>
    </x:dataValidation>
    <x:dataValidation type="list" sqref="J97">
      <x:formula1>"Mitigate,Transfer,Avoid,Accept"</x:formula1>
    </x:dataValidation>
    <x:dataValidation type="list" sqref="Q97">
      <x:formula1>"Open,In Progress,Closed,Accepted"</x:formula1>
    </x:dataValidation>
    <x:dataValidation type="list" sqref="E98">
      <x:formula1>"1,2,3,4,5"</x:formula1>
    </x:dataValidation>
    <x:dataValidation type="list" sqref="F98">
      <x:formula1>"1,2,3,4,5"</x:formula1>
    </x:dataValidation>
    <x:dataValidation type="list" sqref="N98">
      <x:formula1>"1,2,3,4,5"</x:formula1>
    </x:dataValidation>
    <x:dataValidation type="list" sqref="O98">
      <x:formula1>"1,2,3,4,5"</x:formula1>
    </x:dataValidation>
    <x:dataValidation type="list" sqref="J98">
      <x:formula1>"Mitigate,Transfer,Avoid,Accept"</x:formula1>
    </x:dataValidation>
    <x:dataValidation type="list" sqref="Q98">
      <x:formula1>"Open,In Progress,Closed,Accepted"</x:formula1>
    </x:dataValidation>
    <x:dataValidation type="list" sqref="E99">
      <x:formula1>"1,2,3,4,5"</x:formula1>
    </x:dataValidation>
    <x:dataValidation type="list" sqref="F99">
      <x:formula1>"1,2,3,4,5"</x:formula1>
    </x:dataValidation>
    <x:dataValidation type="list" sqref="N99">
      <x:formula1>"1,2,3,4,5"</x:formula1>
    </x:dataValidation>
    <x:dataValidation type="list" sqref="O99">
      <x:formula1>"1,2,3,4,5"</x:formula1>
    </x:dataValidation>
    <x:dataValidation type="list" sqref="J99">
      <x:formula1>"Mitigate,Transfer,Avoid,Accept"</x:formula1>
    </x:dataValidation>
    <x:dataValidation type="list" sqref="Q99">
      <x:formula1>"Open,In Progress,Closed,Accepted"</x:formula1>
    </x:dataValidation>
    <x:dataValidation type="list" sqref="E100">
      <x:formula1>"1,2,3,4,5"</x:formula1>
    </x:dataValidation>
    <x:dataValidation type="list" sqref="F100">
      <x:formula1>"1,2,3,4,5"</x:formula1>
    </x:dataValidation>
    <x:dataValidation type="list" sqref="N100">
      <x:formula1>"1,2,3,4,5"</x:formula1>
    </x:dataValidation>
    <x:dataValidation type="list" sqref="O100">
      <x:formula1>"1,2,3,4,5"</x:formula1>
    </x:dataValidation>
    <x:dataValidation type="list" sqref="J100">
      <x:formula1>"Mitigate,Transfer,Avoid,Accept"</x:formula1>
    </x:dataValidation>
    <x:dataValidation type="list" sqref="Q100">
      <x:formula1>"Open,In Progress,Closed,Accepted"</x:formula1>
    </x:dataValidation>
    <x:dataValidation type="list" sqref="E101">
      <x:formula1>"1,2,3,4,5"</x:formula1>
    </x:dataValidation>
    <x:dataValidation type="list" sqref="F101">
      <x:formula1>"1,2,3,4,5"</x:formula1>
    </x:dataValidation>
    <x:dataValidation type="list" sqref="N101">
      <x:formula1>"1,2,3,4,5"</x:formula1>
    </x:dataValidation>
    <x:dataValidation type="list" sqref="O101">
      <x:formula1>"1,2,3,4,5"</x:formula1>
    </x:dataValidation>
    <x:dataValidation type="list" sqref="J101">
      <x:formula1>"Mitigate,Transfer,Avoid,Accept"</x:formula1>
    </x:dataValidation>
    <x:dataValidation type="list" sqref="Q101">
      <x:formula1>"Open,In Progress,Closed,Accepted"</x:formula1>
    </x:dataValidation>
    <x:dataValidation type="list" sqref="E102">
      <x:formula1>"1,2,3,4,5"</x:formula1>
    </x:dataValidation>
    <x:dataValidation type="list" sqref="F102">
      <x:formula1>"1,2,3,4,5"</x:formula1>
    </x:dataValidation>
    <x:dataValidation type="list" sqref="N102">
      <x:formula1>"1,2,3,4,5"</x:formula1>
    </x:dataValidation>
    <x:dataValidation type="list" sqref="O102">
      <x:formula1>"1,2,3,4,5"</x:formula1>
    </x:dataValidation>
    <x:dataValidation type="list" sqref="J102">
      <x:formula1>"Mitigate,Transfer,Avoid,Accept"</x:formula1>
    </x:dataValidation>
    <x:dataValidation type="list" sqref="Q102">
      <x:formula1>"Open,In Progress,Closed,Accepted"</x:formula1>
    </x:dataValidation>
    <x:dataValidation type="list" sqref="E103">
      <x:formula1>"1,2,3,4,5"</x:formula1>
    </x:dataValidation>
    <x:dataValidation type="list" sqref="F103">
      <x:formula1>"1,2,3,4,5"</x:formula1>
    </x:dataValidation>
    <x:dataValidation type="list" sqref="N103">
      <x:formula1>"1,2,3,4,5"</x:formula1>
    </x:dataValidation>
    <x:dataValidation type="list" sqref="O103">
      <x:formula1>"1,2,3,4,5"</x:formula1>
    </x:dataValidation>
    <x:dataValidation type="list" sqref="J103">
      <x:formula1>"Mitigate,Transfer,Avoid,Accept"</x:formula1>
    </x:dataValidation>
    <x:dataValidation type="list" sqref="Q103">
      <x:formula1>"Open,In Progress,Closed,Accepted"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Likelihood</x:v>
      </x:c>
      <x:c r="B1" t="str">
        <x:v>Impact</x:v>
      </x:c>
      <x:c r="C1" t="str">
        <x:v>Treatment</x:v>
      </x:c>
      <x:c r="D1" t="str">
        <x:v>Status</x:v>
      </x:c>
    </x:row>
    <x:row r="2">
      <x:c r="A2" t="n">
        <x:v>1</x:v>
      </x:c>
      <x:c r="B2" t="n">
        <x:v>1</x:v>
      </x:c>
      <x:c r="C2" t="str">
        <x:v>Mitigate</x:v>
      </x:c>
      <x:c r="D2" t="str">
        <x:v>Open</x:v>
      </x:c>
    </x:row>
    <x:row r="3">
      <x:c r="A3" t="n">
        <x:v>2</x:v>
      </x:c>
      <x:c r="B3" t="n">
        <x:v>2</x:v>
      </x:c>
      <x:c r="C3" t="str">
        <x:v>Transfer</x:v>
      </x:c>
      <x:c r="D3" t="str">
        <x:v>In Progress</x:v>
      </x:c>
    </x:row>
    <x:row r="4">
      <x:c r="A4" t="n">
        <x:v>3</x:v>
      </x:c>
      <x:c r="B4" t="n">
        <x:v>3</x:v>
      </x:c>
      <x:c r="C4" t="str">
        <x:v>Avoid</x:v>
      </x:c>
      <x:c r="D4" t="str">
        <x:v>Closed</x:v>
      </x:c>
    </x:row>
    <x:row r="5">
      <x:c r="A5" t="n">
        <x:v>4</x:v>
      </x:c>
      <x:c r="B5" t="n">
        <x:v>4</x:v>
      </x:c>
      <x:c r="C5" t="str">
        <x:v>Accept</x:v>
      </x:c>
      <x:c r="D5" t="str">
        <x:v>Accepted</x:v>
      </x:c>
    </x:row>
    <x:row r="6">
      <x:c r="A6" t="n">
        <x:v>5</x:v>
      </x:c>
      <x:c r="B6" t="n">
        <x:v>5</x:v>
      </x:c>
    </x:row>
  </x:sheetData>
  <x:pageMargins left="0.7" right="0.7" top="0.75" bottom="0.75" header="0.3" footer="0.3"/>
</x:worksheet>
</file>