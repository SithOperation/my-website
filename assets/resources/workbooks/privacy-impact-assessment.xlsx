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a13174fe4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8889a77ae4430c"/>
    <x:sheet xmlns:r="http://schemas.openxmlformats.org/officeDocument/2006/relationships" name="PIA Assessment" sheetId="2" r:id="R0d622760b64143a4"/>
    <x:sheet xmlns:r="http://schemas.openxmlformats.org/officeDocument/2006/relationships" name="Data Inventory" sheetId="3" r:id="Rc91344f54cc4492b"/>
    <x:sheet xmlns:r="http://schemas.openxmlformats.org/officeDocument/2006/relationships" name="Data Flows" sheetId="4" r:id="R737d566db9bf48b9"/>
    <x:sheet xmlns:r="http://schemas.openxmlformats.org/officeDocument/2006/relationships" name="Mitigation Tracker" sheetId="5" r:id="R521bfc00f9044806"/>
    <x:sheet xmlns:r="http://schemas.openxmlformats.org/officeDocument/2006/relationships" name="References" sheetId="6" r:id="R42ec36a65002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9fef02c564a7d" /><Relationship Type="http://schemas.openxmlformats.org/officeDocument/2006/relationships/theme" Target="/xl/theme/theme1.xml" Id="R19518ff6ece54204" /><Relationship Type="http://schemas.openxmlformats.org/officeDocument/2006/relationships/sharedStrings" Target="/xl/sharedStrings.xml" Id="Re2ba55ea86a54c5e" /><Relationship Type="http://schemas.openxmlformats.org/officeDocument/2006/relationships/worksheet" Target="/xl/worksheets/sheet1.xml" Id="Rfd8889a77ae4430c" /><Relationship Type="http://schemas.openxmlformats.org/officeDocument/2006/relationships/worksheet" Target="/xl/worksheets/sheet2.xml" Id="R0d622760b64143a4" /><Relationship Type="http://schemas.openxmlformats.org/officeDocument/2006/relationships/worksheet" Target="/xl/worksheets/sheet3.xml" Id="Rc91344f54cc4492b" /><Relationship Type="http://schemas.openxmlformats.org/officeDocument/2006/relationships/worksheet" Target="/xl/worksheets/sheet4.xml" Id="R737d566db9bf48b9" /><Relationship Type="http://schemas.openxmlformats.org/officeDocument/2006/relationships/worksheet" Target="/xl/worksheets/sheet5.xml" Id="R521bfc00f9044806" /><Relationship Type="http://schemas.openxmlformats.org/officeDocument/2006/relationships/worksheet" Target="/xl/worksheets/sheet6.xml" Id="R42ec36a65002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5" hidden="0" customWidth="1"/>
  </x:cols>
  <x:sheetData>
    <x:row r="1">
      <x:c r="A1" s="4" t="str">
        <x:v>Privacy Impact Assessment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Assessments</x:v>
      </x:c>
      <x:c r="B4" t="n">
        <x:f>COUNTIF('PIA Assessment'!A4:A103,"&lt;&gt;")</x:f>
        <x:v>3</x:v>
      </x:c>
    </x:row>
    <x:row r="5">
      <x:c r="A5" t="str">
        <x:v>Critical Privacy Risks</x:v>
      </x:c>
      <x:c r="B5" t="n">
        <x:f>COUNTIF('PIA Assessment'!N4:N103,"Critical")</x:f>
        <x:v>0</x:v>
      </x:c>
    </x:row>
    <x:row r="6">
      <x:c r="A6" t="str">
        <x:v>High Privacy Risks</x:v>
      </x:c>
      <x:c r="B6" t="n">
        <x:f>COUNTIF('PIA Assessment'!N4:N103,"High")</x:f>
        <x:v>1</x:v>
      </x:c>
    </x:row>
    <x:row r="7">
      <x:c r="A7" t="str">
        <x:v>Open Mitigations</x:v>
      </x:c>
      <x:c r="B7" t="n">
        <x:f>COUNTIF('Mitigation Tracker'!H4:H203,"Not Started")+COUNTIF('Mitigation Tracker'!H4:H203,"Planned")+COUNTIF('Mitigation Tracker'!H4:H203,"In Progress")</x:f>
        <x:v>3</x:v>
      </x:c>
    </x:row>
    <x:row r="8">
      <x:c r="A8" t="str">
        <x:v>Restricted Data Records</x:v>
      </x:c>
      <x:c r="B8" t="n">
        <x:f>COUNTIF('Data Inventory'!E4:E203,"Restricted")</x:f>
        <x:v>1</x:v>
      </x:c>
    </x:row>
    <x:row r="9">
      <x:c r="A9" t="str">
        <x:v>Cross-Border Flows</x:v>
      </x:c>
      <x:c r="B9" t="n">
        <x:f>COUNTIF('Data Flows'!I4:I203,"Yes")</x:f>
        <x:v>0</x:v>
      </x:c>
    </x:row>
    <x:row r="10">
      <x:c r="A10" t="str">
        <x:v>Unknown Cross-Border Flows</x:v>
      </x:c>
      <x:c r="B10" t="n">
        <x:f>COUNTIF('Data Flows'!I4:I203,"Unknown")</x:f>
        <x:v>0</x:v>
      </x:c>
    </x:row>
    <x:row r="13">
      <x:c r="A13" s="12" t="str">
        <x:v>Privacy Principle</x:v>
      </x:c>
      <x:c r="B13" s="12" t="str">
        <x:v>Assessment Question</x:v>
      </x:c>
      <x:c r="C13" s="12" t="str">
        <x:v>Example Evidence</x:v>
      </x:c>
    </x:row>
    <x:row r="14">
      <x:c r="A14" t="str">
        <x:v>Purpose</x:v>
      </x:c>
      <x:c r="B14" t="str">
        <x:v>Is the processing purpose clear, specific, and appropriate?</x:v>
      </x:c>
      <x:c r="C14" t="str">
        <x:v>Approved business purpose</x:v>
      </x:c>
    </x:row>
    <x:row r="15">
      <x:c r="A15" t="str">
        <x:v>Minimization</x:v>
      </x:c>
      <x:c r="B15" t="str">
        <x:v>Is only necessary data collected and retained?</x:v>
      </x:c>
      <x:c r="C15" t="str">
        <x:v>Field list and retention schedule</x:v>
      </x:c>
    </x:row>
    <x:row r="16">
      <x:c r="A16" t="str">
        <x:v>Transparency</x:v>
      </x:c>
      <x:c r="B16" t="str">
        <x:v>Are people given understandable notice?</x:v>
      </x:c>
      <x:c r="C16" t="str">
        <x:v>Privacy notice and consent language</x:v>
      </x:c>
    </x:row>
    <x:row r="17">
      <x:c r="A17" t="str">
        <x:v>Access</x:v>
      </x:c>
      <x:c r="B17" t="str">
        <x:v>Who can use the data and why?</x:v>
      </x:c>
      <x:c r="C17" t="str">
        <x:v>Role matrix and access reviews</x:v>
      </x:c>
    </x:row>
    <x:row r="18">
      <x:c r="A18" t="str">
        <x:v>Sharing</x:v>
      </x:c>
      <x:c r="B18" t="str">
        <x:v>Which parties receive data and under what agreement?</x:v>
      </x:c>
      <x:c r="C18" t="str">
        <x:v>Contracts, DPAs, flow maps</x:v>
      </x:c>
    </x:row>
    <x:row r="19">
      <x:c r="A19" t="str">
        <x:v>Security</x:v>
      </x:c>
      <x:c r="B19" t="str">
        <x:v>Are safeguards proportionate to risk?</x:v>
      </x:c>
      <x:c r="C19" t="str">
        <x:v>Encryption, MFA, logging, testing</x:v>
      </x:c>
    </x:row>
    <x:row r="20">
      <x:c r="A20" t="str">
        <x:v>Lifecycle</x:v>
      </x:c>
      <x:c r="B20" t="str">
        <x:v>Can data be corrected, retained, deleted, and disposed properly?</x:v>
      </x:c>
      <x:c r="C20" t="str">
        <x:v>Procedures and evidence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34" hidden="0" customWidth="1"/>
    <x:col min="5" max="5" width="22" hidden="0" customWidth="1"/>
    <x:col min="6" max="6" width="34" hidden="0" customWidth="1"/>
    <x:col min="7" max="7" width="24" hidden="0" customWidth="1"/>
    <x:col min="8" max="8" width="34" hidden="0" customWidth="1"/>
    <x:col min="9" max="9" width="28" hidden="0" customWidth="1"/>
    <x:col min="10" max="10" width="22" hidden="0" customWidth="1"/>
    <x:col min="11" max="11" width="11" hidden="0" customWidth="1"/>
    <x:col min="12" max="12" width="14" hidden="0" customWidth="1"/>
    <x:col min="13" max="13" width="12" hidden="0" customWidth="1"/>
    <x:col min="14" max="14" width="13" hidden="0" customWidth="1"/>
  </x:cols>
  <x:sheetData>
    <x:row r="1">
      <x:c r="A1" s="4" t="str">
        <x:v>Privacy Impact Assessment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Assessment ID</x:v>
      </x:c>
      <x:c r="B3" s="12" t="str">
        <x:v>Project / Process</x:v>
      </x:c>
      <x:c r="C3" s="12" t="str">
        <x:v>Owner</x:v>
      </x:c>
      <x:c r="D3" s="12" t="str">
        <x:v>Purpose</x:v>
      </x:c>
      <x:c r="E3" s="12" t="str">
        <x:v>People Affected</x:v>
      </x:c>
      <x:c r="F3" s="12" t="str">
        <x:v>Personal Data Categories</x:v>
      </x:c>
      <x:c r="G3" s="12" t="str">
        <x:v>Collection Method</x:v>
      </x:c>
      <x:c r="H3" s="12" t="str">
        <x:v>Use / Processing</x:v>
      </x:c>
      <x:c r="I3" s="12" t="str">
        <x:v>Sharing</x:v>
      </x:c>
      <x:c r="J3" s="12" t="str">
        <x:v>Retention Period</x:v>
      </x:c>
      <x:c r="K3" s="12" t="str">
        <x:v>Likelihood</x:v>
      </x:c>
      <x:c r="L3" s="12" t="str">
        <x:v>Privacy Impact</x:v>
      </x:c>
      <x:c r="M3" s="12" t="str">
        <x:v>Risk Score</x:v>
      </x:c>
      <x:c r="N3" s="12" t="str">
        <x:v>Risk Rating</x:v>
      </x:c>
    </x:row>
    <x:row r="4">
      <x:c r="A4" s="18" t="str">
        <x:v>PIA-001</x:v>
      </x:c>
      <x:c r="B4" s="18" t="str">
        <x:v>Employee Wellness Portal</x:v>
      </x:c>
      <x:c r="C4" s="18" t="str">
        <x:v>HR Director</x:v>
      </x:c>
      <x:c r="D4" s="18" t="str">
        <x:v>Administer optional wellness program</x:v>
      </x:c>
      <x:c r="E4" s="18" t="str">
        <x:v>Employees</x:v>
      </x:c>
      <x:c r="F4" s="18" t="str">
        <x:v>Identity; contact; wellness responses</x:v>
      </x:c>
      <x:c r="G4" s="18" t="str">
        <x:v>Web form</x:v>
      </x:c>
      <x:c r="H4" s="18" t="str">
        <x:v>Enrollment and program administration</x:v>
      </x:c>
      <x:c r="I4" s="18" t="str">
        <x:v>Wellness vendor</x:v>
      </x:c>
      <x:c r="J4" s="18" t="str">
        <x:v>Program term + 7 years</x:v>
      </x:c>
      <x:c r="K4" s="18" t="n">
        <x:v>3</x:v>
      </x:c>
      <x:c r="L4" s="18" t="n">
        <x:v>5</x:v>
      </x:c>
      <x:c r="M4" s="18" t="n">
        <x:f>IF(OR(K4="",L4=""),"",K4*L4)</x:f>
        <x:v>15</x:v>
      </x:c>
      <x:c r="N4" s="18" t="str">
        <x:f>IF(M4="","",IF(M4&gt;=20,"Critical",IF(M4&gt;=12,"High",IF(M4&gt;=6,"Moderate","Low"))))</x:f>
        <x:v>High</x:v>
      </x:c>
    </x:row>
    <x:row r="5">
      <x:c r="A5" s="18" t="str">
        <x:v>PIA-002</x:v>
      </x:c>
      <x:c r="B5" s="18" t="str">
        <x:v>Website Analytics</x:v>
      </x:c>
      <x:c r="C5" s="18" t="str">
        <x:v>Marketing Director</x:v>
      </x:c>
      <x:c r="D5" s="18" t="str">
        <x:v>Measure website usage</x:v>
      </x:c>
      <x:c r="E5" s="18" t="str">
        <x:v>Website visitors</x:v>
      </x:c>
      <x:c r="F5" s="18" t="str">
        <x:v>IP address; device and usage data</x:v>
      </x:c>
      <x:c r="G5" s="18" t="str">
        <x:v>Browser analytics</x:v>
      </x:c>
      <x:c r="H5" s="18" t="str">
        <x:v>Traffic analysis</x:v>
      </x:c>
      <x:c r="I5" s="18" t="str">
        <x:v>Analytics provider</x:v>
      </x:c>
      <x:c r="J5" s="18" t="str">
        <x:v>14 months</x:v>
      </x:c>
      <x:c r="K5" s="18" t="n">
        <x:v>2</x:v>
      </x:c>
      <x:c r="L5" s="18" t="n">
        <x:v>3</x:v>
      </x:c>
      <x:c r="M5" s="18" t="n">
        <x:f>IF(OR(K5="",L5=""),"",K5*L5)</x:f>
        <x:v>6</x:v>
      </x:c>
      <x:c r="N5" s="18" t="str">
        <x:f>IF(M5="","",IF(M5&gt;=20,"Critical",IF(M5&gt;=12,"High",IF(M5&gt;=6,"Moderate","Low"))))</x:f>
        <x:v>Moderate</x:v>
      </x:c>
    </x:row>
    <x:row r="6">
      <x:c r="A6" s="18" t="str">
        <x:v>PIA-003</x:v>
      </x:c>
      <x:c r="B6" s="18" t="str">
        <x:v>Visitor Management</x:v>
      </x:c>
      <x:c r="C6" s="18" t="str">
        <x:v>Facilities Manager</x:v>
      </x:c>
      <x:c r="D6" s="18" t="str">
        <x:v>Manage building access</x:v>
      </x:c>
      <x:c r="E6" s="18" t="str">
        <x:v>Visitors</x:v>
      </x:c>
      <x:c r="F6" s="18" t="str">
        <x:v>Identity; employer; visit details</x:v>
      </x:c>
      <x:c r="G6" s="18" t="str">
        <x:v>Front desk and kiosk</x:v>
      </x:c>
      <x:c r="H6" s="18" t="str">
        <x:v>Safety and access administration</x:v>
      </x:c>
      <x:c r="I6" s="18" t="str">
        <x:v>Security provider</x:v>
      </x:c>
      <x:c r="J6" s="18" t="str">
        <x:v>90 days</x:v>
      </x:c>
      <x:c r="K6" s="18" t="n">
        <x:v>2</x:v>
      </x:c>
      <x:c r="L6" s="18" t="n">
        <x:v>3</x:v>
      </x:c>
      <x:c r="M6" s="18" t="n">
        <x:f>IF(OR(K6="",L6=""),"",K6*L6)</x:f>
        <x:v>6</x:v>
      </x:c>
      <x:c r="N6" s="18" t="str">
        <x:f>IF(M6="","",IF(M6&gt;=20,"Critical",IF(M6&gt;=12,"High",IF(M6&gt;=6,"Moderate","Low"))))</x:f>
        <x:v>Moderate</x:v>
      </x:c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 t="str">
        <x:f>IF(OR(K7="",L7=""),"",K7*L7)</x:f>
      </x:c>
      <x:c r="N7" s="18" t="str">
        <x:f>IF(M7="","",IF(M7&gt;=20,"Critical",IF(M7&gt;=12,"High",IF(M7&gt;=6,"Moderate","Low"))))</x:f>
      </x:c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 t="str">
        <x:f>IF(OR(K8="",L8=""),"",K8*L8)</x:f>
      </x:c>
      <x:c r="N8" s="18" t="str">
        <x:f>IF(M8="","",IF(M8&gt;=20,"Critical",IF(M8&gt;=12,"High",IF(M8&gt;=6,"Moderate","Low"))))</x:f>
      </x:c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 t="str">
        <x:f>IF(OR(K9="",L9=""),"",K9*L9)</x:f>
      </x:c>
      <x:c r="N9" s="18" t="str">
        <x:f>IF(M9="","",IF(M9&gt;=20,"Critical",IF(M9&gt;=12,"High",IF(M9&gt;=6,"Moderate","Low"))))</x:f>
      </x:c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 t="str">
        <x:f>IF(OR(K10="",L10=""),"",K10*L10)</x:f>
      </x:c>
      <x:c r="N10" s="18" t="str">
        <x:f>IF(M10="","",IF(M10&gt;=20,"Critical",IF(M10&gt;=12,"High",IF(M10&gt;=6,"Moderate","Low"))))</x:f>
      </x:c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 t="str">
        <x:f>IF(OR(K11="",L11=""),"",K11*L11)</x:f>
      </x:c>
      <x:c r="N11" s="18" t="str">
        <x:f>IF(M11="","",IF(M11&gt;=20,"Critical",IF(M11&gt;=12,"High",IF(M11&gt;=6,"Moderate","Low"))))</x:f>
      </x:c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 t="str">
        <x:f>IF(OR(K12="",L12=""),"",K12*L12)</x:f>
      </x:c>
      <x:c r="N12" s="18" t="str">
        <x:f>IF(M12="","",IF(M12&gt;=20,"Critical",IF(M12&gt;=12,"High",IF(M12&gt;=6,"Moderate","Low"))))</x:f>
      </x:c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 t="str">
        <x:f>IF(OR(K13="",L13=""),"",K13*L13)</x:f>
      </x:c>
      <x:c r="N13" s="18" t="str">
        <x:f>IF(M13="","",IF(M13&gt;=20,"Critical",IF(M13&gt;=12,"High",IF(M13&gt;=6,"Moderate","Low"))))</x:f>
      </x:c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 t="str">
        <x:f>IF(OR(K14="",L14=""),"",K14*L14)</x:f>
      </x:c>
      <x:c r="N14" s="18" t="str">
        <x:f>IF(M14="","",IF(M14&gt;=20,"Critical",IF(M14&gt;=12,"High",IF(M14&gt;=6,"Moderate","Low"))))</x:f>
      </x:c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 t="str">
        <x:f>IF(OR(K15="",L15=""),"",K15*L15)</x:f>
      </x:c>
      <x:c r="N15" s="18" t="str">
        <x:f>IF(M15="","",IF(M15&gt;=20,"Critical",IF(M15&gt;=12,"High",IF(M15&gt;=6,"Moderate","Low"))))</x:f>
      </x:c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 t="str">
        <x:f>IF(OR(K16="",L16=""),"",K16*L16)</x:f>
      </x:c>
      <x:c r="N16" s="18" t="str">
        <x:f>IF(M16="","",IF(M16&gt;=20,"Critical",IF(M16&gt;=12,"High",IF(M16&gt;=6,"Moderate","Low"))))</x:f>
      </x:c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 t="str">
        <x:f>IF(OR(K17="",L17=""),"",K17*L17)</x:f>
      </x:c>
      <x:c r="N17" s="18" t="str">
        <x:f>IF(M17="","",IF(M17&gt;=20,"Critical",IF(M17&gt;=12,"High",IF(M17&gt;=6,"Moderate","Low"))))</x:f>
      </x:c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 t="str">
        <x:f>IF(OR(K18="",L18=""),"",K18*L18)</x:f>
      </x:c>
      <x:c r="N18" s="18" t="str">
        <x:f>IF(M18="","",IF(M18&gt;=20,"Critical",IF(M18&gt;=12,"High",IF(M18&gt;=6,"Moderate","Low"))))</x:f>
      </x:c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 t="str">
        <x:f>IF(OR(K19="",L19=""),"",K19*L19)</x:f>
      </x:c>
      <x:c r="N19" s="18" t="str">
        <x:f>IF(M19="","",IF(M19&gt;=20,"Critical",IF(M19&gt;=12,"High",IF(M19&gt;=6,"Moderate","Low"))))</x:f>
      </x:c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 t="str">
        <x:f>IF(OR(K20="",L20=""),"",K20*L20)</x:f>
      </x:c>
      <x:c r="N20" s="18" t="str">
        <x:f>IF(M20="","",IF(M20&gt;=20,"Critical",IF(M20&gt;=12,"High",IF(M20&gt;=6,"Moderate","Low"))))</x:f>
      </x:c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 t="str">
        <x:f>IF(OR(K21="",L21=""),"",K21*L21)</x:f>
      </x:c>
      <x:c r="N21" s="18" t="str">
        <x:f>IF(M21="","",IF(M21&gt;=20,"Critical",IF(M21&gt;=12,"High",IF(M21&gt;=6,"Moderate","Low"))))</x:f>
      </x:c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 t="str">
        <x:f>IF(OR(K22="",L22=""),"",K22*L22)</x:f>
      </x:c>
      <x:c r="N22" s="18" t="str">
        <x:f>IF(M22="","",IF(M22&gt;=20,"Critical",IF(M22&gt;=12,"High",IF(M22&gt;=6,"Moderate","Low"))))</x:f>
      </x:c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 t="str">
        <x:f>IF(OR(K23="",L23=""),"",K23*L23)</x:f>
      </x:c>
      <x:c r="N23" s="18" t="str">
        <x:f>IF(M23="","",IF(M23&gt;=20,"Critical",IF(M23&gt;=12,"High",IF(M23&gt;=6,"Moderate","Low"))))</x:f>
      </x:c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 t="str">
        <x:f>IF(OR(K24="",L24=""),"",K24*L24)</x:f>
      </x:c>
      <x:c r="N24" s="18" t="str">
        <x:f>IF(M24="","",IF(M24&gt;=20,"Critical",IF(M24&gt;=12,"High",IF(M24&gt;=6,"Moderate","Low"))))</x:f>
      </x:c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 t="str">
        <x:f>IF(OR(K25="",L25=""),"",K25*L25)</x:f>
      </x:c>
      <x:c r="N25" s="18" t="str">
        <x:f>IF(M25="","",IF(M25&gt;=20,"Critical",IF(M25&gt;=12,"High",IF(M25&gt;=6,"Moderate","Low"))))</x:f>
      </x:c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 t="str">
        <x:f>IF(OR(K26="",L26=""),"",K26*L26)</x:f>
      </x:c>
      <x:c r="N26" s="18" t="str">
        <x:f>IF(M26="","",IF(M26&gt;=20,"Critical",IF(M26&gt;=12,"High",IF(M26&gt;=6,"Moderate","Low"))))</x:f>
      </x:c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 t="str">
        <x:f>IF(OR(K27="",L27=""),"",K27*L27)</x:f>
      </x:c>
      <x:c r="N27" s="18" t="str">
        <x:f>IF(M27="","",IF(M27&gt;=20,"Critical",IF(M27&gt;=12,"High",IF(M27&gt;=6,"Moderate","Low"))))</x:f>
      </x:c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 t="str">
        <x:f>IF(OR(K28="",L28=""),"",K28*L28)</x:f>
      </x:c>
      <x:c r="N28" s="18" t="str">
        <x:f>IF(M28="","",IF(M28&gt;=20,"Critical",IF(M28&gt;=12,"High",IF(M28&gt;=6,"Moderate","Low"))))</x:f>
      </x:c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 t="str">
        <x:f>IF(OR(K29="",L29=""),"",K29*L29)</x:f>
      </x:c>
      <x:c r="N29" s="18" t="str">
        <x:f>IF(M29="","",IF(M29&gt;=20,"Critical",IF(M29&gt;=12,"High",IF(M29&gt;=6,"Moderate","Low"))))</x:f>
      </x:c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 t="str">
        <x:f>IF(OR(K30="",L30=""),"",K30*L30)</x:f>
      </x:c>
      <x:c r="N30" s="18" t="str">
        <x:f>IF(M30="","",IF(M30&gt;=20,"Critical",IF(M30&gt;=12,"High",IF(M30&gt;=6,"Moderate","Low"))))</x:f>
      </x:c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 t="str">
        <x:f>IF(OR(K31="",L31=""),"",K31*L31)</x:f>
      </x:c>
      <x:c r="N31" s="18" t="str">
        <x:f>IF(M31="","",IF(M31&gt;=20,"Critical",IF(M31&gt;=12,"High",IF(M31&gt;=6,"Moderate","Low"))))</x:f>
      </x:c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 t="str">
        <x:f>IF(OR(K32="",L32=""),"",K32*L32)</x:f>
      </x:c>
      <x:c r="N32" s="18" t="str">
        <x:f>IF(M32="","",IF(M32&gt;=20,"Critical",IF(M32&gt;=12,"High",IF(M32&gt;=6,"Moderate","Low"))))</x:f>
      </x:c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 t="str">
        <x:f>IF(OR(K33="",L33=""),"",K33*L33)</x:f>
      </x:c>
      <x:c r="N33" s="18" t="str">
        <x:f>IF(M33="","",IF(M33&gt;=20,"Critical",IF(M33&gt;=12,"High",IF(M33&gt;=6,"Moderate","Low"))))</x:f>
      </x:c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 t="str">
        <x:f>IF(OR(K34="",L34=""),"",K34*L34)</x:f>
      </x:c>
      <x:c r="N34" s="18" t="str">
        <x:f>IF(M34="","",IF(M34&gt;=20,"Critical",IF(M34&gt;=12,"High",IF(M34&gt;=6,"Moderate","Low"))))</x:f>
      </x:c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 t="str">
        <x:f>IF(OR(K35="",L35=""),"",K35*L35)</x:f>
      </x:c>
      <x:c r="N35" s="18" t="str">
        <x:f>IF(M35="","",IF(M35&gt;=20,"Critical",IF(M35&gt;=12,"High",IF(M35&gt;=6,"Moderate","Low"))))</x:f>
      </x:c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 t="str">
        <x:f>IF(OR(K36="",L36=""),"",K36*L36)</x:f>
      </x:c>
      <x:c r="N36" s="18" t="str">
        <x:f>IF(M36="","",IF(M36&gt;=20,"Critical",IF(M36&gt;=12,"High",IF(M36&gt;=6,"Moderate","Low"))))</x:f>
      </x:c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 t="str">
        <x:f>IF(OR(K37="",L37=""),"",K37*L37)</x:f>
      </x:c>
      <x:c r="N37" s="18" t="str">
        <x:f>IF(M37="","",IF(M37&gt;=20,"Critical",IF(M37&gt;=12,"High",IF(M37&gt;=6,"Moderate","Low"))))</x:f>
      </x:c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 t="str">
        <x:f>IF(OR(K38="",L38=""),"",K38*L38)</x:f>
      </x:c>
      <x:c r="N38" s="18" t="str">
        <x:f>IF(M38="","",IF(M38&gt;=20,"Critical",IF(M38&gt;=12,"High",IF(M38&gt;=6,"Moderate","Low"))))</x:f>
      </x:c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 t="str">
        <x:f>IF(OR(K39="",L39=""),"",K39*L39)</x:f>
      </x:c>
      <x:c r="N39" s="18" t="str">
        <x:f>IF(M39="","",IF(M39&gt;=20,"Critical",IF(M39&gt;=12,"High",IF(M39&gt;=6,"Moderate","Low"))))</x:f>
      </x:c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 t="str">
        <x:f>IF(OR(K40="",L40=""),"",K40*L40)</x:f>
      </x:c>
      <x:c r="N40" s="18" t="str">
        <x:f>IF(M40="","",IF(M40&gt;=20,"Critical",IF(M40&gt;=12,"High",IF(M40&gt;=6,"Moderate","Low"))))</x:f>
      </x:c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 t="str">
        <x:f>IF(OR(K41="",L41=""),"",K41*L41)</x:f>
      </x:c>
      <x:c r="N41" s="18" t="str">
        <x:f>IF(M41="","",IF(M41&gt;=20,"Critical",IF(M41&gt;=12,"High",IF(M41&gt;=6,"Moderate","Low"))))</x:f>
      </x:c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 t="str">
        <x:f>IF(OR(K42="",L42=""),"",K42*L42)</x:f>
      </x:c>
      <x:c r="N42" s="18" t="str">
        <x:f>IF(M42="","",IF(M42&gt;=20,"Critical",IF(M42&gt;=12,"High",IF(M42&gt;=6,"Moderate","Low"))))</x:f>
      </x:c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 t="str">
        <x:f>IF(OR(K43="",L43=""),"",K43*L43)</x:f>
      </x:c>
      <x:c r="N43" s="18" t="str">
        <x:f>IF(M43="","",IF(M43&gt;=20,"Critical",IF(M43&gt;=12,"High",IF(M43&gt;=6,"Moderate","Low"))))</x:f>
      </x:c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 t="str">
        <x:f>IF(OR(K44="",L44=""),"",K44*L44)</x:f>
      </x:c>
      <x:c r="N44" s="18" t="str">
        <x:f>IF(M44="","",IF(M44&gt;=20,"Critical",IF(M44&gt;=12,"High",IF(M44&gt;=6,"Moderate","Low"))))</x:f>
      </x:c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 t="str">
        <x:f>IF(OR(K45="",L45=""),"",K45*L45)</x:f>
      </x:c>
      <x:c r="N45" s="18" t="str">
        <x:f>IF(M45="","",IF(M45&gt;=20,"Critical",IF(M45&gt;=12,"High",IF(M45&gt;=6,"Moderate","Low"))))</x:f>
      </x:c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 t="str">
        <x:f>IF(OR(K46="",L46=""),"",K46*L46)</x:f>
      </x:c>
      <x:c r="N46" s="18" t="str">
        <x:f>IF(M46="","",IF(M46&gt;=20,"Critical",IF(M46&gt;=12,"High",IF(M46&gt;=6,"Moderate","Low"))))</x:f>
      </x:c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 t="str">
        <x:f>IF(OR(K47="",L47=""),"",K47*L47)</x:f>
      </x:c>
      <x:c r="N47" s="18" t="str">
        <x:f>IF(M47="","",IF(M47&gt;=20,"Critical",IF(M47&gt;=12,"High",IF(M47&gt;=6,"Moderate","Low"))))</x:f>
      </x:c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 t="str">
        <x:f>IF(OR(K48="",L48=""),"",K48*L48)</x:f>
      </x:c>
      <x:c r="N48" s="18" t="str">
        <x:f>IF(M48="","",IF(M48&gt;=20,"Critical",IF(M48&gt;=12,"High",IF(M48&gt;=6,"Moderate","Low"))))</x:f>
      </x:c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 t="str">
        <x:f>IF(OR(K49="",L49=""),"",K49*L49)</x:f>
      </x:c>
      <x:c r="N49" s="18" t="str">
        <x:f>IF(M49="","",IF(M49&gt;=20,"Critical",IF(M49&gt;=12,"High",IF(M49&gt;=6,"Moderate","Low"))))</x:f>
      </x:c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 t="str">
        <x:f>IF(OR(K50="",L50=""),"",K50*L50)</x:f>
      </x:c>
      <x:c r="N50" s="18" t="str">
        <x:f>IF(M50="","",IF(M50&gt;=20,"Critical",IF(M50&gt;=12,"High",IF(M50&gt;=6,"Moderate","Low"))))</x:f>
      </x:c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 t="str">
        <x:f>IF(OR(K51="",L51=""),"",K51*L51)</x:f>
      </x:c>
      <x:c r="N51" s="18" t="str">
        <x:f>IF(M51="","",IF(M51&gt;=20,"Critical",IF(M51&gt;=12,"High",IF(M51&gt;=6,"Moderate","Low"))))</x:f>
      </x:c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 t="str">
        <x:f>IF(OR(K52="",L52=""),"",K52*L52)</x:f>
      </x:c>
      <x:c r="N52" s="18" t="str">
        <x:f>IF(M52="","",IF(M52&gt;=20,"Critical",IF(M52&gt;=12,"High",IF(M52&gt;=6,"Moderate","Low"))))</x:f>
      </x:c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 t="str">
        <x:f>IF(OR(K53="",L53=""),"",K53*L53)</x:f>
      </x:c>
      <x:c r="N53" s="18" t="str">
        <x:f>IF(M53="","",IF(M53&gt;=20,"Critical",IF(M53&gt;=12,"High",IF(M53&gt;=6,"Moderate","Low"))))</x:f>
      </x:c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 t="str">
        <x:f>IF(OR(K54="",L54=""),"",K54*L54)</x:f>
      </x:c>
      <x:c r="N54" s="18" t="str">
        <x:f>IF(M54="","",IF(M54&gt;=20,"Critical",IF(M54&gt;=12,"High",IF(M54&gt;=6,"Moderate","Low"))))</x:f>
      </x:c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 t="str">
        <x:f>IF(OR(K55="",L55=""),"",K55*L55)</x:f>
      </x:c>
      <x:c r="N55" s="18" t="str">
        <x:f>IF(M55="","",IF(M55&gt;=20,"Critical",IF(M55&gt;=12,"High",IF(M55&gt;=6,"Moderate","Low"))))</x:f>
      </x:c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 t="str">
        <x:f>IF(OR(K56="",L56=""),"",K56*L56)</x:f>
      </x:c>
      <x:c r="N56" s="18" t="str">
        <x:f>IF(M56="","",IF(M56&gt;=20,"Critical",IF(M56&gt;=12,"High",IF(M56&gt;=6,"Moderate","Low"))))</x:f>
      </x:c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 t="str">
        <x:f>IF(OR(K57="",L57=""),"",K57*L57)</x:f>
      </x:c>
      <x:c r="N57" s="18" t="str">
        <x:f>IF(M57="","",IF(M57&gt;=20,"Critical",IF(M57&gt;=12,"High",IF(M57&gt;=6,"Moderate","Low"))))</x:f>
      </x:c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 t="str">
        <x:f>IF(OR(K58="",L58=""),"",K58*L58)</x:f>
      </x:c>
      <x:c r="N58" s="18" t="str">
        <x:f>IF(M58="","",IF(M58&gt;=20,"Critical",IF(M58&gt;=12,"High",IF(M58&gt;=6,"Moderate","Low"))))</x:f>
      </x:c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 t="str">
        <x:f>IF(OR(K59="",L59=""),"",K59*L59)</x:f>
      </x:c>
      <x:c r="N59" s="18" t="str">
        <x:f>IF(M59="","",IF(M59&gt;=20,"Critical",IF(M59&gt;=12,"High",IF(M59&gt;=6,"Moderate","Low"))))</x:f>
      </x:c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 t="str">
        <x:f>IF(OR(K60="",L60=""),"",K60*L60)</x:f>
      </x:c>
      <x:c r="N60" s="18" t="str">
        <x:f>IF(M60="","",IF(M60&gt;=20,"Critical",IF(M60&gt;=12,"High",IF(M60&gt;=6,"Moderate","Low"))))</x:f>
      </x:c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 t="str">
        <x:f>IF(OR(K61="",L61=""),"",K61*L61)</x:f>
      </x:c>
      <x:c r="N61" s="18" t="str">
        <x:f>IF(M61="","",IF(M61&gt;=20,"Critical",IF(M61&gt;=12,"High",IF(M61&gt;=6,"Moderate","Low"))))</x:f>
      </x:c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 t="str">
        <x:f>IF(OR(K62="",L62=""),"",K62*L62)</x:f>
      </x:c>
      <x:c r="N62" s="18" t="str">
        <x:f>IF(M62="","",IF(M62&gt;=20,"Critical",IF(M62&gt;=12,"High",IF(M62&gt;=6,"Moderate","Low"))))</x:f>
      </x:c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 t="str">
        <x:f>IF(OR(K63="",L63=""),"",K63*L63)</x:f>
      </x:c>
      <x:c r="N63" s="18" t="str">
        <x:f>IF(M63="","",IF(M63&gt;=20,"Critical",IF(M63&gt;=12,"High",IF(M63&gt;=6,"Moderate","Low"))))</x:f>
      </x:c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 t="str">
        <x:f>IF(OR(K64="",L64=""),"",K64*L64)</x:f>
      </x:c>
      <x:c r="N64" s="18" t="str">
        <x:f>IF(M64="","",IF(M64&gt;=20,"Critical",IF(M64&gt;=12,"High",IF(M64&gt;=6,"Moderate","Low"))))</x:f>
      </x:c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 t="str">
        <x:f>IF(OR(K65="",L65=""),"",K65*L65)</x:f>
      </x:c>
      <x:c r="N65" s="18" t="str">
        <x:f>IF(M65="","",IF(M65&gt;=20,"Critical",IF(M65&gt;=12,"High",IF(M65&gt;=6,"Moderate","Low"))))</x:f>
      </x:c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 t="str">
        <x:f>IF(OR(K66="",L66=""),"",K66*L66)</x:f>
      </x:c>
      <x:c r="N66" s="18" t="str">
        <x:f>IF(M66="","",IF(M66&gt;=20,"Critical",IF(M66&gt;=12,"High",IF(M66&gt;=6,"Moderate","Low"))))</x:f>
      </x:c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 t="str">
        <x:f>IF(OR(K67="",L67=""),"",K67*L67)</x:f>
      </x:c>
      <x:c r="N67" s="18" t="str">
        <x:f>IF(M67="","",IF(M67&gt;=20,"Critical",IF(M67&gt;=12,"High",IF(M67&gt;=6,"Moderate","Low"))))</x:f>
      </x:c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 t="str">
        <x:f>IF(OR(K68="",L68=""),"",K68*L68)</x:f>
      </x:c>
      <x:c r="N68" s="18" t="str">
        <x:f>IF(M68="","",IF(M68&gt;=20,"Critical",IF(M68&gt;=12,"High",IF(M68&gt;=6,"Moderate","Low"))))</x:f>
      </x:c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 t="str">
        <x:f>IF(OR(K69="",L69=""),"",K69*L69)</x:f>
      </x:c>
      <x:c r="N69" s="18" t="str">
        <x:f>IF(M69="","",IF(M69&gt;=20,"Critical",IF(M69&gt;=12,"High",IF(M69&gt;=6,"Moderate","Low"))))</x:f>
      </x:c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 t="str">
        <x:f>IF(OR(K70="",L70=""),"",K70*L70)</x:f>
      </x:c>
      <x:c r="N70" s="18" t="str">
        <x:f>IF(M70="","",IF(M70&gt;=20,"Critical",IF(M70&gt;=12,"High",IF(M70&gt;=6,"Moderate","Low"))))</x:f>
      </x:c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 t="str">
        <x:f>IF(OR(K71="",L71=""),"",K71*L71)</x:f>
      </x:c>
      <x:c r="N71" s="18" t="str">
        <x:f>IF(M71="","",IF(M71&gt;=20,"Critical",IF(M71&gt;=12,"High",IF(M71&gt;=6,"Moderate","Low"))))</x:f>
      </x:c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 t="str">
        <x:f>IF(OR(K72="",L72=""),"",K72*L72)</x:f>
      </x:c>
      <x:c r="N72" s="18" t="str">
        <x:f>IF(M72="","",IF(M72&gt;=20,"Critical",IF(M72&gt;=12,"High",IF(M72&gt;=6,"Moderate","Low"))))</x:f>
      </x:c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 t="str">
        <x:f>IF(OR(K73="",L73=""),"",K73*L73)</x:f>
      </x:c>
      <x:c r="N73" s="18" t="str">
        <x:f>IF(M73="","",IF(M73&gt;=20,"Critical",IF(M73&gt;=12,"High",IF(M73&gt;=6,"Moderate","Low"))))</x:f>
      </x:c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 t="str">
        <x:f>IF(OR(K74="",L74=""),"",K74*L74)</x:f>
      </x:c>
      <x:c r="N74" s="18" t="str">
        <x:f>IF(M74="","",IF(M74&gt;=20,"Critical",IF(M74&gt;=12,"High",IF(M74&gt;=6,"Moderate","Low"))))</x:f>
      </x:c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 t="str">
        <x:f>IF(OR(K75="",L75=""),"",K75*L75)</x:f>
      </x:c>
      <x:c r="N75" s="18" t="str">
        <x:f>IF(M75="","",IF(M75&gt;=20,"Critical",IF(M75&gt;=12,"High",IF(M75&gt;=6,"Moderate","Low"))))</x:f>
      </x:c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 t="str">
        <x:f>IF(OR(K76="",L76=""),"",K76*L76)</x:f>
      </x:c>
      <x:c r="N76" s="18" t="str">
        <x:f>IF(M76="","",IF(M76&gt;=20,"Critical",IF(M76&gt;=12,"High",IF(M76&gt;=6,"Moderate","Low"))))</x:f>
      </x:c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 t="str">
        <x:f>IF(OR(K77="",L77=""),"",K77*L77)</x:f>
      </x:c>
      <x:c r="N77" s="18" t="str">
        <x:f>IF(M77="","",IF(M77&gt;=20,"Critical",IF(M77&gt;=12,"High",IF(M77&gt;=6,"Moderate","Low"))))</x:f>
      </x:c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 t="str">
        <x:f>IF(OR(K78="",L78=""),"",K78*L78)</x:f>
      </x:c>
      <x:c r="N78" s="18" t="str">
        <x:f>IF(M78="","",IF(M78&gt;=20,"Critical",IF(M78&gt;=12,"High",IF(M78&gt;=6,"Moderate","Low"))))</x:f>
      </x:c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 t="str">
        <x:f>IF(OR(K79="",L79=""),"",K79*L79)</x:f>
      </x:c>
      <x:c r="N79" s="18" t="str">
        <x:f>IF(M79="","",IF(M79&gt;=20,"Critical",IF(M79&gt;=12,"High",IF(M79&gt;=6,"Moderate","Low"))))</x:f>
      </x:c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 t="str">
        <x:f>IF(OR(K80="",L80=""),"",K80*L80)</x:f>
      </x:c>
      <x:c r="N80" s="18" t="str">
        <x:f>IF(M80="","",IF(M80&gt;=20,"Critical",IF(M80&gt;=12,"High",IF(M80&gt;=6,"Moderate","Low"))))</x:f>
      </x:c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 t="str">
        <x:f>IF(OR(K81="",L81=""),"",K81*L81)</x:f>
      </x:c>
      <x:c r="N81" s="18" t="str">
        <x:f>IF(M81="","",IF(M81&gt;=20,"Critical",IF(M81&gt;=12,"High",IF(M81&gt;=6,"Moderate","Low"))))</x:f>
      </x:c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 t="str">
        <x:f>IF(OR(K82="",L82=""),"",K82*L82)</x:f>
      </x:c>
      <x:c r="N82" s="18" t="str">
        <x:f>IF(M82="","",IF(M82&gt;=20,"Critical",IF(M82&gt;=12,"High",IF(M82&gt;=6,"Moderate","Low"))))</x:f>
      </x:c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 t="str">
        <x:f>IF(OR(K83="",L83=""),"",K83*L83)</x:f>
      </x:c>
      <x:c r="N83" s="18" t="str">
        <x:f>IF(M83="","",IF(M83&gt;=20,"Critical",IF(M83&gt;=12,"High",IF(M83&gt;=6,"Moderate","Low"))))</x:f>
      </x:c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 t="str">
        <x:f>IF(OR(K84="",L84=""),"",K84*L84)</x:f>
      </x:c>
      <x:c r="N84" s="18" t="str">
        <x:f>IF(M84="","",IF(M84&gt;=20,"Critical",IF(M84&gt;=12,"High",IF(M84&gt;=6,"Moderate","Low"))))</x:f>
      </x:c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 t="str">
        <x:f>IF(OR(K85="",L85=""),"",K85*L85)</x:f>
      </x:c>
      <x:c r="N85" s="18" t="str">
        <x:f>IF(M85="","",IF(M85&gt;=20,"Critical",IF(M85&gt;=12,"High",IF(M85&gt;=6,"Moderate","Low"))))</x:f>
      </x:c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 t="str">
        <x:f>IF(OR(K86="",L86=""),"",K86*L86)</x:f>
      </x:c>
      <x:c r="N86" s="18" t="str">
        <x:f>IF(M86="","",IF(M86&gt;=20,"Critical",IF(M86&gt;=12,"High",IF(M86&gt;=6,"Moderate","Low"))))</x:f>
      </x:c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 t="str">
        <x:f>IF(OR(K87="",L87=""),"",K87*L87)</x:f>
      </x:c>
      <x:c r="N87" s="18" t="str">
        <x:f>IF(M87="","",IF(M87&gt;=20,"Critical",IF(M87&gt;=12,"High",IF(M87&gt;=6,"Moderate","Low"))))</x:f>
      </x:c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 t="str">
        <x:f>IF(OR(K88="",L88=""),"",K88*L88)</x:f>
      </x:c>
      <x:c r="N88" s="18" t="str">
        <x:f>IF(M88="","",IF(M88&gt;=20,"Critical",IF(M88&gt;=12,"High",IF(M88&gt;=6,"Moderate","Low"))))</x:f>
      </x:c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 t="str">
        <x:f>IF(OR(K89="",L89=""),"",K89*L89)</x:f>
      </x:c>
      <x:c r="N89" s="18" t="str">
        <x:f>IF(M89="","",IF(M89&gt;=20,"Critical",IF(M89&gt;=12,"High",IF(M89&gt;=6,"Moderate","Low"))))</x:f>
      </x:c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 t="str">
        <x:f>IF(OR(K90="",L90=""),"",K90*L90)</x:f>
      </x:c>
      <x:c r="N90" s="18" t="str">
        <x:f>IF(M90="","",IF(M90&gt;=20,"Critical",IF(M90&gt;=12,"High",IF(M90&gt;=6,"Moderate","Low"))))</x:f>
      </x:c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 t="str">
        <x:f>IF(OR(K91="",L91=""),"",K91*L91)</x:f>
      </x:c>
      <x:c r="N91" s="18" t="str">
        <x:f>IF(M91="","",IF(M91&gt;=20,"Critical",IF(M91&gt;=12,"High",IF(M91&gt;=6,"Moderate","Low"))))</x:f>
      </x:c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 t="str">
        <x:f>IF(OR(K92="",L92=""),"",K92*L92)</x:f>
      </x:c>
      <x:c r="N92" s="18" t="str">
        <x:f>IF(M92="","",IF(M92&gt;=20,"Critical",IF(M92&gt;=12,"High",IF(M92&gt;=6,"Moderate","Low"))))</x:f>
      </x:c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 t="str">
        <x:f>IF(OR(K93="",L93=""),"",K93*L93)</x:f>
      </x:c>
      <x:c r="N93" s="18" t="str">
        <x:f>IF(M93="","",IF(M93&gt;=20,"Critical",IF(M93&gt;=12,"High",IF(M93&gt;=6,"Moderate","Low"))))</x:f>
      </x:c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 t="str">
        <x:f>IF(OR(K94="",L94=""),"",K94*L94)</x:f>
      </x:c>
      <x:c r="N94" s="18" t="str">
        <x:f>IF(M94="","",IF(M94&gt;=20,"Critical",IF(M94&gt;=12,"High",IF(M94&gt;=6,"Moderate","Low"))))</x:f>
      </x:c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 t="str">
        <x:f>IF(OR(K95="",L95=""),"",K95*L95)</x:f>
      </x:c>
      <x:c r="N95" s="18" t="str">
        <x:f>IF(M95="","",IF(M95&gt;=20,"Critical",IF(M95&gt;=12,"High",IF(M95&gt;=6,"Moderate","Low"))))</x:f>
      </x:c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 t="str">
        <x:f>IF(OR(K96="",L96=""),"",K96*L96)</x:f>
      </x:c>
      <x:c r="N96" s="18" t="str">
        <x:f>IF(M96="","",IF(M96&gt;=20,"Critical",IF(M96&gt;=12,"High",IF(M96&gt;=6,"Moderate","Low"))))</x:f>
      </x:c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 t="str">
        <x:f>IF(OR(K97="",L97=""),"",K97*L97)</x:f>
      </x:c>
      <x:c r="N97" s="18" t="str">
        <x:f>IF(M97="","",IF(M97&gt;=20,"Critical",IF(M97&gt;=12,"High",IF(M97&gt;=6,"Moderate","Low"))))</x:f>
      </x:c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 t="str">
        <x:f>IF(OR(K98="",L98=""),"",K98*L98)</x:f>
      </x:c>
      <x:c r="N98" s="18" t="str">
        <x:f>IF(M98="","",IF(M98&gt;=20,"Critical",IF(M98&gt;=12,"High",IF(M98&gt;=6,"Moderate","Low"))))</x:f>
      </x:c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 t="str">
        <x:f>IF(OR(K99="",L99=""),"",K99*L99)</x:f>
      </x:c>
      <x:c r="N99" s="18" t="str">
        <x:f>IF(M99="","",IF(M99&gt;=20,"Critical",IF(M99&gt;=12,"High",IF(M99&gt;=6,"Moderate","Low"))))</x:f>
      </x:c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 t="str">
        <x:f>IF(OR(K100="",L100=""),"",K100*L100)</x:f>
      </x:c>
      <x:c r="N100" s="18" t="str">
        <x:f>IF(M100="","",IF(M100&gt;=20,"Critical",IF(M100&gt;=12,"High",IF(M100&gt;=6,"Moderate","Low"))))</x:f>
      </x:c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 t="str">
        <x:f>IF(OR(K101="",L101=""),"",K101*L101)</x:f>
      </x:c>
      <x:c r="N101" s="18" t="str">
        <x:f>IF(M101="","",IF(M101&gt;=20,"Critical",IF(M101&gt;=12,"High",IF(M101&gt;=6,"Moderate","Low"))))</x:f>
      </x:c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 t="str">
        <x:f>IF(OR(K102="",L102=""),"",K102*L102)</x:f>
      </x:c>
      <x:c r="N102" s="18" t="str">
        <x:f>IF(M102="","",IF(M102&gt;=20,"Critical",IF(M102&gt;=12,"High",IF(M102&gt;=6,"Moderate","Low"))))</x:f>
      </x:c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 t="str">
        <x:f>IF(OR(K103="",L103=""),"",K103*L103)</x:f>
      </x:c>
      <x:c r="N103" s="18" t="str">
        <x:f>IF(M103="","",IF(M103&gt;=20,"Critical",IF(M103&gt;=12,"High",IF(M103&gt;=6,"Moderate","Low"))))</x:f>
      </x:c>
    </x:row>
  </x:sheetData>
  <x:mergeCells>
    <x:mergeCell ref="A1:N1"/>
  </x:mergeCells>
  <x:conditionalFormatting sqref="M4:M1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1">
    <x:dataValidation type="list" sqref="K4:L103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30" hidden="0" customWidth="1"/>
    <x:col min="4" max="4" width="20" hidden="0" customWidth="1"/>
    <x:col min="5" max="5" width="15" hidden="0" customWidth="1"/>
    <x:col min="6" max="6" width="22" hidden="0" customWidth="1"/>
    <x:col min="7" max="7" width="26" hidden="0" customWidth="1"/>
    <x:col min="8" max="8" width="24" hidden="0" customWidth="1"/>
    <x:col min="9" max="9" width="20" hidden="0" customWidth="1"/>
    <x:col min="10" max="10" width="22" hidden="0" customWidth="1"/>
    <x:col min="11" max="11" width="26" hidden="0" customWidth="1"/>
    <x:col min="12" max="12" width="26" hidden="0" customWidth="1"/>
    <x:col min="13" max="13" width="30" hidden="0" customWidth="1"/>
  </x:cols>
  <x:sheetData>
    <x:row r="1">
      <x:c r="A1" s="4" t="str">
        <x:v>Personal Data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Data ID</x:v>
      </x:c>
      <x:c r="B3" s="12" t="str">
        <x:v>Assessment ID</x:v>
      </x:c>
      <x:c r="C3" s="12" t="str">
        <x:v>Data Element / Category</x:v>
      </x:c>
      <x:c r="D3" s="12" t="str">
        <x:v>Data Subject</x:v>
      </x:c>
      <x:c r="E3" s="12" t="str">
        <x:v>Sensitivity</x:v>
      </x:c>
      <x:c r="F3" s="12" t="str">
        <x:v>Source</x:v>
      </x:c>
      <x:c r="G3" s="12" t="str">
        <x:v>System / Location</x:v>
      </x:c>
      <x:c r="H3" s="12" t="str">
        <x:v>Access Roles</x:v>
      </x:c>
      <x:c r="I3" s="12" t="str">
        <x:v>Encryption</x:v>
      </x:c>
      <x:c r="J3" s="12" t="str">
        <x:v>Retention</x:v>
      </x:c>
      <x:c r="K3" s="12" t="str">
        <x:v>Deletion Method</x:v>
      </x:c>
      <x:c r="L3" s="12" t="str">
        <x:v>Accuracy Process</x:v>
      </x:c>
      <x:c r="M3" s="12" t="str">
        <x:v>Notes</x:v>
      </x:c>
    </x:row>
    <x:row r="4">
      <x:c r="A4" s="18" t="str">
        <x:v>D-001</x:v>
      </x:c>
      <x:c r="B4" s="18" t="str">
        <x:v>PIA-001</x:v>
      </x:c>
      <x:c r="C4" s="18" t="str">
        <x:v>Employee identity and contact data</x:v>
      </x:c>
      <x:c r="D4" s="18" t="str">
        <x:v>Employees</x:v>
      </x:c>
      <x:c r="E4" s="18" t="str">
        <x:v>Confidential</x:v>
      </x:c>
      <x:c r="F4" s="18" t="str">
        <x:v>HR system</x:v>
      </x:c>
      <x:c r="G4" s="18" t="str">
        <x:v>Wellness portal</x:v>
      </x:c>
      <x:c r="H4" s="18" t="str">
        <x:v>HR administrators</x:v>
      </x:c>
      <x:c r="I4" s="18" t="str">
        <x:v>In transit and at rest</x:v>
      </x:c>
      <x:c r="J4" s="18" t="str">
        <x:v>Program term + 7 years</x:v>
      </x:c>
      <x:c r="K4" s="18" t="str">
        <x:v>Vendor and internal deletion workflow</x:v>
      </x:c>
      <x:c r="L4" s="18" t="str">
        <x:v>Employee self-service update</x:v>
      </x:c>
      <x:c r="M4" s="18" t="str"/>
    </x:row>
    <x:row r="5">
      <x:c r="A5" s="18" t="str">
        <x:v>D-002</x:v>
      </x:c>
      <x:c r="B5" s="18" t="str">
        <x:v>PIA-001</x:v>
      </x:c>
      <x:c r="C5" s="18" t="str">
        <x:v>Wellness survey responses</x:v>
      </x:c>
      <x:c r="D5" s="18" t="str">
        <x:v>Employees</x:v>
      </x:c>
      <x:c r="E5" s="18" t="str">
        <x:v>Restricted</x:v>
      </x:c>
      <x:c r="F5" s="18" t="str">
        <x:v>Employee submission</x:v>
      </x:c>
      <x:c r="G5" s="18" t="str">
        <x:v>Wellness vendor platform</x:v>
      </x:c>
      <x:c r="H5" s="18" t="str">
        <x:v>Limited vendor staff</x:v>
      </x:c>
      <x:c r="I5" s="18" t="str">
        <x:v>In transit and at rest</x:v>
      </x:c>
      <x:c r="J5" s="18" t="str">
        <x:v>Program term + 7 years</x:v>
      </x:c>
      <x:c r="K5" s="18" t="str">
        <x:v>Contractual deletion</x:v>
      </x:c>
      <x:c r="L5" s="18" t="str">
        <x:v>Participant correction process</x:v>
      </x:c>
      <x:c r="M5" s="18" t="str"/>
    </x:row>
    <x:row r="6">
      <x:c r="A6" s="18" t="str">
        <x:v>D-003</x:v>
      </x:c>
      <x:c r="B6" s="18" t="str">
        <x:v>PIA-002</x:v>
      </x:c>
      <x:c r="C6" s="18" t="str">
        <x:v>IP address and browser data</x:v>
      </x:c>
      <x:c r="D6" s="18" t="str">
        <x:v>Website visitors</x:v>
      </x:c>
      <x:c r="E6" s="18" t="str">
        <x:v>Internal</x:v>
      </x:c>
      <x:c r="F6" s="18" t="str">
        <x:v>Website</x:v>
      </x:c>
      <x:c r="G6" s="18" t="str">
        <x:v>Analytics platform</x:v>
      </x:c>
      <x:c r="H6" s="18" t="str">
        <x:v>Marketing analysts</x:v>
      </x:c>
      <x:c r="I6" s="18" t="str">
        <x:v>In transit and at rest</x:v>
      </x:c>
      <x:c r="J6" s="18" t="str">
        <x:v>14 months</x:v>
      </x:c>
      <x:c r="K6" s="18" t="str">
        <x:v>Platform deletion settings</x:v>
      </x:c>
      <x:c r="L6" s="18" t="str">
        <x:v>Not generally corrected</x:v>
      </x:c>
      <x:c r="M6" s="18" t="str"/>
    </x:row>
    <x:row r="7">
      <x:c r="A7" s="18" t="str">
        <x:v>D-004</x:v>
      </x:c>
      <x:c r="B7" s="18" t="str">
        <x:v>PIA-003</x:v>
      </x:c>
      <x:c r="C7" s="18" t="str">
        <x:v>Visitor identity and visit details</x:v>
      </x:c>
      <x:c r="D7" s="18" t="str">
        <x:v>Visitors</x:v>
      </x:c>
      <x:c r="E7" s="18" t="str">
        <x:v>Confidential</x:v>
      </x:c>
      <x:c r="F7" s="18" t="str">
        <x:v>Front desk</x:v>
      </x:c>
      <x:c r="G7" s="18" t="str">
        <x:v>Visitor management system</x:v>
      </x:c>
      <x:c r="H7" s="18" t="str">
        <x:v>Facilities and security</x:v>
      </x:c>
      <x:c r="I7" s="18" t="str">
        <x:v>In transit and at rest</x:v>
      </x:c>
      <x:c r="J7" s="18" t="str">
        <x:v>90 days</x:v>
      </x:c>
      <x:c r="K7" s="18" t="str">
        <x:v>Automated deletion</x:v>
      </x:c>
      <x:c r="L7" s="18" t="str">
        <x:v>Front desk correction</x:v>
      </x:c>
      <x:c r="M7" s="18" t="str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</x:row>
  </x:sheetData>
  <x:mergeCells>
    <x:mergeCell ref="A1:M1"/>
  </x:mergeCells>
  <x:dataValidations count="1">
    <x:dataValidation type="list" sqref="E4:E203">
      <x:formula1>"Public,Internal,Confidential,Restricted"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23" hidden="0" customWidth="1"/>
    <x:col min="5" max="5" width="30" hidden="0" customWidth="1"/>
    <x:col min="6" max="6" width="25" hidden="0" customWidth="1"/>
    <x:col min="7" max="7" width="22" hidden="0" customWidth="1"/>
    <x:col min="8" max="8" width="16" hidden="0" customWidth="1"/>
    <x:col min="9" max="9" width="14" hidden="0" customWidth="1"/>
    <x:col min="10" max="10" width="26" hidden="0" customWidth="1"/>
    <x:col min="11" max="11" width="34" hidden="0" customWidth="1"/>
  </x:cols>
  <x:sheetData>
    <x:row r="1">
      <x:c r="A1" s="4" t="str">
        <x:v>Personal Data Flow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Flow ID</x:v>
      </x:c>
      <x:c r="B3" s="12" t="str">
        <x:v>Assessment ID</x:v>
      </x:c>
      <x:c r="C3" s="12" t="str">
        <x:v>From</x:v>
      </x:c>
      <x:c r="D3" s="12" t="str">
        <x:v>To</x:v>
      </x:c>
      <x:c r="E3" s="12" t="str">
        <x:v>Data Transferred</x:v>
      </x:c>
      <x:c r="F3" s="12" t="str">
        <x:v>Purpose</x:v>
      </x:c>
      <x:c r="G3" s="12" t="str">
        <x:v>Method / Protocol</x:v>
      </x:c>
      <x:c r="H3" s="12" t="str">
        <x:v>Frequency</x:v>
      </x:c>
      <x:c r="I3" s="12" t="str">
        <x:v>Cross-Border</x:v>
      </x:c>
      <x:c r="J3" s="12" t="str">
        <x:v>Contract / Agreement</x:v>
      </x:c>
      <x:c r="K3" s="12" t="str">
        <x:v>Safeguards</x:v>
      </x:c>
    </x:row>
    <x:row r="4">
      <x:c r="A4" s="18" t="str">
        <x:v>F-001</x:v>
      </x:c>
      <x:c r="B4" s="18" t="str">
        <x:v>PIA-001</x:v>
      </x:c>
      <x:c r="C4" s="18" t="str">
        <x:v>Employee browser</x:v>
      </x:c>
      <x:c r="D4" s="18" t="str">
        <x:v>Wellness vendor</x:v>
      </x:c>
      <x:c r="E4" s="18" t="str">
        <x:v>Identity and survey responses</x:v>
      </x:c>
      <x:c r="F4" s="18" t="str">
        <x:v>Enrollment</x:v>
      </x:c>
      <x:c r="G4" s="18" t="str">
        <x:v>HTTPS</x:v>
      </x:c>
      <x:c r="H4" s="18" t="str">
        <x:v>As submitted</x:v>
      </x:c>
      <x:c r="I4" s="18" t="str">
        <x:v>No</x:v>
      </x:c>
      <x:c r="J4" s="18" t="str">
        <x:v>Vendor agreement</x:v>
      </x:c>
      <x:c r="K4" s="18" t="str">
        <x:v>Encryption; MFA; limited access</x:v>
      </x:c>
    </x:row>
    <x:row r="5">
      <x:c r="A5" s="18" t="str">
        <x:v>F-002</x:v>
      </x:c>
      <x:c r="B5" s="18" t="str">
        <x:v>PIA-001</x:v>
      </x:c>
      <x:c r="C5" s="18" t="str">
        <x:v>HR system</x:v>
      </x:c>
      <x:c r="D5" s="18" t="str">
        <x:v>Wellness vendor</x:v>
      </x:c>
      <x:c r="E5" s="18" t="str">
        <x:v>Eligibility list</x:v>
      </x:c>
      <x:c r="F5" s="18" t="str">
        <x:v>Program eligibility</x:v>
      </x:c>
      <x:c r="G5" s="18" t="str">
        <x:v>Secure file transfer</x:v>
      </x:c>
      <x:c r="H5" s="18" t="str">
        <x:v>Monthly</x:v>
      </x:c>
      <x:c r="I5" s="18" t="str">
        <x:v>No</x:v>
      </x:c>
      <x:c r="J5" s="18" t="str">
        <x:v>Vendor agreement</x:v>
      </x:c>
      <x:c r="K5" s="18" t="str">
        <x:v>Encryption; access review</x:v>
      </x:c>
    </x:row>
    <x:row r="6">
      <x:c r="A6" s="18" t="str">
        <x:v>F-003</x:v>
      </x:c>
      <x:c r="B6" s="18" t="str">
        <x:v>PIA-002</x:v>
      </x:c>
      <x:c r="C6" s="18" t="str">
        <x:v>Website</x:v>
      </x:c>
      <x:c r="D6" s="18" t="str">
        <x:v>Analytics provider</x:v>
      </x:c>
      <x:c r="E6" s="18" t="str">
        <x:v>Usage and device data</x:v>
      </x:c>
      <x:c r="F6" s="18" t="str">
        <x:v>Analytics</x:v>
      </x:c>
      <x:c r="G6" s="18" t="str">
        <x:v>HTTPS</x:v>
      </x:c>
      <x:c r="H6" s="18" t="str">
        <x:v>Continuous</x:v>
      </x:c>
      <x:c r="I6" s="18" t="str">
        <x:v>Possible</x:v>
      </x:c>
      <x:c r="J6" s="18" t="str">
        <x:v>Service terms / DPA</x:v>
      </x:c>
      <x:c r="K6" s="18" t="str">
        <x:v>Data minimization; retention settings</x:v>
      </x:c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</x:row>
  </x:sheetData>
  <x:mergeCells>
    <x:mergeCell ref="A1:K1"/>
  </x:mergeCells>
  <x:dataValidations count="1">
    <x:dataValidation type="list" sqref="I4:I203">
      <x:formula1>"No,Yes,Possible,Unknown"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34" hidden="0" customWidth="1"/>
    <x:col min="4" max="4" width="38" hidden="0" customWidth="1"/>
    <x:col min="5" max="5" width="12" hidden="0" customWidth="1"/>
    <x:col min="6" max="6" width="20" hidden="0" customWidth="1"/>
    <x:col min="7" max="7" width="14" hidden="0" customWidth="1"/>
    <x:col min="8" max="8" width="16" hidden="0" customWidth="1"/>
    <x:col min="9" max="9" width="28" hidden="0" customWidth="1"/>
    <x:col min="10" max="10" width="14" hidden="0" customWidth="1"/>
  </x:cols>
  <x:sheetData>
    <x:row r="1">
      <x:c r="A1" s="4" t="str">
        <x:v>Privacy Risk Mitigation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Assessment ID</x:v>
      </x:c>
      <x:c r="C3" s="12" t="str">
        <x:v>Privacy Risk / Gap</x:v>
      </x:c>
      <x:c r="D3" s="12" t="str">
        <x:v>Mitigation</x:v>
      </x:c>
      <x:c r="E3" s="12" t="str">
        <x:v>Priority</x:v>
      </x:c>
      <x:c r="F3" s="12" t="str">
        <x:v>Owner</x:v>
      </x:c>
      <x:c r="G3" s="12" t="str">
        <x:v>Target Date</x:v>
      </x:c>
      <x:c r="H3" s="12" t="str">
        <x:v>Status</x:v>
      </x:c>
      <x:c r="I3" s="12" t="str">
        <x:v>Validation Evidence</x:v>
      </x:c>
      <x:c r="J3" s="12" t="str">
        <x:v>Residual Risk</x:v>
      </x:c>
    </x:row>
    <x:row r="4">
      <x:c r="A4" s="18" t="str">
        <x:v>PM-001</x:v>
      </x:c>
      <x:c r="B4" s="18" t="str">
        <x:v>PIA-001</x:v>
      </x:c>
      <x:c r="C4" s="18" t="str">
        <x:v>Vendor access is broader than necessary</x:v>
      </x:c>
      <x:c r="D4" s="18" t="str">
        <x:v>Limit vendor roles and document quarterly review</x:v>
      </x:c>
      <x:c r="E4" s="18" t="str">
        <x:v>High</x:v>
      </x:c>
      <x:c r="F4" s="18" t="str">
        <x:v>HRIS Owner</x:v>
      </x:c>
      <x:c r="G4" s="22" t="n">
        <x:v>46280</x:v>
      </x:c>
      <x:c r="H4" s="18" t="str">
        <x:v>In Progress</x:v>
      </x:c>
      <x:c r="I4" s="18" t="str">
        <x:v>Updated role matrix</x:v>
      </x:c>
      <x:c r="J4" s="18" t="str">
        <x:v>Moderate</x:v>
      </x:c>
    </x:row>
    <x:row r="5">
      <x:c r="A5" s="18" t="str">
        <x:v>PM-002</x:v>
      </x:c>
      <x:c r="B5" s="18" t="str">
        <x:v>PIA-002</x:v>
      </x:c>
      <x:c r="C5" s="18" t="str">
        <x:v>Cross-border processing is not fully documented</x:v>
      </x:c>
      <x:c r="D5" s="18" t="str">
        <x:v>Confirm hosting locations and contractual safeguards</x:v>
      </x:c>
      <x:c r="E5" s="18" t="str">
        <x:v>High</x:v>
      </x:c>
      <x:c r="F5" s="18" t="str">
        <x:v>Privacy Officer</x:v>
      </x:c>
      <x:c r="G5" s="22" t="n">
        <x:v>46266</x:v>
      </x:c>
      <x:c r="H5" s="18" t="str">
        <x:v>Planned</x:v>
      </x:c>
      <x:c r="I5" s="18" t="str"/>
      <x:c r="J5" s="18" t="str">
        <x:v>Unknown</x:v>
      </x:c>
    </x:row>
    <x:row r="6">
      <x:c r="A6" s="18" t="str">
        <x:v>PM-003</x:v>
      </x:c>
      <x:c r="B6" s="18" t="str">
        <x:v>PIA-003</x:v>
      </x:c>
      <x:c r="C6" s="18" t="str">
        <x:v>Manual deletion checks</x:v>
      </x:c>
      <x:c r="D6" s="18" t="str">
        <x:v>Configure automated retention and deletion report</x:v>
      </x:c>
      <x:c r="E6" s="18" t="str">
        <x:v>Moderate</x:v>
      </x:c>
      <x:c r="F6" s="18" t="str">
        <x:v>Facilities IT</x:v>
      </x:c>
      <x:c r="G6" s="22" t="n">
        <x:v>46264</x:v>
      </x:c>
      <x:c r="H6" s="18" t="str">
        <x:v>Planned</x:v>
      </x:c>
      <x:c r="I6" s="18" t="str"/>
      <x:c r="J6" s="18" t="str">
        <x:v>Low</x:v>
      </x:c>
    </x:row>
    <x:row r="7">
      <x:c r="A7" s="18"/>
      <x:c r="B7" s="18"/>
      <x:c r="C7" s="18"/>
      <x:c r="D7" s="18"/>
      <x:c r="E7" s="18"/>
      <x:c r="F7" s="18"/>
      <x:c r="G7" s="22"/>
      <x:c r="H7" s="18"/>
      <x:c r="I7" s="18"/>
      <x:c r="J7" s="18"/>
    </x:row>
    <x:row r="8">
      <x:c r="A8" s="18"/>
      <x:c r="B8" s="18"/>
      <x:c r="C8" s="18"/>
      <x:c r="D8" s="18"/>
      <x:c r="E8" s="18"/>
      <x:c r="F8" s="18"/>
      <x:c r="G8" s="22"/>
      <x:c r="H8" s="18"/>
      <x:c r="I8" s="18"/>
      <x:c r="J8" s="18"/>
    </x:row>
    <x:row r="9">
      <x:c r="A9" s="18"/>
      <x:c r="B9" s="18"/>
      <x:c r="C9" s="18"/>
      <x:c r="D9" s="18"/>
      <x:c r="E9" s="18"/>
      <x:c r="F9" s="18"/>
      <x:c r="G9" s="22"/>
      <x:c r="H9" s="18"/>
      <x:c r="I9" s="18"/>
      <x:c r="J9" s="18"/>
    </x:row>
    <x:row r="10">
      <x:c r="A10" s="18"/>
      <x:c r="B10" s="18"/>
      <x:c r="C10" s="18"/>
      <x:c r="D10" s="18"/>
      <x:c r="E10" s="18"/>
      <x:c r="F10" s="18"/>
      <x:c r="G10" s="22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18"/>
      <x:c r="G11" s="22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22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22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18"/>
      <x:c r="G14" s="22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18"/>
      <x:c r="G15" s="22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18"/>
      <x:c r="G16" s="22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22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22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22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22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22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22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18"/>
      <x:c r="G23" s="22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18"/>
      <x:c r="G24" s="22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18"/>
      <x:c r="G25" s="22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18"/>
      <x:c r="G26" s="22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18"/>
      <x:c r="G27" s="22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18"/>
      <x:c r="G28" s="22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22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22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22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22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22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22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22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18"/>
      <x:c r="G36" s="22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18"/>
      <x:c r="G37" s="22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18"/>
      <x:c r="G38" s="22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18"/>
      <x:c r="G39" s="22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18"/>
      <x:c r="G40" s="22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18"/>
      <x:c r="G41" s="22"/>
      <x:c r="H41" s="18"/>
      <x:c r="I41" s="18"/>
      <x:c r="J41" s="18"/>
    </x:row>
    <x:row r="42">
      <x:c r="A42" s="18"/>
      <x:c r="B42" s="18"/>
      <x:c r="C42" s="18"/>
      <x:c r="D42" s="18"/>
      <x:c r="E42" s="18"/>
      <x:c r="F42" s="18"/>
      <x:c r="G42" s="22"/>
      <x:c r="H42" s="18"/>
      <x:c r="I42" s="18"/>
      <x:c r="J42" s="18"/>
    </x:row>
    <x:row r="43">
      <x:c r="A43" s="18"/>
      <x:c r="B43" s="18"/>
      <x:c r="C43" s="18"/>
      <x:c r="D43" s="18"/>
      <x:c r="E43" s="18"/>
      <x:c r="F43" s="18"/>
      <x:c r="G43" s="22"/>
      <x:c r="H43" s="18"/>
      <x:c r="I43" s="18"/>
      <x:c r="J43" s="18"/>
    </x:row>
    <x:row r="44">
      <x:c r="A44" s="18"/>
      <x:c r="B44" s="18"/>
      <x:c r="C44" s="18"/>
      <x:c r="D44" s="18"/>
      <x:c r="E44" s="18"/>
      <x:c r="F44" s="18"/>
      <x:c r="G44" s="22"/>
      <x:c r="H44" s="18"/>
      <x:c r="I44" s="18"/>
      <x:c r="J44" s="18"/>
    </x:row>
    <x:row r="45">
      <x:c r="A45" s="18"/>
      <x:c r="B45" s="18"/>
      <x:c r="C45" s="18"/>
      <x:c r="D45" s="18"/>
      <x:c r="E45" s="18"/>
      <x:c r="F45" s="18"/>
      <x:c r="G45" s="22"/>
      <x:c r="H45" s="18"/>
      <x:c r="I45" s="18"/>
      <x:c r="J45" s="18"/>
    </x:row>
    <x:row r="46">
      <x:c r="A46" s="18"/>
      <x:c r="B46" s="18"/>
      <x:c r="C46" s="18"/>
      <x:c r="D46" s="18"/>
      <x:c r="E46" s="18"/>
      <x:c r="F46" s="18"/>
      <x:c r="G46" s="22"/>
      <x:c r="H46" s="18"/>
      <x:c r="I46" s="18"/>
      <x:c r="J46" s="18"/>
    </x:row>
    <x:row r="47">
      <x:c r="A47" s="18"/>
      <x:c r="B47" s="18"/>
      <x:c r="C47" s="18"/>
      <x:c r="D47" s="18"/>
      <x:c r="E47" s="18"/>
      <x:c r="F47" s="18"/>
      <x:c r="G47" s="22"/>
      <x:c r="H47" s="18"/>
      <x:c r="I47" s="18"/>
      <x:c r="J47" s="18"/>
    </x:row>
    <x:row r="48">
      <x:c r="A48" s="18"/>
      <x:c r="B48" s="18"/>
      <x:c r="C48" s="18"/>
      <x:c r="D48" s="18"/>
      <x:c r="E48" s="18"/>
      <x:c r="F48" s="18"/>
      <x:c r="G48" s="22"/>
      <x:c r="H48" s="18"/>
      <x:c r="I48" s="18"/>
      <x:c r="J48" s="18"/>
    </x:row>
    <x:row r="49">
      <x:c r="A49" s="18"/>
      <x:c r="B49" s="18"/>
      <x:c r="C49" s="18"/>
      <x:c r="D49" s="18"/>
      <x:c r="E49" s="18"/>
      <x:c r="F49" s="18"/>
      <x:c r="G49" s="22"/>
      <x:c r="H49" s="18"/>
      <x:c r="I49" s="18"/>
      <x:c r="J49" s="18"/>
    </x:row>
    <x:row r="50">
      <x:c r="A50" s="18"/>
      <x:c r="B50" s="18"/>
      <x:c r="C50" s="18"/>
      <x:c r="D50" s="18"/>
      <x:c r="E50" s="18"/>
      <x:c r="F50" s="18"/>
      <x:c r="G50" s="22"/>
      <x:c r="H50" s="18"/>
      <x:c r="I50" s="18"/>
      <x:c r="J50" s="18"/>
    </x:row>
    <x:row r="51">
      <x:c r="A51" s="18"/>
      <x:c r="B51" s="18"/>
      <x:c r="C51" s="18"/>
      <x:c r="D51" s="18"/>
      <x:c r="E51" s="18"/>
      <x:c r="F51" s="18"/>
      <x:c r="G51" s="22"/>
      <x:c r="H51" s="18"/>
      <x:c r="I51" s="18"/>
      <x:c r="J51" s="18"/>
    </x:row>
    <x:row r="52">
      <x:c r="A52" s="18"/>
      <x:c r="B52" s="18"/>
      <x:c r="C52" s="18"/>
      <x:c r="D52" s="18"/>
      <x:c r="E52" s="18"/>
      <x:c r="F52" s="18"/>
      <x:c r="G52" s="22"/>
      <x:c r="H52" s="18"/>
      <x:c r="I52" s="18"/>
      <x:c r="J52" s="18"/>
    </x:row>
    <x:row r="53">
      <x:c r="A53" s="18"/>
      <x:c r="B53" s="18"/>
      <x:c r="C53" s="18"/>
      <x:c r="D53" s="18"/>
      <x:c r="E53" s="18"/>
      <x:c r="F53" s="18"/>
      <x:c r="G53" s="22"/>
      <x:c r="H53" s="18"/>
      <x:c r="I53" s="18"/>
      <x:c r="J53" s="18"/>
    </x:row>
    <x:row r="54">
      <x:c r="A54" s="18"/>
      <x:c r="B54" s="18"/>
      <x:c r="C54" s="18"/>
      <x:c r="D54" s="18"/>
      <x:c r="E54" s="18"/>
      <x:c r="F54" s="18"/>
      <x:c r="G54" s="22"/>
      <x:c r="H54" s="18"/>
      <x:c r="I54" s="18"/>
      <x:c r="J54" s="18"/>
    </x:row>
    <x:row r="55">
      <x:c r="A55" s="18"/>
      <x:c r="B55" s="18"/>
      <x:c r="C55" s="18"/>
      <x:c r="D55" s="18"/>
      <x:c r="E55" s="18"/>
      <x:c r="F55" s="18"/>
      <x:c r="G55" s="22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18"/>
      <x:c r="G56" s="22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22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22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22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22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22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22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22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22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22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22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22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22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22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22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22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22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22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22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22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22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22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22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22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22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22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22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22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22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22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22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22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22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22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22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22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22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22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22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22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22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22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22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22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22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22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22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22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22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22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22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22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22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22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22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22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22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22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22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22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22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22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22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22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22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22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22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22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22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22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22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22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22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22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22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22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22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22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22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22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22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22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22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22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22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22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22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22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22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22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22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22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22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22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22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22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22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22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22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22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22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22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22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22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22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22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22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22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22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22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22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22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22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22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22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22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22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22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22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22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22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22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22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22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22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22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22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22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22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22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22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22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22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22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22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22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22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22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22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22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22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22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22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22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22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22"/>
      <x:c r="H201" s="18"/>
      <x:c r="I201" s="18"/>
      <x:c r="J201" s="18"/>
    </x:row>
    <x:row r="202">
      <x:c r="A202" s="18"/>
      <x:c r="B202" s="18"/>
      <x:c r="C202" s="18"/>
      <x:c r="D202" s="18"/>
      <x:c r="E202" s="18"/>
      <x:c r="F202" s="18"/>
      <x:c r="G202" s="22"/>
      <x:c r="H202" s="18"/>
      <x:c r="I202" s="18"/>
      <x:c r="J202" s="18"/>
    </x:row>
    <x:row r="203">
      <x:c r="A203" s="18"/>
      <x:c r="B203" s="18"/>
      <x:c r="C203" s="18"/>
      <x:c r="D203" s="18"/>
      <x:c r="E203" s="18"/>
      <x:c r="F203" s="18"/>
      <x:c r="G203" s="22"/>
      <x:c r="H203" s="18"/>
      <x:c r="I203" s="18"/>
      <x:c r="J203" s="18"/>
    </x:row>
  </x:sheetData>
  <x:mergeCells>
    <x:mergeCell ref="A1:J1"/>
  </x:mergeCells>
  <x:dataValidations count="3">
    <x:dataValidation type="list" sqref="E4:E203">
      <x:formula1>"Low,Moderate,High,Critical"</x:formula1>
    </x:dataValidation>
    <x:dataValidation type="list" sqref="H4:H203">
      <x:formula1>"Not Started,Planned,In Progress,Complete,Accepted"</x:formula1>
    </x:dataValidation>
    <x:dataValidation type="list" sqref="J4:J203">
      <x:formula1>"Low,Moderate,High,Critical,Unknown"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5" hidden="0" customWidth="1"/>
    <x:col min="3" max="3" width="42" hidden="0" customWidth="1"/>
  </x:cols>
  <x:sheetData>
    <x:row r="1">
      <x:c r="A1" s="12" t="str">
        <x:v>Official Resource</x:v>
      </x:c>
      <x:c r="B1" s="12" t="str">
        <x:v>URL</x:v>
      </x:c>
      <x:c r="C1" s="12" t="str">
        <x:v>Use</x:v>
      </x:c>
    </x:row>
    <x:row r="2">
      <x:c r="A2" t="str">
        <x:v>NIST Privacy Framework</x:v>
      </x:c>
      <x:c r="B2" t="str">
        <x:v>https://www.nist.gov/privacy-framework</x:v>
      </x:c>
      <x:c r="C2" t="str">
        <x:v>Privacy risk management reference</x:v>
      </x:c>
    </x:row>
    <x:row r="3">
      <x:c r="A3" t="str">
        <x:v>NIST Privacy Framework Resource Repository</x:v>
      </x:c>
      <x:c r="B3" t="str">
        <x:v>https://www.nist.gov/privacy-framework/privacy-framework-resource-repository</x:v>
      </x:c>
      <x:c r="C3" t="str">
        <x:v>Supporting resources</x:v>
      </x:c>
    </x:row>
    <x:row r="4">
      <x:c r="A4" t="str">
        <x:v>HHS HIPAA Privacy Rule</x:v>
      </x:c>
      <x:c r="B4" t="str">
        <x:v>https://www.hhs.gov/hipaa/for-professionals/privacy/index.html</x:v>
      </x:c>
      <x:c r="C4" t="str">
        <x:v>Healthcare privacy guidance</x:v>
      </x:c>
    </x:row>
    <x:row r="5">
      <x:c r="A5" t="str">
        <x:v>FTC Privacy and Security</x:v>
      </x:c>
      <x:c r="B5" t="str">
        <x:v>https://www.ftc.gov/business-guidance/privacy-security</x:v>
      </x:c>
      <x:c r="C5" t="str">
        <x:v>Business privacy and security guidance</x:v>
      </x:c>
    </x:row>
  </x:sheetData>
  <x:pageMargins left="0.7" right="0.7" top="0.75" bottom="0.75" header="0.3" footer="0.3"/>
</x:worksheet>
</file>