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43f1eb61e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d8fec7c3c8466b"/>
    <x:sheet xmlns:r="http://schemas.openxmlformats.org/officeDocument/2006/relationships" name="Requirements Register" sheetId="2" r:id="R10f46be6c6fe4762"/>
    <x:sheet xmlns:r="http://schemas.openxmlformats.org/officeDocument/2006/relationships" name="Abuse Cases" sheetId="3" r:id="R54525d5216234ef1"/>
    <x:sheet xmlns:r="http://schemas.openxmlformats.org/officeDocument/2006/relationships" name="Traceability Matrix" sheetId="4" r:id="R8ce1df74db0e4023"/>
    <x:sheet xmlns:r="http://schemas.openxmlformats.org/officeDocument/2006/relationships" name="Compliance Mapping" sheetId="5" r:id="R4cbb48585c5346d4"/>
    <x:sheet xmlns:r="http://schemas.openxmlformats.org/officeDocument/2006/relationships" name="Validation Plan" sheetId="6" r:id="R1d7685fb4ff3453f"/>
    <x:sheet xmlns:r="http://schemas.openxmlformats.org/officeDocument/2006/relationships" name="Instructions" sheetId="7" r:id="Rd89e48bd39294b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7598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78d99d6ea04648" /><Relationship Type="http://schemas.openxmlformats.org/officeDocument/2006/relationships/theme" Target="/xl/theme/theme1.xml" Id="Rab9ccce04b974d0a" /><Relationship Type="http://schemas.openxmlformats.org/officeDocument/2006/relationships/sharedStrings" Target="/xl/sharedStrings.xml" Id="R87fefc41e1dc4bb1" /><Relationship Type="http://schemas.openxmlformats.org/officeDocument/2006/relationships/worksheet" Target="/xl/worksheets/sheet1.xml" Id="Reed8fec7c3c8466b" /><Relationship Type="http://schemas.openxmlformats.org/officeDocument/2006/relationships/worksheet" Target="/xl/worksheets/sheet2.xml" Id="R10f46be6c6fe4762" /><Relationship Type="http://schemas.openxmlformats.org/officeDocument/2006/relationships/worksheet" Target="/xl/worksheets/sheet3.xml" Id="R54525d5216234ef1" /><Relationship Type="http://schemas.openxmlformats.org/officeDocument/2006/relationships/worksheet" Target="/xl/worksheets/sheet4.xml" Id="R8ce1df74db0e4023" /><Relationship Type="http://schemas.openxmlformats.org/officeDocument/2006/relationships/worksheet" Target="/xl/worksheets/sheet5.xml" Id="R4cbb48585c5346d4" /><Relationship Type="http://schemas.openxmlformats.org/officeDocument/2006/relationships/worksheet" Target="/xl/worksheets/sheet6.xml" Id="R1d7685fb4ff3453f" /><Relationship Type="http://schemas.openxmlformats.org/officeDocument/2006/relationships/worksheet" Target="/xl/worksheets/sheet7.xml" Id="Rd89e48bd39294b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c98769bb474c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Planning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c98769bb474c5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RequirementsWorkbookRequirementsRegister" displayName="TSecurityRequirementsWorkbookRequirementsRegister" ref="A3:J7" headerRowCount="1">
  <x:tableColumns count="10">
    <x:tableColumn id="1" name="Requirement ID"/>
    <x:tableColumn id="2" name="Application"/>
    <x:tableColumn id="3" name="Requirement"/>
    <x:tableColumn id="4" name="Requirement Type"/>
    <x:tableColumn id="5" name="Security Domain"/>
    <x:tableColumn id="6" name="Priority"/>
    <x:tableColumn id="7" name="Source"/>
    <x:tableColumn id="8" name="Owner"/>
    <x:tableColumn id="9" name="Acceptance Criteria"/>
    <x:tableColumn id="1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RequirementsWorkbookAbuseCases" displayName="TSecurityRequirementsWorkbookAbuseCases" ref="A3:J6" headerRowCount="1">
  <x:tableColumns count="10">
    <x:tableColumn id="1" name="Abuse Case ID"/>
    <x:tableColumn id="2" name="Application"/>
    <x:tableColumn id="3" name="Actor"/>
    <x:tableColumn id="4" name="Misuse Goal"/>
    <x:tableColumn id="5" name="Precondition"/>
    <x:tableColumn id="6" name="Attack Path"/>
    <x:tableColumn id="7" name="Security Requirement"/>
    <x:tableColumn id="8" name="Likelihood"/>
    <x:tableColumn id="9" name="Impact"/>
    <x:tableColumn id="10" name="Risk Score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RequirementsWorkbookTraceabilityMatrix" displayName="TSecurityRequirementsWorkbookTraceabilityMatrix" ref="A3:I6" headerRowCount="1">
  <x:tableColumns count="9">
    <x:tableColumn id="1" name="Trace ID"/>
    <x:tableColumn id="2" name="Requirement ID"/>
    <x:tableColumn id="3" name="Design Component"/>
    <x:tableColumn id="4" name="Implementation Item"/>
    <x:tableColumn id="5" name="Test Case"/>
    <x:tableColumn id="6" name="Evidence"/>
    <x:tableColumn id="7" name="Owner"/>
    <x:tableColumn id="8" name="Coverage Status"/>
    <x:tableColumn id="9" name="Gap"/>
  </x:tableColumns>
  <x:tableStyleInfo name="TableStyleMedium2" showRowStripes="1"/>
</x:table>
</file>

<file path=xl/tables/table4.xml><?xml version="1.0" encoding="utf-8"?>
<x:table xmlns:x="http://schemas.openxmlformats.org/spreadsheetml/2006/main" id="4" name="TSecurityRequirementsWorkbookComplianceMapping" displayName="TSecurityRequirementsWorkbookComplianceMapping" ref="A3:H6" headerRowCount="1">
  <x:tableColumns count="8">
    <x:tableColumn id="1" name="Map ID"/>
    <x:tableColumn id="2" name="Requirement ID"/>
    <x:tableColumn id="3" name="Framework / Policy"/>
    <x:tableColumn id="4" name="Reference"/>
    <x:tableColumn id="5" name="Mapping Rationale"/>
    <x:tableColumn id="6" name="Evidence Needed"/>
    <x:tableColumn id="7" name="Owner"/>
    <x:tableColumn id="8" name="Review Status"/>
  </x:tableColumns>
  <x:tableStyleInfo name="TableStyleMedium2" showRowStripes="1"/>
</x:table>
</file>

<file path=xl/tables/table5.xml><?xml version="1.0" encoding="utf-8"?>
<x:table xmlns:x="http://schemas.openxmlformats.org/spreadsheetml/2006/main" id="5" name="TSecurityRequirementsWorkbookValidationPlan" displayName="TSecurityRequirementsWorkbookValidationPlan" ref="A3:J6" headerRowCount="1">
  <x:tableColumns count="10">
    <x:tableColumn id="1" name="Validation ID"/>
    <x:tableColumn id="2" name="Requirement ID"/>
    <x:tableColumn id="3" name="Validation Method"/>
    <x:tableColumn id="4" name="Test Owner"/>
    <x:tableColumn id="5" name="Environment"/>
    <x:tableColumn id="6" name="Planned Date"/>
    <x:tableColumn id="7" name="Result"/>
    <x:tableColumn id="8" name="Evidence"/>
    <x:tableColumn id="9" name="Defect ID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41ed22f94d4a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e01361a5b646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cbf0b8b0d94b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848fd62b184b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c57b16ee544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ffdb5d0a7949f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</x:cols>
  <x:sheetData>
    <x:row r="1">
      <x:c r="A1" s="4" t="str">
        <x:v>Security Requirements Workbook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Planning Worksheets</x:v>
      </x:c>
      <x:c r="B4" t="n">
        <x:v>5</x:v>
      </x:c>
      <x:c r="D4" t="str">
        <x:v>Requirements Register</x:v>
      </x:c>
      <x:c r="E4" t="n">
        <x:f>COUNTIF('Requirements Register'!A4:A303,"&lt;&gt;")</x:f>
        <x:v>4</x:v>
      </x:c>
    </x:row>
    <x:row r="5">
      <x:c r="A5" t="str">
        <x:v>Tracked Records</x:v>
      </x:c>
      <x:c r="B5" t="n">
        <x:f>COUNTIF('Requirements Register'!A4:A303,"&lt;&gt;")+COUNTIF('Abuse Cases'!A4:A303,"&lt;&gt;")+COUNTIF('Traceability Matrix'!A4:A303,"&lt;&gt;")+COUNTIF('Compliance Mapping'!A4:A303,"&lt;&gt;")+COUNTIF('Validation Plan'!A4:A303,"&lt;&gt;")</x:f>
        <x:v>16</x:v>
      </x:c>
      <x:c r="D5" t="str">
        <x:v>Abuse Cases</x:v>
      </x:c>
      <x:c r="E5" t="n">
        <x:f>COUNTIF('Abuse Cases'!A4:A303,"&lt;&gt;")</x:f>
        <x:v>3</x:v>
      </x:c>
    </x:row>
    <x:row r="6">
      <x:c r="A6" t="str">
        <x:v>Open / Planned Items</x:v>
      </x:c>
      <x:c r="B6" t="n">
        <x:v>6</x:v>
      </x:c>
      <x:c r="D6" t="str">
        <x:v>Traceability Matrix</x:v>
      </x:c>
      <x:c r="E6" t="n">
        <x:f>COUNTIF('Traceability Matrix'!A4:A303,"&lt;&gt;")</x:f>
        <x:v>3</x:v>
      </x:c>
    </x:row>
    <x:row r="7">
      <x:c r="A7" t="str">
        <x:v>Needs Attention</x:v>
      </x:c>
      <x:c r="B7" t="n">
        <x:v>3</x:v>
      </x:c>
      <x:c r="D7" t="str">
        <x:v>Compliance Mapping</x:v>
      </x:c>
      <x:c r="E7" t="n">
        <x:f>COUNTIF('Compliance Mapping'!A4:A303,"&lt;&gt;")</x:f>
        <x:v>3</x:v>
      </x:c>
    </x:row>
    <x:row r="8">
      <x:c r="A8" t="str">
        <x:v>Completed / Approved</x:v>
      </x:c>
      <x:c r="B8" t="n">
        <x:v>3</x:v>
      </x:c>
      <x:c r="D8" t="str">
        <x:v>Validation Plan</x:v>
      </x:c>
      <x:c r="E8" t="n">
        <x:f>COUNTIF('Validation Plan'!A4:A303,"&lt;&gt;")</x:f>
        <x:v>3</x:v>
      </x:c>
    </x:row>
    <x:row r="9">
      <x:c r="A9" t="str">
        <x:v>Coverage / Pass Average</x:v>
      </x:c>
      <x:c r="B9" t="n">
        <x:v>0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ad41ed22f94d4a4a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32" hidden="0" customWidth="1"/>
    <x:col min="4" max="4" width="32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  <x:col min="9" max="9" width="16" hidden="0" customWidth="1"/>
    <x:col min="10" max="10" width="16" hidden="0" customWidth="1"/>
  </x:cols>
  <x:sheetData>
    <x:row r="1">
      <x:c r="A1" s="4" t="str">
        <x:v>Requirements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Requirement ID</x:v>
      </x:c>
      <x:c r="B3" s="12" t="str">
        <x:v>Application</x:v>
      </x:c>
      <x:c r="C3" s="12" t="str">
        <x:v>Requirement</x:v>
      </x:c>
      <x:c r="D3" s="12" t="str">
        <x:v>Requirement Type</x:v>
      </x:c>
      <x:c r="E3" s="12" t="str">
        <x:v>Security Domain</x:v>
      </x:c>
      <x:c r="F3" s="12" t="str">
        <x:v>Priority</x:v>
      </x:c>
      <x:c r="G3" s="12" t="str">
        <x:v>Source</x:v>
      </x:c>
      <x:c r="H3" s="12" t="str">
        <x:v>Owner</x:v>
      </x:c>
      <x:c r="I3" s="12" t="str">
        <x:v>Acceptance Criteria</x:v>
      </x:c>
      <x:c r="J3" s="12" t="str">
        <x:v>Status</x:v>
      </x:c>
    </x:row>
    <x:row r="4">
      <x:c r="A4" s="20" t="str">
        <x:v>REQ-001</x:v>
      </x:c>
      <x:c r="B4" s="20" t="str">
        <x:v>Customer Portal</x:v>
      </x:c>
      <x:c r="C4" s="20" t="str">
        <x:v>Require phishing-resistant MFA for privileged administration</x:v>
      </x:c>
      <x:c r="D4" s="20" t="str">
        <x:v>Functional</x:v>
      </x:c>
      <x:c r="E4" s="20" t="str">
        <x:v>Authentication</x:v>
      </x:c>
      <x:c r="F4" s="20" t="str">
        <x:v>Critical</x:v>
      </x:c>
      <x:c r="G4" s="20" t="str">
        <x:v>Risk assessment</x:v>
      </x:c>
      <x:c r="H4" s="20" t="str">
        <x:v>Product Owner</x:v>
      </x:c>
      <x:c r="I4" s="20" t="str">
        <x:v>All privileged accounts use approved MFA</x:v>
      </x:c>
      <x:c r="J4" s="20" t="str">
        <x:v>Approved</x:v>
      </x:c>
    </x:row>
    <x:row r="5">
      <x:c r="A5" s="20" t="str">
        <x:v>REQ-002</x:v>
      </x:c>
      <x:c r="B5" s="20" t="str">
        <x:v>Customer Portal</x:v>
      </x:c>
      <x:c r="C5" s="20" t="str">
        <x:v>Encrypt customer data in transit and at rest</x:v>
      </x:c>
      <x:c r="D5" s="20" t="str">
        <x:v>Non-Functional</x:v>
      </x:c>
      <x:c r="E5" s="20" t="str">
        <x:v>Data Protection</x:v>
      </x:c>
      <x:c r="F5" s="20" t="str">
        <x:v>Critical</x:v>
      </x:c>
      <x:c r="G5" s="20" t="str">
        <x:v>Architecture standard</x:v>
      </x:c>
      <x:c r="H5" s="20" t="str">
        <x:v>Security Architect</x:v>
      </x:c>
      <x:c r="I5" s="20" t="str">
        <x:v>Approved cryptography verified</x:v>
      </x:c>
      <x:c r="J5" s="20" t="str">
        <x:v>Approved</x:v>
      </x:c>
    </x:row>
    <x:row r="6">
      <x:c r="A6" s="20" t="str">
        <x:v>REQ-003</x:v>
      </x:c>
      <x:c r="B6" s="20" t="str">
        <x:v>Customer Portal</x:v>
      </x:c>
      <x:c r="C6" s="20" t="str">
        <x:v>Lock or challenge suspicious authentication activity</x:v>
      </x:c>
      <x:c r="D6" s="20" t="str">
        <x:v>Functional</x:v>
      </x:c>
      <x:c r="E6" s="20" t="str">
        <x:v>Abuse Prevention</x:v>
      </x:c>
      <x:c r="F6" s="20" t="str">
        <x:v>High</x:v>
      </x:c>
      <x:c r="G6" s="20" t="str">
        <x:v>Threat model</x:v>
      </x:c>
      <x:c r="H6" s="20" t="str">
        <x:v>IAM Lead</x:v>
      </x:c>
      <x:c r="I6" s="20" t="str">
        <x:v>Risk-based control tested</x:v>
      </x:c>
      <x:c r="J6" s="20" t="str">
        <x:v>In Progress</x:v>
      </x:c>
    </x:row>
    <x:row r="7">
      <x:c r="A7" s="20" t="str">
        <x:v>REQ-004</x:v>
      </x:c>
      <x:c r="B7" s="20" t="str">
        <x:v>Customer Portal</x:v>
      </x:c>
      <x:c r="C7" s="20" t="str">
        <x:v>Retain security events for investigation</x:v>
      </x:c>
      <x:c r="D7" s="20" t="str">
        <x:v>Non-Functional</x:v>
      </x:c>
      <x:c r="E7" s="20" t="str">
        <x:v>Logging</x:v>
      </x:c>
      <x:c r="F7" s="20" t="str">
        <x:v>High</x:v>
      </x:c>
      <x:c r="G7" s="20" t="str">
        <x:v>Operations requirement</x:v>
      </x:c>
      <x:c r="H7" s="20" t="str">
        <x:v>SOC Lead</x:v>
      </x:c>
      <x:c r="I7" s="20" t="str">
        <x:v>Required event types available for 365 days</x:v>
      </x:c>
      <x:c r="J7" s="20" t="str">
        <x:v>Planned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</x:mergeCells>
  <x:dataValidations count="2">
    <x:dataValidation type="list" sqref="F4:F303">
      <x:formula1>"Low,Moderate,Medium,High,Critical"</x:formula1>
    </x:dataValidation>
    <x:dataValidation type="list" sqref="J4:J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e01361a5b646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Abuse Cases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Abuse Case ID</x:v>
      </x:c>
      <x:c r="B3" s="12" t="str">
        <x:v>Application</x:v>
      </x:c>
      <x:c r="C3" s="12" t="str">
        <x:v>Actor</x:v>
      </x:c>
      <x:c r="D3" s="12" t="str">
        <x:v>Misuse Goal</x:v>
      </x:c>
      <x:c r="E3" s="12" t="str">
        <x:v>Precondition</x:v>
      </x:c>
      <x:c r="F3" s="12" t="str">
        <x:v>Attack Path</x:v>
      </x:c>
      <x:c r="G3" s="12" t="str">
        <x:v>Security Requirement</x:v>
      </x:c>
      <x:c r="H3" s="12" t="str">
        <x:v>Likelihood</x:v>
      </x:c>
      <x:c r="I3" s="12" t="str">
        <x:v>Impact</x:v>
      </x:c>
      <x:c r="J3" s="12" t="str">
        <x:v>Risk Score</x:v>
      </x:c>
    </x:row>
    <x:row r="4">
      <x:c r="A4" s="20" t="str">
        <x:v>AB-001</x:v>
      </x:c>
      <x:c r="B4" s="20" t="str">
        <x:v>Customer Portal</x:v>
      </x:c>
      <x:c r="C4" s="20" t="str">
        <x:v>Credential thief</x:v>
      </x:c>
      <x:c r="D4" s="20" t="str">
        <x:v>Take over customer account</x:v>
      </x:c>
      <x:c r="E4" s="20" t="str">
        <x:v>Stolen credential</x:v>
      </x:c>
      <x:c r="F4" s="20" t="str">
        <x:v>Authenticate and change recovery settings</x:v>
      </x:c>
      <x:c r="G4" s="20" t="str">
        <x:v>REQ-003</x:v>
      </x:c>
      <x:c r="H4" s="20" t="n">
        <x:v>4</x:v>
      </x:c>
      <x:c r="I4" s="20" t="n">
        <x:v>5</x:v>
      </x:c>
      <x:c r="J4" s="20" t="n">
        <x:f>H4*I4</x:f>
        <x:v>20</x:v>
      </x:c>
    </x:row>
    <x:row r="5">
      <x:c r="A5" s="20" t="str">
        <x:v>AB-002</x:v>
      </x:c>
      <x:c r="B5" s="20" t="str">
        <x:v>Customer Portal</x:v>
      </x:c>
      <x:c r="C5" s="20" t="str">
        <x:v>Malicious insider</x:v>
      </x:c>
      <x:c r="D5" s="20" t="str">
        <x:v>Extract customer data</x:v>
      </x:c>
      <x:c r="E5" s="20" t="str">
        <x:v>Excessive privilege</x:v>
      </x:c>
      <x:c r="F5" s="20" t="str">
        <x:v>Query and export records</x:v>
      </x:c>
      <x:c r="G5" s="20" t="str">
        <x:v>REQ-002</x:v>
      </x:c>
      <x:c r="H5" s="20" t="n">
        <x:v>2</x:v>
      </x:c>
      <x:c r="I5" s="20" t="n">
        <x:v>5</x:v>
      </x:c>
      <x:c r="J5" s="20" t="n">
        <x:f>H5*I5</x:f>
        <x:v>10</x:v>
      </x:c>
    </x:row>
    <x:row r="6">
      <x:c r="A6" s="20" t="str">
        <x:v>AB-003</x:v>
      </x:c>
      <x:c r="B6" s="20" t="str">
        <x:v>Customer Portal</x:v>
      </x:c>
      <x:c r="C6" s="20" t="str">
        <x:v>Automated bot</x:v>
      </x:c>
      <x:c r="D6" s="20" t="str">
        <x:v>Enumerate accounts</x:v>
      </x:c>
      <x:c r="E6" s="20" t="str">
        <x:v>Public login endpoint</x:v>
      </x:c>
      <x:c r="F6" s="20" t="str">
        <x:v>Observe response differences</x:v>
      </x:c>
      <x:c r="G6" s="20" t="str">
        <x:v>REQ-005</x:v>
      </x:c>
      <x:c r="H6" s="20" t="n">
        <x:v>4</x:v>
      </x:c>
      <x:c r="I6" s="20" t="n">
        <x:v>3</x:v>
      </x:c>
      <x:c r="J6" s="20" t="n">
        <x:f>H6*I6</x:f>
        <x:v>12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  <x:c r="J7" s="20" t="n">
        <x:f>H7*I7</x:f>
        <x:v>0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  <x:c r="J8" s="20" t="n">
        <x:f>H8*I8</x:f>
        <x:v>0</x:v>
      </x:c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  <x:c r="J9" s="20" t="n">
        <x:f>H9*I9</x:f>
        <x:v>0</x:v>
      </x:c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 t="n">
        <x:f>H10*I10</x:f>
        <x:v>0</x:v>
      </x:c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 t="n">
        <x:f>H11*I11</x:f>
        <x:v>0</x:v>
      </x:c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 t="n">
        <x:f>H12*I12</x:f>
        <x:v>0</x:v>
      </x:c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 t="n">
        <x:f>H13*I13</x:f>
        <x:v>0</x:v>
      </x:c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 t="n">
        <x:f>H14*I14</x:f>
        <x:v>0</x:v>
      </x:c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 t="n">
        <x:f>H15*I15</x:f>
        <x:v>0</x:v>
      </x:c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 t="n">
        <x:f>H16*I16</x:f>
        <x:v>0</x:v>
      </x:c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 t="n">
        <x:f>H17*I17</x:f>
        <x:v>0</x:v>
      </x:c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 t="n">
        <x:f>H18*I18</x:f>
        <x:v>0</x:v>
      </x:c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 t="n">
        <x:f>H19*I19</x:f>
        <x:v>0</x:v>
      </x:c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 t="n">
        <x:f>H20*I20</x:f>
        <x:v>0</x:v>
      </x:c>
    </x:row>
    <x:row r="21">
      <x:c r="J21" t="n">
        <x:f>H21*I21</x:f>
        <x:v>0</x:v>
      </x:c>
    </x:row>
    <x:row r="22">
      <x:c r="J22" t="n">
        <x:f>H22*I22</x:f>
        <x:v>0</x:v>
      </x:c>
    </x:row>
    <x:row r="23">
      <x:c r="J23" t="n">
        <x:f>H23*I23</x:f>
        <x:v>0</x:v>
      </x:c>
    </x:row>
    <x:row r="24">
      <x:c r="J24" t="n">
        <x:f>H24*I24</x:f>
        <x:v>0</x:v>
      </x:c>
    </x:row>
    <x:row r="25">
      <x:c r="J25" t="n">
        <x:f>H25*I25</x:f>
        <x:v>0</x:v>
      </x:c>
    </x:row>
    <x:row r="26">
      <x:c r="J26" t="n">
        <x:f>H26*I26</x:f>
        <x:v>0</x:v>
      </x:c>
    </x:row>
    <x:row r="27">
      <x:c r="J27" t="n">
        <x:f>H27*I27</x:f>
        <x:v>0</x:v>
      </x:c>
    </x:row>
    <x:row r="28">
      <x:c r="J28" t="n">
        <x:f>H28*I28</x:f>
        <x:v>0</x:v>
      </x:c>
    </x:row>
    <x:row r="29">
      <x:c r="J29" t="n">
        <x:f>H29*I29</x:f>
        <x:v>0</x:v>
      </x:c>
    </x:row>
    <x:row r="30">
      <x:c r="J30" t="n">
        <x:f>H30*I30</x:f>
        <x:v>0</x:v>
      </x:c>
    </x:row>
    <x:row r="31">
      <x:c r="J31" t="n">
        <x:f>H31*I31</x:f>
        <x:v>0</x:v>
      </x:c>
    </x:row>
    <x:row r="32">
      <x:c r="J32" t="n">
        <x:f>H32*I32</x:f>
        <x:v>0</x:v>
      </x:c>
    </x:row>
    <x:row r="33">
      <x:c r="J33" t="n">
        <x:f>H33*I33</x:f>
        <x:v>0</x:v>
      </x:c>
    </x:row>
    <x:row r="34">
      <x:c r="J34" t="n">
        <x:f>H34*I34</x:f>
        <x:v>0</x:v>
      </x:c>
    </x:row>
    <x:row r="35">
      <x:c r="J35" t="n">
        <x:f>H35*I35</x:f>
        <x:v>0</x:v>
      </x:c>
    </x:row>
    <x:row r="36">
      <x:c r="J36" t="n">
        <x:f>H36*I36</x:f>
        <x:v>0</x:v>
      </x:c>
    </x:row>
    <x:row r="37">
      <x:c r="J37" t="n">
        <x:f>H37*I37</x:f>
        <x:v>0</x:v>
      </x:c>
    </x:row>
    <x:row r="38">
      <x:c r="J38" t="n">
        <x:f>H38*I38</x:f>
        <x:v>0</x:v>
      </x:c>
    </x:row>
    <x:row r="39">
      <x:c r="J39" t="n">
        <x:f>H39*I39</x:f>
        <x:v>0</x:v>
      </x:c>
    </x:row>
    <x:row r="40">
      <x:c r="J40" t="n">
        <x:f>H40*I40</x:f>
        <x:v>0</x:v>
      </x:c>
    </x:row>
    <x:row r="41">
      <x:c r="J41" t="n">
        <x:f>H41*I41</x:f>
        <x:v>0</x:v>
      </x:c>
    </x:row>
    <x:row r="42">
      <x:c r="J42" t="n">
        <x:f>H42*I42</x:f>
        <x:v>0</x:v>
      </x:c>
    </x:row>
    <x:row r="43">
      <x:c r="J43" t="n">
        <x:f>H43*I43</x:f>
        <x:v>0</x:v>
      </x:c>
    </x:row>
    <x:row r="44">
      <x:c r="J44" t="n">
        <x:f>H44*I44</x:f>
        <x:v>0</x:v>
      </x:c>
    </x:row>
    <x:row r="45">
      <x:c r="J45" t="n">
        <x:f>H45*I45</x:f>
        <x:v>0</x:v>
      </x:c>
    </x:row>
    <x:row r="46">
      <x:c r="J46" t="n">
        <x:f>H46*I46</x:f>
        <x:v>0</x:v>
      </x:c>
    </x:row>
    <x:row r="47">
      <x:c r="J47" t="n">
        <x:f>H47*I47</x:f>
        <x:v>0</x:v>
      </x:c>
    </x:row>
    <x:row r="48">
      <x:c r="J48" t="n">
        <x:f>H48*I48</x:f>
        <x:v>0</x:v>
      </x:c>
    </x:row>
    <x:row r="49">
      <x:c r="J49" t="n">
        <x:f>H49*I49</x:f>
        <x:v>0</x:v>
      </x:c>
    </x:row>
    <x:row r="50">
      <x:c r="J50" t="n">
        <x:f>H50*I50</x:f>
        <x:v>0</x:v>
      </x:c>
    </x:row>
    <x:row r="51">
      <x:c r="J51" t="n">
        <x:f>H51*I51</x:f>
        <x:v>0</x:v>
      </x:c>
    </x:row>
    <x:row r="52">
      <x:c r="J52" t="n">
        <x:f>H52*I52</x:f>
        <x:v>0</x:v>
      </x:c>
    </x:row>
    <x:row r="53">
      <x:c r="J53" t="n">
        <x:f>H53*I53</x:f>
        <x:v>0</x:v>
      </x:c>
    </x:row>
    <x:row r="54">
      <x:c r="J54" t="n">
        <x:f>H54*I54</x:f>
        <x:v>0</x:v>
      </x:c>
    </x:row>
    <x:row r="55">
      <x:c r="J55" t="n">
        <x:f>H55*I55</x:f>
        <x:v>0</x:v>
      </x:c>
    </x:row>
    <x:row r="56">
      <x:c r="J56" t="n">
        <x:f>H56*I56</x:f>
        <x:v>0</x:v>
      </x:c>
    </x:row>
    <x:row r="57">
      <x:c r="J57" t="n">
        <x:f>H57*I57</x:f>
        <x:v>0</x:v>
      </x:c>
    </x:row>
    <x:row r="58">
      <x:c r="J58" t="n">
        <x:f>H58*I58</x:f>
        <x:v>0</x:v>
      </x:c>
    </x:row>
    <x:row r="59">
      <x:c r="J59" t="n">
        <x:f>H59*I59</x:f>
        <x:v>0</x:v>
      </x:c>
    </x:row>
    <x:row r="60">
      <x:c r="J60" t="n">
        <x:f>H60*I60</x:f>
        <x:v>0</x:v>
      </x:c>
    </x:row>
    <x:row r="61">
      <x:c r="J61" t="n">
        <x:f>H61*I61</x:f>
        <x:v>0</x:v>
      </x:c>
    </x:row>
    <x:row r="62">
      <x:c r="J62" t="n">
        <x:f>H62*I62</x:f>
        <x:v>0</x:v>
      </x:c>
    </x:row>
    <x:row r="63">
      <x:c r="J63" t="n">
        <x:f>H63*I63</x:f>
        <x:v>0</x:v>
      </x:c>
    </x:row>
    <x:row r="64">
      <x:c r="J64" t="n">
        <x:f>H64*I64</x:f>
        <x:v>0</x:v>
      </x:c>
    </x:row>
    <x:row r="65">
      <x:c r="J65" t="n">
        <x:f>H65*I65</x:f>
        <x:v>0</x:v>
      </x:c>
    </x:row>
    <x:row r="66">
      <x:c r="J66" t="n">
        <x:f>H66*I66</x:f>
        <x:v>0</x:v>
      </x:c>
    </x:row>
    <x:row r="67">
      <x:c r="J67" t="n">
        <x:f>H67*I67</x:f>
        <x:v>0</x:v>
      </x:c>
    </x:row>
    <x:row r="68">
      <x:c r="J68" t="n">
        <x:f>H68*I68</x:f>
        <x:v>0</x:v>
      </x:c>
    </x:row>
    <x:row r="69">
      <x:c r="J69" t="n">
        <x:f>H69*I69</x:f>
        <x:v>0</x:v>
      </x:c>
    </x:row>
    <x:row r="70">
      <x:c r="J70" t="n">
        <x:f>H70*I70</x:f>
        <x:v>0</x:v>
      </x:c>
    </x:row>
    <x:row r="71">
      <x:c r="J71" t="n">
        <x:f>H71*I71</x:f>
        <x:v>0</x:v>
      </x:c>
    </x:row>
    <x:row r="72">
      <x:c r="J72" t="n">
        <x:f>H72*I72</x:f>
        <x:v>0</x:v>
      </x:c>
    </x:row>
    <x:row r="73">
      <x:c r="J73" t="n">
        <x:f>H73*I73</x:f>
        <x:v>0</x:v>
      </x:c>
    </x:row>
    <x:row r="74">
      <x:c r="J74" t="n">
        <x:f>H74*I74</x:f>
        <x:v>0</x:v>
      </x:c>
    </x:row>
    <x:row r="75">
      <x:c r="J75" t="n">
        <x:f>H75*I75</x:f>
        <x:v>0</x:v>
      </x:c>
    </x:row>
    <x:row r="76">
      <x:c r="J76" t="n">
        <x:f>H76*I76</x:f>
        <x:v>0</x:v>
      </x:c>
    </x:row>
    <x:row r="77">
      <x:c r="J77" t="n">
        <x:f>H77*I77</x:f>
        <x:v>0</x:v>
      </x:c>
    </x:row>
    <x:row r="78">
      <x:c r="J78" t="n">
        <x:f>H78*I78</x:f>
        <x:v>0</x:v>
      </x:c>
    </x:row>
    <x:row r="79">
      <x:c r="J79" t="n">
        <x:f>H79*I79</x:f>
        <x:v>0</x:v>
      </x:c>
    </x:row>
    <x:row r="80">
      <x:c r="J80" t="n">
        <x:f>H80*I80</x:f>
        <x:v>0</x:v>
      </x:c>
    </x:row>
    <x:row r="81">
      <x:c r="J81" t="n">
        <x:f>H81*I81</x:f>
        <x:v>0</x:v>
      </x:c>
    </x:row>
    <x:row r="82">
      <x:c r="J82" t="n">
        <x:f>H82*I82</x:f>
        <x:v>0</x:v>
      </x:c>
    </x:row>
    <x:row r="83">
      <x:c r="J83" t="n">
        <x:f>H83*I83</x:f>
        <x:v>0</x:v>
      </x:c>
    </x:row>
    <x:row r="84">
      <x:c r="J84" t="n">
        <x:f>H84*I84</x:f>
        <x:v>0</x:v>
      </x:c>
    </x:row>
    <x:row r="85">
      <x:c r="J85" t="n">
        <x:f>H85*I85</x:f>
        <x:v>0</x:v>
      </x:c>
    </x:row>
    <x:row r="86">
      <x:c r="J86" t="n">
        <x:f>H86*I86</x:f>
        <x:v>0</x:v>
      </x:c>
    </x:row>
    <x:row r="87">
      <x:c r="J87" t="n">
        <x:f>H87*I87</x:f>
        <x:v>0</x:v>
      </x:c>
    </x:row>
    <x:row r="88">
      <x:c r="J88" t="n">
        <x:f>H88*I88</x:f>
        <x:v>0</x:v>
      </x:c>
    </x:row>
    <x:row r="89">
      <x:c r="J89" t="n">
        <x:f>H89*I89</x:f>
        <x:v>0</x:v>
      </x:c>
    </x:row>
    <x:row r="90">
      <x:c r="J90" t="n">
        <x:f>H90*I90</x:f>
        <x:v>0</x:v>
      </x:c>
    </x:row>
    <x:row r="91">
      <x:c r="J91" t="n">
        <x:f>H91*I91</x:f>
        <x:v>0</x:v>
      </x:c>
    </x:row>
    <x:row r="92">
      <x:c r="J92" t="n">
        <x:f>H92*I92</x:f>
        <x:v>0</x:v>
      </x:c>
    </x:row>
    <x:row r="93">
      <x:c r="J93" t="n">
        <x:f>H93*I93</x:f>
        <x:v>0</x:v>
      </x:c>
    </x:row>
    <x:row r="94">
      <x:c r="J94" t="n">
        <x:f>H94*I94</x:f>
        <x:v>0</x:v>
      </x:c>
    </x:row>
    <x:row r="95">
      <x:c r="J95" t="n">
        <x:f>H95*I95</x:f>
        <x:v>0</x:v>
      </x:c>
    </x:row>
    <x:row r="96">
      <x:c r="J96" t="n">
        <x:f>H96*I96</x:f>
        <x:v>0</x:v>
      </x:c>
    </x:row>
    <x:row r="97">
      <x:c r="J97" t="n">
        <x:f>H97*I97</x:f>
        <x:v>0</x:v>
      </x:c>
    </x:row>
    <x:row r="98">
      <x:c r="J98" t="n">
        <x:f>H98*I98</x:f>
        <x:v>0</x:v>
      </x:c>
    </x:row>
    <x:row r="99">
      <x:c r="J99" t="n">
        <x:f>H99*I99</x:f>
        <x:v>0</x:v>
      </x:c>
    </x:row>
    <x:row r="100">
      <x:c r="J100" t="n">
        <x:f>H100*I100</x:f>
        <x:v>0</x:v>
      </x:c>
    </x:row>
    <x:row r="101">
      <x:c r="J101" t="n">
        <x:f>H101*I101</x:f>
        <x:v>0</x:v>
      </x:c>
    </x:row>
    <x:row r="102">
      <x:c r="J102" t="n">
        <x:f>H102*I102</x:f>
        <x:v>0</x:v>
      </x:c>
    </x:row>
    <x:row r="103">
      <x:c r="J103" t="n">
        <x:f>H103*I103</x:f>
        <x:v>0</x:v>
      </x:c>
    </x:row>
    <x:row r="104">
      <x:c r="J104" t="n">
        <x:f>H104*I104</x:f>
        <x:v>0</x:v>
      </x:c>
    </x:row>
    <x:row r="105">
      <x:c r="J105" t="n">
        <x:f>H105*I105</x:f>
        <x:v>0</x:v>
      </x:c>
    </x:row>
    <x:row r="106">
      <x:c r="J106" t="n">
        <x:f>H106*I106</x:f>
        <x:v>0</x:v>
      </x:c>
    </x:row>
    <x:row r="107">
      <x:c r="J107" t="n">
        <x:f>H107*I107</x:f>
        <x:v>0</x:v>
      </x:c>
    </x:row>
    <x:row r="108">
      <x:c r="J108" t="n">
        <x:f>H108*I108</x:f>
        <x:v>0</x:v>
      </x:c>
    </x:row>
    <x:row r="109">
      <x:c r="J109" t="n">
        <x:f>H109*I109</x:f>
        <x:v>0</x:v>
      </x:c>
    </x:row>
    <x:row r="110">
      <x:c r="J110" t="n">
        <x:f>H110*I110</x:f>
        <x:v>0</x:v>
      </x:c>
    </x:row>
    <x:row r="111">
      <x:c r="J111" t="n">
        <x:f>H111*I111</x:f>
        <x:v>0</x:v>
      </x:c>
    </x:row>
    <x:row r="112">
      <x:c r="J112" t="n">
        <x:f>H112*I112</x:f>
        <x:v>0</x:v>
      </x:c>
    </x:row>
    <x:row r="113">
      <x:c r="J113" t="n">
        <x:f>H113*I113</x:f>
        <x:v>0</x:v>
      </x:c>
    </x:row>
    <x:row r="114">
      <x:c r="J114" t="n">
        <x:f>H114*I114</x:f>
        <x:v>0</x:v>
      </x:c>
    </x:row>
    <x:row r="115">
      <x:c r="J115" t="n">
        <x:f>H115*I115</x:f>
        <x:v>0</x:v>
      </x:c>
    </x:row>
    <x:row r="116">
      <x:c r="J116" t="n">
        <x:f>H116*I116</x:f>
        <x:v>0</x:v>
      </x:c>
    </x:row>
    <x:row r="117">
      <x:c r="J117" t="n">
        <x:f>H117*I117</x:f>
        <x:v>0</x:v>
      </x:c>
    </x:row>
    <x:row r="118">
      <x:c r="J118" t="n">
        <x:f>H118*I118</x:f>
        <x:v>0</x:v>
      </x:c>
    </x:row>
    <x:row r="119">
      <x:c r="J119" t="n">
        <x:f>H119*I119</x:f>
        <x:v>0</x:v>
      </x:c>
    </x:row>
    <x:row r="120">
      <x:c r="J120" t="n">
        <x:f>H120*I120</x:f>
        <x:v>0</x:v>
      </x:c>
    </x:row>
    <x:row r="121">
      <x:c r="J121" t="n">
        <x:f>H121*I121</x:f>
        <x:v>0</x:v>
      </x:c>
    </x:row>
    <x:row r="122">
      <x:c r="J122" t="n">
        <x:f>H122*I122</x:f>
        <x:v>0</x:v>
      </x:c>
    </x:row>
    <x:row r="123">
      <x:c r="J123" t="n">
        <x:f>H123*I123</x:f>
        <x:v>0</x:v>
      </x:c>
    </x:row>
    <x:row r="124">
      <x:c r="J124" t="n">
        <x:f>H124*I124</x:f>
        <x:v>0</x:v>
      </x:c>
    </x:row>
    <x:row r="125">
      <x:c r="J125" t="n">
        <x:f>H125*I125</x:f>
        <x:v>0</x:v>
      </x:c>
    </x:row>
    <x:row r="126">
      <x:c r="J126" t="n">
        <x:f>H126*I126</x:f>
        <x:v>0</x:v>
      </x:c>
    </x:row>
    <x:row r="127">
      <x:c r="J127" t="n">
        <x:f>H127*I127</x:f>
        <x:v>0</x:v>
      </x:c>
    </x:row>
    <x:row r="128">
      <x:c r="J128" t="n">
        <x:f>H128*I128</x:f>
        <x:v>0</x:v>
      </x:c>
    </x:row>
    <x:row r="129">
      <x:c r="J129" t="n">
        <x:f>H129*I129</x:f>
        <x:v>0</x:v>
      </x:c>
    </x:row>
    <x:row r="130">
      <x:c r="J130" t="n">
        <x:f>H130*I130</x:f>
        <x:v>0</x:v>
      </x:c>
    </x:row>
    <x:row r="131">
      <x:c r="J131" t="n">
        <x:f>H131*I131</x:f>
        <x:v>0</x:v>
      </x:c>
    </x:row>
    <x:row r="132">
      <x:c r="J132" t="n">
        <x:f>H132*I132</x:f>
        <x:v>0</x:v>
      </x:c>
    </x:row>
    <x:row r="133">
      <x:c r="J133" t="n">
        <x:f>H133*I133</x:f>
        <x:v>0</x:v>
      </x:c>
    </x:row>
    <x:row r="134">
      <x:c r="J134" t="n">
        <x:f>H134*I134</x:f>
        <x:v>0</x:v>
      </x:c>
    </x:row>
    <x:row r="135">
      <x:c r="J135" t="n">
        <x:f>H135*I135</x:f>
        <x:v>0</x:v>
      </x:c>
    </x:row>
    <x:row r="136">
      <x:c r="J136" t="n">
        <x:f>H136*I136</x:f>
        <x:v>0</x:v>
      </x:c>
    </x:row>
    <x:row r="137">
      <x:c r="J137" t="n">
        <x:f>H137*I137</x:f>
        <x:v>0</x:v>
      </x:c>
    </x:row>
    <x:row r="138">
      <x:c r="J138" t="n">
        <x:f>H138*I138</x:f>
        <x:v>0</x:v>
      </x:c>
    </x:row>
    <x:row r="139">
      <x:c r="J139" t="n">
        <x:f>H139*I139</x:f>
        <x:v>0</x:v>
      </x:c>
    </x:row>
    <x:row r="140">
      <x:c r="J140" t="n">
        <x:f>H140*I140</x:f>
        <x:v>0</x:v>
      </x:c>
    </x:row>
    <x:row r="141">
      <x:c r="J141" t="n">
        <x:f>H141*I141</x:f>
        <x:v>0</x:v>
      </x:c>
    </x:row>
    <x:row r="142">
      <x:c r="J142" t="n">
        <x:f>H142*I142</x:f>
        <x:v>0</x:v>
      </x:c>
    </x:row>
    <x:row r="143">
      <x:c r="J143" t="n">
        <x:f>H143*I143</x:f>
        <x:v>0</x:v>
      </x:c>
    </x:row>
    <x:row r="144">
      <x:c r="J144" t="n">
        <x:f>H144*I144</x:f>
        <x:v>0</x:v>
      </x:c>
    </x:row>
    <x:row r="145">
      <x:c r="J145" t="n">
        <x:f>H145*I145</x:f>
        <x:v>0</x:v>
      </x:c>
    </x:row>
    <x:row r="146">
      <x:c r="J146" t="n">
        <x:f>H146*I146</x:f>
        <x:v>0</x:v>
      </x:c>
    </x:row>
    <x:row r="147">
      <x:c r="J147" t="n">
        <x:f>H147*I147</x:f>
        <x:v>0</x:v>
      </x:c>
    </x:row>
    <x:row r="148">
      <x:c r="J148" t="n">
        <x:f>H148*I148</x:f>
        <x:v>0</x:v>
      </x:c>
    </x:row>
    <x:row r="149">
      <x:c r="J149" t="n">
        <x:f>H149*I149</x:f>
        <x:v>0</x:v>
      </x:c>
    </x:row>
    <x:row r="150">
      <x:c r="J150" t="n">
        <x:f>H150*I150</x:f>
        <x:v>0</x:v>
      </x:c>
    </x:row>
    <x:row r="151">
      <x:c r="J151" t="n">
        <x:f>H151*I151</x:f>
        <x:v>0</x:v>
      </x:c>
    </x:row>
    <x:row r="152">
      <x:c r="J152" t="n">
        <x:f>H152*I152</x:f>
        <x:v>0</x:v>
      </x:c>
    </x:row>
    <x:row r="153">
      <x:c r="J153" t="n">
        <x:f>H153*I153</x:f>
        <x:v>0</x:v>
      </x:c>
    </x:row>
    <x:row r="154">
      <x:c r="J154" t="n">
        <x:f>H154*I154</x:f>
        <x:v>0</x:v>
      </x:c>
    </x:row>
    <x:row r="155">
      <x:c r="J155" t="n">
        <x:f>H155*I155</x:f>
        <x:v>0</x:v>
      </x:c>
    </x:row>
    <x:row r="156">
      <x:c r="J156" t="n">
        <x:f>H156*I156</x:f>
        <x:v>0</x:v>
      </x:c>
    </x:row>
    <x:row r="157">
      <x:c r="J157" t="n">
        <x:f>H157*I157</x:f>
        <x:v>0</x:v>
      </x:c>
    </x:row>
    <x:row r="158">
      <x:c r="J158" t="n">
        <x:f>H158*I158</x:f>
        <x:v>0</x:v>
      </x:c>
    </x:row>
    <x:row r="159">
      <x:c r="J159" t="n">
        <x:f>H159*I159</x:f>
        <x:v>0</x:v>
      </x:c>
    </x:row>
    <x:row r="160">
      <x:c r="J160" t="n">
        <x:f>H160*I160</x:f>
        <x:v>0</x:v>
      </x:c>
    </x:row>
    <x:row r="161">
      <x:c r="J161" t="n">
        <x:f>H161*I161</x:f>
        <x:v>0</x:v>
      </x:c>
    </x:row>
    <x:row r="162">
      <x:c r="J162" t="n">
        <x:f>H162*I162</x:f>
        <x:v>0</x:v>
      </x:c>
    </x:row>
    <x:row r="163">
      <x:c r="J163" t="n">
        <x:f>H163*I163</x:f>
        <x:v>0</x:v>
      </x:c>
    </x:row>
    <x:row r="164">
      <x:c r="J164" t="n">
        <x:f>H164*I164</x:f>
        <x:v>0</x:v>
      </x:c>
    </x:row>
    <x:row r="165">
      <x:c r="J165" t="n">
        <x:f>H165*I165</x:f>
        <x:v>0</x:v>
      </x:c>
    </x:row>
    <x:row r="166">
      <x:c r="J166" t="n">
        <x:f>H166*I166</x:f>
        <x:v>0</x:v>
      </x:c>
    </x:row>
    <x:row r="167">
      <x:c r="J167" t="n">
        <x:f>H167*I167</x:f>
        <x:v>0</x:v>
      </x:c>
    </x:row>
    <x:row r="168">
      <x:c r="J168" t="n">
        <x:f>H168*I168</x:f>
        <x:v>0</x:v>
      </x:c>
    </x:row>
    <x:row r="169">
      <x:c r="J169" t="n">
        <x:f>H169*I169</x:f>
        <x:v>0</x:v>
      </x:c>
    </x:row>
    <x:row r="170">
      <x:c r="J170" t="n">
        <x:f>H170*I170</x:f>
        <x:v>0</x:v>
      </x:c>
    </x:row>
    <x:row r="171">
      <x:c r="J171" t="n">
        <x:f>H171*I171</x:f>
        <x:v>0</x:v>
      </x:c>
    </x:row>
    <x:row r="172">
      <x:c r="J172" t="n">
        <x:f>H172*I172</x:f>
        <x:v>0</x:v>
      </x:c>
    </x:row>
    <x:row r="173">
      <x:c r="J173" t="n">
        <x:f>H173*I173</x:f>
        <x:v>0</x:v>
      </x:c>
    </x:row>
    <x:row r="174">
      <x:c r="J174" t="n">
        <x:f>H174*I174</x:f>
        <x:v>0</x:v>
      </x:c>
    </x:row>
    <x:row r="175">
      <x:c r="J175" t="n">
        <x:f>H175*I175</x:f>
        <x:v>0</x:v>
      </x:c>
    </x:row>
    <x:row r="176">
      <x:c r="J176" t="n">
        <x:f>H176*I176</x:f>
        <x:v>0</x:v>
      </x:c>
    </x:row>
    <x:row r="177">
      <x:c r="J177" t="n">
        <x:f>H177*I177</x:f>
        <x:v>0</x:v>
      </x:c>
    </x:row>
    <x:row r="178">
      <x:c r="J178" t="n">
        <x:f>H178*I178</x:f>
        <x:v>0</x:v>
      </x:c>
    </x:row>
    <x:row r="179">
      <x:c r="J179" t="n">
        <x:f>H179*I179</x:f>
        <x:v>0</x:v>
      </x:c>
    </x:row>
    <x:row r="180">
      <x:c r="J180" t="n">
        <x:f>H180*I180</x:f>
        <x:v>0</x:v>
      </x:c>
    </x:row>
    <x:row r="181">
      <x:c r="J181" t="n">
        <x:f>H181*I181</x:f>
        <x:v>0</x:v>
      </x:c>
    </x:row>
    <x:row r="182">
      <x:c r="J182" t="n">
        <x:f>H182*I182</x:f>
        <x:v>0</x:v>
      </x:c>
    </x:row>
    <x:row r="183">
      <x:c r="J183" t="n">
        <x:f>H183*I183</x:f>
        <x:v>0</x:v>
      </x:c>
    </x:row>
    <x:row r="184">
      <x:c r="J184" t="n">
        <x:f>H184*I184</x:f>
        <x:v>0</x:v>
      </x:c>
    </x:row>
    <x:row r="185">
      <x:c r="J185" t="n">
        <x:f>H185*I185</x:f>
        <x:v>0</x:v>
      </x:c>
    </x:row>
    <x:row r="186">
      <x:c r="J186" t="n">
        <x:f>H186*I186</x:f>
        <x:v>0</x:v>
      </x:c>
    </x:row>
    <x:row r="187">
      <x:c r="J187" t="n">
        <x:f>H187*I187</x:f>
        <x:v>0</x:v>
      </x:c>
    </x:row>
    <x:row r="188">
      <x:c r="J188" t="n">
        <x:f>H188*I188</x:f>
        <x:v>0</x:v>
      </x:c>
    </x:row>
    <x:row r="189">
      <x:c r="J189" t="n">
        <x:f>H189*I189</x:f>
        <x:v>0</x:v>
      </x:c>
    </x:row>
    <x:row r="190">
      <x:c r="J190" t="n">
        <x:f>H190*I190</x:f>
        <x:v>0</x:v>
      </x:c>
    </x:row>
    <x:row r="191">
      <x:c r="J191" t="n">
        <x:f>H191*I191</x:f>
        <x:v>0</x:v>
      </x:c>
    </x:row>
    <x:row r="192">
      <x:c r="J192" t="n">
        <x:f>H192*I192</x:f>
        <x:v>0</x:v>
      </x:c>
    </x:row>
    <x:row r="193">
      <x:c r="J193" t="n">
        <x:f>H193*I193</x:f>
        <x:v>0</x:v>
      </x:c>
    </x:row>
    <x:row r="194">
      <x:c r="J194" t="n">
        <x:f>H194*I194</x:f>
        <x:v>0</x:v>
      </x:c>
    </x:row>
    <x:row r="195">
      <x:c r="J195" t="n">
        <x:f>H195*I195</x:f>
        <x:v>0</x:v>
      </x:c>
    </x:row>
    <x:row r="196">
      <x:c r="J196" t="n">
        <x:f>H196*I196</x:f>
        <x:v>0</x:v>
      </x:c>
    </x:row>
    <x:row r="197">
      <x:c r="J197" t="n">
        <x:f>H197*I197</x:f>
        <x:v>0</x:v>
      </x:c>
    </x:row>
    <x:row r="198">
      <x:c r="J198" t="n">
        <x:f>H198*I198</x:f>
        <x:v>0</x:v>
      </x:c>
    </x:row>
    <x:row r="199">
      <x:c r="J199" t="n">
        <x:f>H199*I199</x:f>
        <x:v>0</x:v>
      </x:c>
    </x:row>
    <x:row r="200">
      <x:c r="J200" t="n">
        <x:f>H200*I200</x:f>
        <x:v>0</x:v>
      </x:c>
    </x:row>
    <x:row r="201">
      <x:c r="J201" t="n">
        <x:f>H201*I201</x:f>
        <x:v>0</x:v>
      </x:c>
    </x:row>
    <x:row r="202">
      <x:c r="J202" t="n">
        <x:f>H202*I202</x:f>
        <x:v>0</x:v>
      </x:c>
    </x:row>
    <x:row r="203">
      <x:c r="J203" t="n">
        <x:f>H203*I203</x:f>
        <x:v>0</x:v>
      </x:c>
    </x:row>
    <x:row r="204">
      <x:c r="J204" t="n">
        <x:f>H204*I204</x:f>
        <x:v>0</x:v>
      </x:c>
    </x:row>
    <x:row r="205">
      <x:c r="J205" t="n">
        <x:f>H205*I205</x:f>
        <x:v>0</x:v>
      </x:c>
    </x:row>
    <x:row r="206">
      <x:c r="J206" t="n">
        <x:f>H206*I206</x:f>
        <x:v>0</x:v>
      </x:c>
    </x:row>
    <x:row r="207">
      <x:c r="J207" t="n">
        <x:f>H207*I207</x:f>
        <x:v>0</x:v>
      </x:c>
    </x:row>
    <x:row r="208">
      <x:c r="J208" t="n">
        <x:f>H208*I208</x:f>
        <x:v>0</x:v>
      </x:c>
    </x:row>
    <x:row r="209">
      <x:c r="J209" t="n">
        <x:f>H209*I209</x:f>
        <x:v>0</x:v>
      </x:c>
    </x:row>
    <x:row r="210">
      <x:c r="J210" t="n">
        <x:f>H210*I210</x:f>
        <x:v>0</x:v>
      </x:c>
    </x:row>
    <x:row r="211">
      <x:c r="J211" t="n">
        <x:f>H211*I211</x:f>
        <x:v>0</x:v>
      </x:c>
    </x:row>
    <x:row r="212">
      <x:c r="J212" t="n">
        <x:f>H212*I212</x:f>
        <x:v>0</x:v>
      </x:c>
    </x:row>
    <x:row r="213">
      <x:c r="J213" t="n">
        <x:f>H213*I213</x:f>
        <x:v>0</x:v>
      </x:c>
    </x:row>
    <x:row r="214">
      <x:c r="J214" t="n">
        <x:f>H214*I214</x:f>
        <x:v>0</x:v>
      </x:c>
    </x:row>
    <x:row r="215">
      <x:c r="J215" t="n">
        <x:f>H215*I215</x:f>
        <x:v>0</x:v>
      </x:c>
    </x:row>
    <x:row r="216">
      <x:c r="J216" t="n">
        <x:f>H216*I216</x:f>
        <x:v>0</x:v>
      </x:c>
    </x:row>
    <x:row r="217">
      <x:c r="J217" t="n">
        <x:f>H217*I217</x:f>
        <x:v>0</x:v>
      </x:c>
    </x:row>
    <x:row r="218">
      <x:c r="J218" t="n">
        <x:f>H218*I218</x:f>
        <x:v>0</x:v>
      </x:c>
    </x:row>
    <x:row r="219">
      <x:c r="J219" t="n">
        <x:f>H219*I219</x:f>
        <x:v>0</x:v>
      </x:c>
    </x:row>
    <x:row r="220">
      <x:c r="J220" t="n">
        <x:f>H220*I220</x:f>
        <x:v>0</x:v>
      </x:c>
    </x:row>
    <x:row r="221">
      <x:c r="J221" t="n">
        <x:f>H221*I221</x:f>
        <x:v>0</x:v>
      </x:c>
    </x:row>
    <x:row r="222">
      <x:c r="J222" t="n">
        <x:f>H222*I222</x:f>
        <x:v>0</x:v>
      </x:c>
    </x:row>
    <x:row r="223">
      <x:c r="J223" t="n">
        <x:f>H223*I223</x:f>
        <x:v>0</x:v>
      </x:c>
    </x:row>
    <x:row r="224">
      <x:c r="J224" t="n">
        <x:f>H224*I224</x:f>
        <x:v>0</x:v>
      </x:c>
    </x:row>
    <x:row r="225">
      <x:c r="J225" t="n">
        <x:f>H225*I225</x:f>
        <x:v>0</x:v>
      </x:c>
    </x:row>
    <x:row r="226">
      <x:c r="J226" t="n">
        <x:f>H226*I226</x:f>
        <x:v>0</x:v>
      </x:c>
    </x:row>
    <x:row r="227">
      <x:c r="J227" t="n">
        <x:f>H227*I227</x:f>
        <x:v>0</x:v>
      </x:c>
    </x:row>
    <x:row r="228">
      <x:c r="J228" t="n">
        <x:f>H228*I228</x:f>
        <x:v>0</x:v>
      </x:c>
    </x:row>
    <x:row r="229">
      <x:c r="J229" t="n">
        <x:f>H229*I229</x:f>
        <x:v>0</x:v>
      </x:c>
    </x:row>
    <x:row r="230">
      <x:c r="J230" t="n">
        <x:f>H230*I230</x:f>
        <x:v>0</x:v>
      </x:c>
    </x:row>
    <x:row r="231">
      <x:c r="J231" t="n">
        <x:f>H231*I231</x:f>
        <x:v>0</x:v>
      </x:c>
    </x:row>
    <x:row r="232">
      <x:c r="J232" t="n">
        <x:f>H232*I232</x:f>
        <x:v>0</x:v>
      </x:c>
    </x:row>
    <x:row r="233">
      <x:c r="J233" t="n">
        <x:f>H233*I233</x:f>
        <x:v>0</x:v>
      </x:c>
    </x:row>
    <x:row r="234">
      <x:c r="J234" t="n">
        <x:f>H234*I234</x:f>
        <x:v>0</x:v>
      </x:c>
    </x:row>
    <x:row r="235">
      <x:c r="J235" t="n">
        <x:f>H235*I235</x:f>
        <x:v>0</x:v>
      </x:c>
    </x:row>
    <x:row r="236">
      <x:c r="J236" t="n">
        <x:f>H236*I236</x:f>
        <x:v>0</x:v>
      </x:c>
    </x:row>
    <x:row r="237">
      <x:c r="J237" t="n">
        <x:f>H237*I237</x:f>
        <x:v>0</x:v>
      </x:c>
    </x:row>
    <x:row r="238">
      <x:c r="J238" t="n">
        <x:f>H238*I238</x:f>
        <x:v>0</x:v>
      </x:c>
    </x:row>
    <x:row r="239">
      <x:c r="J239" t="n">
        <x:f>H239*I239</x:f>
        <x:v>0</x:v>
      </x:c>
    </x:row>
    <x:row r="240">
      <x:c r="J240" t="n">
        <x:f>H240*I240</x:f>
        <x:v>0</x:v>
      </x:c>
    </x:row>
    <x:row r="241">
      <x:c r="J241" t="n">
        <x:f>H241*I241</x:f>
        <x:v>0</x:v>
      </x:c>
    </x:row>
    <x:row r="242">
      <x:c r="J242" t="n">
        <x:f>H242*I242</x:f>
        <x:v>0</x:v>
      </x:c>
    </x:row>
    <x:row r="243">
      <x:c r="J243" t="n">
        <x:f>H243*I243</x:f>
        <x:v>0</x:v>
      </x:c>
    </x:row>
    <x:row r="244">
      <x:c r="J244" t="n">
        <x:f>H244*I244</x:f>
        <x:v>0</x:v>
      </x:c>
    </x:row>
    <x:row r="245">
      <x:c r="J245" t="n">
        <x:f>H245*I245</x:f>
        <x:v>0</x:v>
      </x:c>
    </x:row>
    <x:row r="246">
      <x:c r="J246" t="n">
        <x:f>H246*I246</x:f>
        <x:v>0</x:v>
      </x:c>
    </x:row>
    <x:row r="247">
      <x:c r="J247" t="n">
        <x:f>H247*I247</x:f>
        <x:v>0</x:v>
      </x:c>
    </x:row>
    <x:row r="248">
      <x:c r="J248" t="n">
        <x:f>H248*I248</x:f>
        <x:v>0</x:v>
      </x:c>
    </x:row>
    <x:row r="249">
      <x:c r="J249" t="n">
        <x:f>H249*I249</x:f>
        <x:v>0</x:v>
      </x:c>
    </x:row>
    <x:row r="250">
      <x:c r="J250" t="n">
        <x:f>H250*I250</x:f>
        <x:v>0</x:v>
      </x:c>
    </x:row>
    <x:row r="251">
      <x:c r="J251" t="n">
        <x:f>H251*I251</x:f>
        <x:v>0</x:v>
      </x:c>
    </x:row>
    <x:row r="252">
      <x:c r="J252" t="n">
        <x:f>H252*I252</x:f>
        <x:v>0</x:v>
      </x:c>
    </x:row>
    <x:row r="253">
      <x:c r="J253" t="n">
        <x:f>H253*I253</x:f>
        <x:v>0</x:v>
      </x:c>
    </x:row>
    <x:row r="254">
      <x:c r="J254" t="n">
        <x:f>H254*I254</x:f>
        <x:v>0</x:v>
      </x:c>
    </x:row>
    <x:row r="255">
      <x:c r="J255" t="n">
        <x:f>H255*I255</x:f>
        <x:v>0</x:v>
      </x:c>
    </x:row>
    <x:row r="256">
      <x:c r="J256" t="n">
        <x:f>H256*I256</x:f>
        <x:v>0</x:v>
      </x:c>
    </x:row>
    <x:row r="257">
      <x:c r="J257" t="n">
        <x:f>H257*I257</x:f>
        <x:v>0</x:v>
      </x:c>
    </x:row>
    <x:row r="258">
      <x:c r="J258" t="n">
        <x:f>H258*I258</x:f>
        <x:v>0</x:v>
      </x:c>
    </x:row>
    <x:row r="259">
      <x:c r="J259" t="n">
        <x:f>H259*I259</x:f>
        <x:v>0</x:v>
      </x:c>
    </x:row>
    <x:row r="260">
      <x:c r="J260" t="n">
        <x:f>H260*I260</x:f>
        <x:v>0</x:v>
      </x:c>
    </x:row>
    <x:row r="261">
      <x:c r="J261" t="n">
        <x:f>H261*I261</x:f>
        <x:v>0</x:v>
      </x:c>
    </x:row>
    <x:row r="262">
      <x:c r="J262" t="n">
        <x:f>H262*I262</x:f>
        <x:v>0</x:v>
      </x:c>
    </x:row>
    <x:row r="263">
      <x:c r="J263" t="n">
        <x:f>H263*I263</x:f>
        <x:v>0</x:v>
      </x:c>
    </x:row>
    <x:row r="264">
      <x:c r="J264" t="n">
        <x:f>H264*I264</x:f>
        <x:v>0</x:v>
      </x:c>
    </x:row>
    <x:row r="265">
      <x:c r="J265" t="n">
        <x:f>H265*I265</x:f>
        <x:v>0</x:v>
      </x:c>
    </x:row>
    <x:row r="266">
      <x:c r="J266" t="n">
        <x:f>H266*I266</x:f>
        <x:v>0</x:v>
      </x:c>
    </x:row>
    <x:row r="267">
      <x:c r="J267" t="n">
        <x:f>H267*I267</x:f>
        <x:v>0</x:v>
      </x:c>
    </x:row>
    <x:row r="268">
      <x:c r="J268" t="n">
        <x:f>H268*I268</x:f>
        <x:v>0</x:v>
      </x:c>
    </x:row>
    <x:row r="269">
      <x:c r="J269" t="n">
        <x:f>H269*I269</x:f>
        <x:v>0</x:v>
      </x:c>
    </x:row>
    <x:row r="270">
      <x:c r="J270" t="n">
        <x:f>H270*I270</x:f>
        <x:v>0</x:v>
      </x:c>
    </x:row>
    <x:row r="271">
      <x:c r="J271" t="n">
        <x:f>H271*I271</x:f>
        <x:v>0</x:v>
      </x:c>
    </x:row>
    <x:row r="272">
      <x:c r="J272" t="n">
        <x:f>H272*I272</x:f>
        <x:v>0</x:v>
      </x:c>
    </x:row>
    <x:row r="273">
      <x:c r="J273" t="n">
        <x:f>H273*I273</x:f>
        <x:v>0</x:v>
      </x:c>
    </x:row>
    <x:row r="274">
      <x:c r="J274" t="n">
        <x:f>H274*I274</x:f>
        <x:v>0</x:v>
      </x:c>
    </x:row>
    <x:row r="275">
      <x:c r="J275" t="n">
        <x:f>H275*I275</x:f>
        <x:v>0</x:v>
      </x:c>
    </x:row>
    <x:row r="276">
      <x:c r="J276" t="n">
        <x:f>H276*I276</x:f>
        <x:v>0</x:v>
      </x:c>
    </x:row>
    <x:row r="277">
      <x:c r="J277" t="n">
        <x:f>H277*I277</x:f>
        <x:v>0</x:v>
      </x:c>
    </x:row>
    <x:row r="278">
      <x:c r="J278" t="n">
        <x:f>H278*I278</x:f>
        <x:v>0</x:v>
      </x:c>
    </x:row>
    <x:row r="279">
      <x:c r="J279" t="n">
        <x:f>H279*I279</x:f>
        <x:v>0</x:v>
      </x:c>
    </x:row>
    <x:row r="280">
      <x:c r="J280" t="n">
        <x:f>H280*I280</x:f>
        <x:v>0</x:v>
      </x:c>
    </x:row>
    <x:row r="281">
      <x:c r="J281" t="n">
        <x:f>H281*I281</x:f>
        <x:v>0</x:v>
      </x:c>
    </x:row>
    <x:row r="282">
      <x:c r="J282" t="n">
        <x:f>H282*I282</x:f>
        <x:v>0</x:v>
      </x:c>
    </x:row>
    <x:row r="283">
      <x:c r="J283" t="n">
        <x:f>H283*I283</x:f>
        <x:v>0</x:v>
      </x:c>
    </x:row>
    <x:row r="284">
      <x:c r="J284" t="n">
        <x:f>H284*I284</x:f>
        <x:v>0</x:v>
      </x:c>
    </x:row>
    <x:row r="285">
      <x:c r="J285" t="n">
        <x:f>H285*I285</x:f>
        <x:v>0</x:v>
      </x:c>
    </x:row>
    <x:row r="286">
      <x:c r="J286" t="n">
        <x:f>H286*I286</x:f>
        <x:v>0</x:v>
      </x:c>
    </x:row>
    <x:row r="287">
      <x:c r="J287" t="n">
        <x:f>H287*I287</x:f>
        <x:v>0</x:v>
      </x:c>
    </x:row>
    <x:row r="288">
      <x:c r="J288" t="n">
        <x:f>H288*I288</x:f>
        <x:v>0</x:v>
      </x:c>
    </x:row>
    <x:row r="289">
      <x:c r="J289" t="n">
        <x:f>H289*I289</x:f>
        <x:v>0</x:v>
      </x:c>
    </x:row>
    <x:row r="290">
      <x:c r="J290" t="n">
        <x:f>H290*I290</x:f>
        <x:v>0</x:v>
      </x:c>
    </x:row>
    <x:row r="291">
      <x:c r="J291" t="n">
        <x:f>H291*I291</x:f>
        <x:v>0</x:v>
      </x:c>
    </x:row>
    <x:row r="292">
      <x:c r="J292" t="n">
        <x:f>H292*I292</x:f>
        <x:v>0</x:v>
      </x:c>
    </x:row>
    <x:row r="293">
      <x:c r="J293" t="n">
        <x:f>H293*I293</x:f>
        <x:v>0</x:v>
      </x:c>
    </x:row>
    <x:row r="294">
      <x:c r="J294" t="n">
        <x:f>H294*I294</x:f>
        <x:v>0</x:v>
      </x:c>
    </x:row>
    <x:row r="295">
      <x:c r="J295" t="n">
        <x:f>H295*I295</x:f>
        <x:v>0</x:v>
      </x:c>
    </x:row>
    <x:row r="296">
      <x:c r="J296" t="n">
        <x:f>H296*I296</x:f>
        <x:v>0</x:v>
      </x:c>
    </x:row>
    <x:row r="297">
      <x:c r="J297" t="n">
        <x:f>H297*I297</x:f>
        <x:v>0</x:v>
      </x:c>
    </x:row>
    <x:row r="298">
      <x:c r="J298" t="n">
        <x:f>H298*I298</x:f>
        <x:v>0</x:v>
      </x:c>
    </x:row>
    <x:row r="299">
      <x:c r="J299" t="n">
        <x:f>H299*I299</x:f>
        <x:v>0</x:v>
      </x:c>
    </x:row>
    <x:row r="300">
      <x:c r="J300" t="n">
        <x:f>H300*I300</x:f>
        <x:v>0</x:v>
      </x:c>
    </x:row>
    <x:row r="301">
      <x:c r="J301" t="n">
        <x:f>H301*I301</x:f>
        <x:v>0</x:v>
      </x:c>
    </x:row>
    <x:row r="302">
      <x:c r="J302" t="n">
        <x:f>H302*I302</x:f>
        <x:v>0</x:v>
      </x:c>
    </x:row>
    <x:row r="303">
      <x:c r="J303" t="n">
        <x:f>H303*I303</x:f>
        <x:v>0</x:v>
      </x:c>
    </x:row>
  </x:sheetData>
  <x:mergeCells>
    <x:mergeCell ref="A1:J1"/>
  </x:mergeCells>
  <x:conditionalFormatting sqref="J4:J303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acbf0b8b0d94b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2" hidden="0" customWidth="1"/>
    <x:col min="4" max="4" width="16" hidden="0" customWidth="1"/>
    <x:col min="5" max="5" width="16" hidden="0" customWidth="1"/>
    <x:col min="6" max="6" width="32" hidden="0" customWidth="1"/>
    <x:col min="7" max="7" width="22" hidden="0" customWidth="1"/>
    <x:col min="8" max="8" width="16" hidden="0" customWidth="1"/>
    <x:col min="9" max="9" width="16" hidden="0" customWidth="1"/>
  </x:cols>
  <x:sheetData>
    <x:row r="1">
      <x:c r="A1" s="4" t="str">
        <x:v>Traceability Matrix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Trace ID</x:v>
      </x:c>
      <x:c r="B3" s="12" t="str">
        <x:v>Requirement ID</x:v>
      </x:c>
      <x:c r="C3" s="12" t="str">
        <x:v>Design Component</x:v>
      </x:c>
      <x:c r="D3" s="12" t="str">
        <x:v>Implementation Item</x:v>
      </x:c>
      <x:c r="E3" s="12" t="str">
        <x:v>Test Case</x:v>
      </x:c>
      <x:c r="F3" s="12" t="str">
        <x:v>Evidence</x:v>
      </x:c>
      <x:c r="G3" s="12" t="str">
        <x:v>Owner</x:v>
      </x:c>
      <x:c r="H3" s="12" t="str">
        <x:v>Coverage Status</x:v>
      </x:c>
      <x:c r="I3" s="12" t="str">
        <x:v>Gap</x:v>
      </x:c>
    </x:row>
    <x:row r="4">
      <x:c r="A4" s="20" t="str">
        <x:v>TR-001</x:v>
      </x:c>
      <x:c r="B4" s="20" t="str">
        <x:v>REQ-001</x:v>
      </x:c>
      <x:c r="C4" s="20" t="str">
        <x:v>Administrative identity flow</x:v>
      </x:c>
      <x:c r="D4" s="20" t="str">
        <x:v>IAM-24</x:v>
      </x:c>
      <x:c r="E4" s="20" t="str">
        <x:v>TC-AUTH-04</x:v>
      </x:c>
      <x:c r="F4" s="20" t="str">
        <x:v>test://TC-AUTH-04</x:v>
      </x:c>
      <x:c r="G4" s="20" t="str">
        <x:v>IAM Lead</x:v>
      </x:c>
      <x:c r="H4" s="20" t="str">
        <x:v>Covered</x:v>
      </x:c>
      <x:c r="I4" s="20" t="str"/>
    </x:row>
    <x:row r="5">
      <x:c r="A5" s="20" t="str">
        <x:v>TR-002</x:v>
      </x:c>
      <x:c r="B5" s="20" t="str">
        <x:v>REQ-002</x:v>
      </x:c>
      <x:c r="C5" s="20" t="str">
        <x:v>Data storage architecture</x:v>
      </x:c>
      <x:c r="D5" s="20" t="str">
        <x:v>DATA-18</x:v>
      </x:c>
      <x:c r="E5" s="20" t="str">
        <x:v>TC-DATA-07</x:v>
      </x:c>
      <x:c r="F5" s="20" t="str">
        <x:v>test://TC-DATA-07</x:v>
      </x:c>
      <x:c r="G5" s="20" t="str">
        <x:v>Security Architect</x:v>
      </x:c>
      <x:c r="H5" s="20" t="str">
        <x:v>Partial</x:v>
      </x:c>
      <x:c r="I5" s="20" t="str">
        <x:v>Backup encryption evidence missing</x:v>
      </x:c>
    </x:row>
    <x:row r="6">
      <x:c r="A6" s="20" t="str">
        <x:v>TR-003</x:v>
      </x:c>
      <x:c r="B6" s="20" t="str">
        <x:v>REQ-003</x:v>
      </x:c>
      <x:c r="C6" s="20" t="str">
        <x:v>Authentication risk engine</x:v>
      </x:c>
      <x:c r="D6" s="20" t="str">
        <x:v>IAM-31</x:v>
      </x:c>
      <x:c r="E6" s="20" t="str">
        <x:v>TC-AUTH-10</x:v>
      </x:c>
      <x:c r="F6" s="20" t="str"/>
      <x:c r="G6" s="20" t="str">
        <x:v>IAM Lead</x:v>
      </x:c>
      <x:c r="H6" s="20" t="str">
        <x:v>Not Covered</x:v>
      </x:c>
      <x:c r="I6" s="20" t="str">
        <x:v>Test not implemented</x:v>
      </x:c>
    </x:row>
    <x:row r="7">
      <x:c r="A7" s="20"/>
      <x:c r="B7" s="20"/>
      <x:c r="C7" s="20"/>
      <x:c r="D7" s="20"/>
      <x:c r="E7" s="20"/>
      <x:c r="F7" s="20"/>
      <x:c r="G7" s="20"/>
      <x:c r="H7" s="20"/>
      <x:c r="I7" s="20"/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conditionalFormatting sqref="H4:H303">
    <x:cfRule type="dataBar" priority="1">
      <x:dataBar>
        <x:cfvo type="min"/>
        <x:cfvo type="max"/>
        <x:color rgb="FF0284C7"/>
      </x:dataBar>
      <x:extLst>
        <x:ext xmlns:x14="http://schemas.microsoft.com/office/spreadsheetml/2009/9/main" uri="{B025F937-C7B1-47D3-B67F-A62EFF666E3E}">
          <x14:id>{A6D9F1F4-C0B6-CE6F-AEA2-B93EC361335D}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e848fd62b184bc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D9F1F4-C0B6-CE6F-AEA2-B93EC361335D}">
            <x14:dataBar gradient="1">
              <x14:cfvo type="min"/>
              <x14:cfvo type="max"/>
              <x14:fillColor rgb="FF0284C7"/>
            </x14:dataBar>
          </x14:cfRule>
          <xm:sqref>H4:H303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2" hidden="0" customWidth="1"/>
    <x:col min="4" max="4" width="16" hidden="0" customWidth="1"/>
    <x:col min="5" max="5" width="32" hidden="0" customWidth="1"/>
    <x:col min="6" max="6" width="32" hidden="0" customWidth="1"/>
    <x:col min="7" max="7" width="22" hidden="0" customWidth="1"/>
    <x:col min="8" max="8" width="16" hidden="0" customWidth="1"/>
  </x:cols>
  <x:sheetData>
    <x:row r="1">
      <x:c r="A1" s="4" t="str">
        <x:v>Compliance Mapping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Map ID</x:v>
      </x:c>
      <x:c r="B3" s="12" t="str">
        <x:v>Requirement ID</x:v>
      </x:c>
      <x:c r="C3" s="12" t="str">
        <x:v>Framework / Policy</x:v>
      </x:c>
      <x:c r="D3" s="12" t="str">
        <x:v>Reference</x:v>
      </x:c>
      <x:c r="E3" s="12" t="str">
        <x:v>Mapping Rationale</x:v>
      </x:c>
      <x:c r="F3" s="12" t="str">
        <x:v>Evidence Needed</x:v>
      </x:c>
      <x:c r="G3" s="12" t="str">
        <x:v>Owner</x:v>
      </x:c>
      <x:c r="H3" s="12" t="str">
        <x:v>Review Status</x:v>
      </x:c>
    </x:row>
    <x:row r="4">
      <x:c r="A4" s="20" t="str">
        <x:v>MAP-001</x:v>
      </x:c>
      <x:c r="B4" s="20" t="str">
        <x:v>REQ-001</x:v>
      </x:c>
      <x:c r="C4" s="20" t="str">
        <x:v>NIST CSF 2.0</x:v>
      </x:c>
      <x:c r="D4" s="20" t="str">
        <x:v>PR.AA</x:v>
      </x:c>
      <x:c r="E4" s="20" t="str">
        <x:v>Supports identity and access protection</x:v>
      </x:c>
      <x:c r="F4" s="20" t="str">
        <x:v>MFA configuration and test</x:v>
      </x:c>
      <x:c r="G4" s="20" t="str">
        <x:v>GRC Analyst</x:v>
      </x:c>
      <x:c r="H4" s="20" t="str">
        <x:v>Reviewed</x:v>
      </x:c>
    </x:row>
    <x:row r="5">
      <x:c r="A5" s="20" t="str">
        <x:v>MAP-002</x:v>
      </x:c>
      <x:c r="B5" s="20" t="str">
        <x:v>REQ-002</x:v>
      </x:c>
      <x:c r="C5" s="20" t="str">
        <x:v>Internal Security Standard</x:v>
      </x:c>
      <x:c r="D5" s="20" t="str">
        <x:v>CRYPTO-01</x:v>
      </x:c>
      <x:c r="E5" s="20" t="str">
        <x:v>Requires approved encryption</x:v>
      </x:c>
      <x:c r="F5" s="20" t="str">
        <x:v>Architecture and configuration</x:v>
      </x:c>
      <x:c r="G5" s="20" t="str">
        <x:v>Security Architect</x:v>
      </x:c>
      <x:c r="H5" s="20" t="str">
        <x:v>Reviewed</x:v>
      </x:c>
    </x:row>
    <x:row r="6">
      <x:c r="A6" s="20" t="str">
        <x:v>MAP-003</x:v>
      </x:c>
      <x:c r="B6" s="20" t="str">
        <x:v>REQ-004</x:v>
      </x:c>
      <x:c r="C6" s="20" t="str">
        <x:v>NIST CSF 2.0</x:v>
      </x:c>
      <x:c r="D6" s="20" t="str">
        <x:v>DE.CM</x:v>
      </x:c>
      <x:c r="E6" s="20" t="str">
        <x:v>Supports monitoring and investigation</x:v>
      </x:c>
      <x:c r="F6" s="20" t="str">
        <x:v>Logging configuration</x:v>
      </x:c>
      <x:c r="G6" s="20" t="str">
        <x:v>SOC Lead</x:v>
      </x:c>
      <x:c r="H6" s="20" t="str">
        <x:v>Pending</x:v>
      </x:c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2c57b16ee544d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22" hidden="0" customWidth="1"/>
    <x:col min="5" max="5" width="16" hidden="0" customWidth="1"/>
    <x:col min="6" max="6" width="14" hidden="0" customWidth="1"/>
    <x:col min="7" max="7" width="16" hidden="0" customWidth="1"/>
    <x:col min="8" max="8" width="32" hidden="0" customWidth="1"/>
    <x:col min="9" max="9" width="16" hidden="0" customWidth="1"/>
    <x:col min="10" max="10" width="16" hidden="0" customWidth="1"/>
  </x:cols>
  <x:sheetData>
    <x:row r="1">
      <x:c r="A1" s="4" t="str">
        <x:v>Validation Plan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Validation ID</x:v>
      </x:c>
      <x:c r="B3" s="12" t="str">
        <x:v>Requirement ID</x:v>
      </x:c>
      <x:c r="C3" s="12" t="str">
        <x:v>Validation Method</x:v>
      </x:c>
      <x:c r="D3" s="12" t="str">
        <x:v>Test Owner</x:v>
      </x:c>
      <x:c r="E3" s="12" t="str">
        <x:v>Environment</x:v>
      </x:c>
      <x:c r="F3" s="12" t="str">
        <x:v>Planned Date</x:v>
      </x:c>
      <x:c r="G3" s="12" t="str">
        <x:v>Result</x:v>
      </x:c>
      <x:c r="H3" s="12" t="str">
        <x:v>Evidence</x:v>
      </x:c>
      <x:c r="I3" s="12" t="str">
        <x:v>Defect ID</x:v>
      </x:c>
      <x:c r="J3" s="12" t="str">
        <x:v>Status</x:v>
      </x:c>
    </x:row>
    <x:row r="4">
      <x:c r="A4" s="20" t="str">
        <x:v>VAL-001</x:v>
      </x:c>
      <x:c r="B4" s="20" t="str">
        <x:v>REQ-001</x:v>
      </x:c>
      <x:c r="C4" s="20" t="str">
        <x:v>Security functional test</x:v>
      </x:c>
      <x:c r="D4" s="20" t="str">
        <x:v>QA Security</x:v>
      </x:c>
      <x:c r="E4" s="20" t="str">
        <x:v>Test</x:v>
      </x:c>
      <x:c r="F4" s="22" t="n">
        <x:v>46280</x:v>
      </x:c>
      <x:c r="G4" s="20" t="str">
        <x:v>Pending</x:v>
      </x:c>
      <x:c r="H4" s="20" t="str"/>
      <x:c r="I4" s="20" t="str"/>
      <x:c r="J4" s="20" t="str">
        <x:v>Planned</x:v>
      </x:c>
    </x:row>
    <x:row r="5">
      <x:c r="A5" s="20" t="str">
        <x:v>VAL-002</x:v>
      </x:c>
      <x:c r="B5" s="20" t="str">
        <x:v>REQ-002</x:v>
      </x:c>
      <x:c r="C5" s="20" t="str">
        <x:v>Configuration inspection</x:v>
      </x:c>
      <x:c r="D5" s="20" t="str">
        <x:v>Security Architect</x:v>
      </x:c>
      <x:c r="E5" s="20" t="str">
        <x:v>Staging</x:v>
      </x:c>
      <x:c r="F5" s="22" t="n">
        <x:v>46285</x:v>
      </x:c>
      <x:c r="G5" s="20" t="str">
        <x:v>Pending</x:v>
      </x:c>
      <x:c r="H5" s="20" t="str"/>
      <x:c r="I5" s="20" t="str"/>
      <x:c r="J5" s="20" t="str">
        <x:v>Planned</x:v>
      </x:c>
    </x:row>
    <x:row r="6">
      <x:c r="A6" s="20" t="str">
        <x:v>VAL-003</x:v>
      </x:c>
      <x:c r="B6" s="20" t="str">
        <x:v>REQ-003</x:v>
      </x:c>
      <x:c r="C6" s="20" t="str">
        <x:v>Abuse-case simulation</x:v>
      </x:c>
      <x:c r="D6" s="20" t="str">
        <x:v>AppSec</x:v>
      </x:c>
      <x:c r="E6" s="20" t="str">
        <x:v>Staging</x:v>
      </x:c>
      <x:c r="F6" s="22" t="n">
        <x:v>46290</x:v>
      </x:c>
      <x:c r="G6" s="20" t="str">
        <x:v>Pending</x:v>
      </x:c>
      <x:c r="H6" s="20" t="str"/>
      <x:c r="I6" s="20" t="str"/>
      <x:c r="J6" s="20" t="str">
        <x:v>Planned</x:v>
      </x:c>
    </x:row>
    <x:row r="7">
      <x:c r="A7" s="20"/>
      <x:c r="B7" s="20"/>
      <x:c r="C7" s="20"/>
      <x:c r="D7" s="20"/>
      <x:c r="E7" s="20"/>
      <x:c r="F7" s="22"/>
      <x:c r="G7" s="20"/>
      <x:c r="H7" s="20"/>
      <x:c r="I7" s="20"/>
      <x:c r="J7" s="20"/>
    </x:row>
    <x:row r="8">
      <x:c r="A8" s="20"/>
      <x:c r="B8" s="20"/>
      <x:c r="C8" s="20"/>
      <x:c r="D8" s="20"/>
      <x:c r="E8" s="20"/>
      <x:c r="F8" s="22"/>
      <x:c r="G8" s="20"/>
      <x:c r="H8" s="20"/>
      <x:c r="I8" s="20"/>
      <x:c r="J8" s="20"/>
    </x:row>
    <x:row r="9">
      <x:c r="A9" s="20"/>
      <x:c r="B9" s="20"/>
      <x:c r="C9" s="20"/>
      <x:c r="D9" s="20"/>
      <x:c r="E9" s="20"/>
      <x:c r="F9" s="22"/>
      <x:c r="G9" s="20"/>
      <x:c r="H9" s="20"/>
      <x:c r="I9" s="20"/>
      <x:c r="J9" s="20"/>
    </x:row>
    <x:row r="10">
      <x:c r="A10" s="20"/>
      <x:c r="B10" s="20"/>
      <x:c r="C10" s="20"/>
      <x:c r="D10" s="20"/>
      <x:c r="E10" s="20"/>
      <x:c r="F10" s="22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0"/>
      <x:c r="F11" s="22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2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2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2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2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2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2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2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2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2"/>
      <x:c r="G20" s="20"/>
      <x:c r="H20" s="20"/>
      <x:c r="I20" s="20"/>
      <x:c r="J20" s="20"/>
    </x:row>
    <x:row r="21">
      <x:c r="F21" s="18"/>
    </x:row>
    <x:row r="22">
      <x:c r="F22" s="18"/>
    </x:row>
    <x:row r="23">
      <x:c r="F23" s="18"/>
    </x:row>
    <x:row r="24">
      <x:c r="F24" s="18"/>
    </x:row>
    <x:row r="25">
      <x:c r="F25" s="18"/>
    </x:row>
    <x:row r="26">
      <x:c r="F26" s="18"/>
    </x:row>
    <x:row r="27">
      <x:c r="F27" s="18"/>
    </x:row>
    <x:row r="28">
      <x:c r="F28" s="18"/>
    </x:row>
    <x:row r="29">
      <x:c r="F29" s="18"/>
    </x:row>
    <x:row r="30">
      <x:c r="F30" s="18"/>
    </x:row>
    <x:row r="31">
      <x:c r="F31" s="18"/>
    </x:row>
    <x:row r="32">
      <x:c r="F32" s="18"/>
    </x:row>
    <x:row r="33">
      <x:c r="F33" s="18"/>
    </x:row>
    <x:row r="34">
      <x:c r="F34" s="18"/>
    </x:row>
    <x:row r="35">
      <x:c r="F35" s="18"/>
    </x:row>
    <x:row r="36">
      <x:c r="F36" s="18"/>
    </x:row>
    <x:row r="37">
      <x:c r="F37" s="18"/>
    </x:row>
    <x:row r="38">
      <x:c r="F38" s="18"/>
    </x:row>
    <x:row r="39">
      <x:c r="F39" s="18"/>
    </x:row>
    <x:row r="40">
      <x:c r="F40" s="18"/>
    </x:row>
    <x:row r="41">
      <x:c r="F41" s="18"/>
    </x:row>
    <x:row r="42">
      <x:c r="F42" s="18"/>
    </x:row>
    <x:row r="43">
      <x:c r="F43" s="18"/>
    </x:row>
    <x:row r="44">
      <x:c r="F44" s="18"/>
    </x:row>
    <x:row r="45">
      <x:c r="F45" s="18"/>
    </x:row>
    <x:row r="46">
      <x:c r="F46" s="18"/>
    </x:row>
    <x:row r="47">
      <x:c r="F47" s="18"/>
    </x:row>
    <x:row r="48">
      <x:c r="F48" s="18"/>
    </x:row>
    <x:row r="49">
      <x:c r="F49" s="18"/>
    </x:row>
    <x:row r="50">
      <x:c r="F50" s="18"/>
    </x:row>
    <x:row r="51">
      <x:c r="F51" s="18"/>
    </x:row>
    <x:row r="52">
      <x:c r="F52" s="18"/>
    </x:row>
    <x:row r="53">
      <x:c r="F53" s="18"/>
    </x:row>
    <x:row r="54">
      <x:c r="F54" s="18"/>
    </x:row>
    <x:row r="55">
      <x:c r="F55" s="18"/>
    </x:row>
    <x:row r="56">
      <x:c r="F56" s="18"/>
    </x:row>
    <x:row r="57">
      <x:c r="F57" s="18"/>
    </x:row>
    <x:row r="58">
      <x:c r="F58" s="18"/>
    </x:row>
    <x:row r="59">
      <x:c r="F59" s="18"/>
    </x:row>
    <x:row r="60">
      <x:c r="F60" s="18"/>
    </x:row>
    <x:row r="61">
      <x:c r="F61" s="18"/>
    </x:row>
    <x:row r="62">
      <x:c r="F62" s="18"/>
    </x:row>
    <x:row r="63">
      <x:c r="F63" s="18"/>
    </x:row>
    <x:row r="64">
      <x:c r="F64" s="18"/>
    </x:row>
    <x:row r="65">
      <x:c r="F65" s="18"/>
    </x:row>
    <x:row r="66">
      <x:c r="F66" s="18"/>
    </x:row>
    <x:row r="67">
      <x:c r="F67" s="18"/>
    </x:row>
    <x:row r="68">
      <x:c r="F68" s="18"/>
    </x:row>
    <x:row r="69">
      <x:c r="F69" s="18"/>
    </x:row>
    <x:row r="70">
      <x:c r="F70" s="18"/>
    </x:row>
    <x:row r="71">
      <x:c r="F71" s="18"/>
    </x:row>
    <x:row r="72">
      <x:c r="F72" s="18"/>
    </x:row>
    <x:row r="73">
      <x:c r="F73" s="18"/>
    </x:row>
    <x:row r="74">
      <x:c r="F74" s="18"/>
    </x:row>
    <x:row r="75">
      <x:c r="F75" s="18"/>
    </x:row>
    <x:row r="76">
      <x:c r="F76" s="18"/>
    </x:row>
    <x:row r="77">
      <x:c r="F77" s="18"/>
    </x:row>
    <x:row r="78">
      <x:c r="F78" s="18"/>
    </x:row>
    <x:row r="79">
      <x:c r="F79" s="18"/>
    </x:row>
    <x:row r="80">
      <x:c r="F80" s="18"/>
    </x:row>
    <x:row r="81">
      <x:c r="F81" s="18"/>
    </x:row>
    <x:row r="82">
      <x:c r="F82" s="18"/>
    </x:row>
    <x:row r="83">
      <x:c r="F83" s="18"/>
    </x:row>
    <x:row r="84">
      <x:c r="F84" s="18"/>
    </x:row>
    <x:row r="85">
      <x:c r="F85" s="18"/>
    </x:row>
    <x:row r="86">
      <x:c r="F86" s="18"/>
    </x:row>
    <x:row r="87">
      <x:c r="F87" s="18"/>
    </x:row>
    <x:row r="88">
      <x:c r="F88" s="18"/>
    </x:row>
    <x:row r="89">
      <x:c r="F89" s="18"/>
    </x:row>
    <x:row r="90">
      <x:c r="F90" s="18"/>
    </x:row>
    <x:row r="91">
      <x:c r="F91" s="18"/>
    </x:row>
    <x:row r="92">
      <x:c r="F92" s="18"/>
    </x:row>
    <x:row r="93">
      <x:c r="F93" s="18"/>
    </x:row>
    <x:row r="94">
      <x:c r="F94" s="18"/>
    </x:row>
    <x:row r="95">
      <x:c r="F95" s="18"/>
    </x:row>
    <x:row r="96">
      <x:c r="F96" s="18"/>
    </x:row>
    <x:row r="97">
      <x:c r="F97" s="18"/>
    </x:row>
    <x:row r="98">
      <x:c r="F98" s="18"/>
    </x:row>
    <x:row r="99">
      <x:c r="F99" s="18"/>
    </x:row>
    <x:row r="100">
      <x:c r="F100" s="18"/>
    </x:row>
    <x:row r="101">
      <x:c r="F101" s="18"/>
    </x:row>
    <x:row r="102">
      <x:c r="F102" s="18"/>
    </x:row>
    <x:row r="103">
      <x:c r="F103" s="18"/>
    </x:row>
    <x:row r="104">
      <x:c r="F104" s="18"/>
    </x:row>
    <x:row r="105">
      <x:c r="F105" s="18"/>
    </x:row>
    <x:row r="106">
      <x:c r="F106" s="18"/>
    </x:row>
    <x:row r="107">
      <x:c r="F107" s="18"/>
    </x:row>
    <x:row r="108">
      <x:c r="F108" s="18"/>
    </x:row>
    <x:row r="109">
      <x:c r="F109" s="18"/>
    </x:row>
    <x:row r="110">
      <x:c r="F110" s="18"/>
    </x:row>
    <x:row r="111">
      <x:c r="F111" s="18"/>
    </x:row>
    <x:row r="112">
      <x:c r="F112" s="18"/>
    </x:row>
    <x:row r="113">
      <x:c r="F113" s="18"/>
    </x:row>
    <x:row r="114">
      <x:c r="F114" s="18"/>
    </x:row>
    <x:row r="115">
      <x:c r="F115" s="18"/>
    </x:row>
    <x:row r="116">
      <x:c r="F116" s="18"/>
    </x:row>
    <x:row r="117">
      <x:c r="F117" s="18"/>
    </x:row>
    <x:row r="118">
      <x:c r="F118" s="18"/>
    </x:row>
    <x:row r="119">
      <x:c r="F119" s="18"/>
    </x:row>
    <x:row r="120">
      <x:c r="F120" s="18"/>
    </x:row>
    <x:row r="121">
      <x:c r="F121" s="18"/>
    </x:row>
    <x:row r="122">
      <x:c r="F122" s="18"/>
    </x:row>
    <x:row r="123">
      <x:c r="F123" s="18"/>
    </x:row>
    <x:row r="124">
      <x:c r="F124" s="18"/>
    </x:row>
    <x:row r="125">
      <x:c r="F125" s="18"/>
    </x:row>
    <x:row r="126">
      <x:c r="F126" s="18"/>
    </x:row>
    <x:row r="127">
      <x:c r="F127" s="18"/>
    </x:row>
    <x:row r="128">
      <x:c r="F128" s="18"/>
    </x:row>
    <x:row r="129">
      <x:c r="F129" s="18"/>
    </x:row>
    <x:row r="130">
      <x:c r="F130" s="18"/>
    </x:row>
    <x:row r="131">
      <x:c r="F131" s="18"/>
    </x:row>
    <x:row r="132">
      <x:c r="F132" s="18"/>
    </x:row>
    <x:row r="133">
      <x:c r="F133" s="18"/>
    </x:row>
    <x:row r="134">
      <x:c r="F134" s="18"/>
    </x:row>
    <x:row r="135">
      <x:c r="F135" s="18"/>
    </x:row>
    <x:row r="136">
      <x:c r="F136" s="18"/>
    </x:row>
    <x:row r="137">
      <x:c r="F137" s="18"/>
    </x:row>
    <x:row r="138">
      <x:c r="F138" s="18"/>
    </x:row>
    <x:row r="139">
      <x:c r="F139" s="18"/>
    </x:row>
    <x:row r="140">
      <x:c r="F140" s="18"/>
    </x:row>
    <x:row r="141">
      <x:c r="F141" s="18"/>
    </x:row>
    <x:row r="142">
      <x:c r="F142" s="18"/>
    </x:row>
    <x:row r="143">
      <x:c r="F143" s="18"/>
    </x:row>
    <x:row r="144">
      <x:c r="F144" s="18"/>
    </x:row>
    <x:row r="145">
      <x:c r="F145" s="18"/>
    </x:row>
    <x:row r="146">
      <x:c r="F146" s="18"/>
    </x:row>
    <x:row r="147">
      <x:c r="F147" s="18"/>
    </x:row>
    <x:row r="148">
      <x:c r="F148" s="18"/>
    </x:row>
    <x:row r="149">
      <x:c r="F149" s="18"/>
    </x:row>
    <x:row r="150">
      <x:c r="F150" s="18"/>
    </x:row>
    <x:row r="151">
      <x:c r="F151" s="18"/>
    </x:row>
    <x:row r="152">
      <x:c r="F152" s="18"/>
    </x:row>
    <x:row r="153">
      <x:c r="F153" s="18"/>
    </x:row>
    <x:row r="154">
      <x:c r="F154" s="18"/>
    </x:row>
    <x:row r="155">
      <x:c r="F155" s="18"/>
    </x:row>
    <x:row r="156">
      <x:c r="F156" s="18"/>
    </x:row>
    <x:row r="157">
      <x:c r="F157" s="18"/>
    </x:row>
    <x:row r="158">
      <x:c r="F158" s="18"/>
    </x:row>
    <x:row r="159">
      <x:c r="F159" s="18"/>
    </x:row>
    <x:row r="160">
      <x:c r="F160" s="18"/>
    </x:row>
    <x:row r="161">
      <x:c r="F161" s="18"/>
    </x:row>
    <x:row r="162">
      <x:c r="F162" s="18"/>
    </x:row>
    <x:row r="163">
      <x:c r="F163" s="18"/>
    </x:row>
    <x:row r="164">
      <x:c r="F164" s="18"/>
    </x:row>
    <x:row r="165">
      <x:c r="F165" s="18"/>
    </x:row>
    <x:row r="166">
      <x:c r="F166" s="18"/>
    </x:row>
    <x:row r="167">
      <x:c r="F167" s="18"/>
    </x:row>
    <x:row r="168">
      <x:c r="F168" s="18"/>
    </x:row>
    <x:row r="169">
      <x:c r="F169" s="18"/>
    </x:row>
    <x:row r="170">
      <x:c r="F170" s="18"/>
    </x:row>
    <x:row r="171">
      <x:c r="F171" s="18"/>
    </x:row>
    <x:row r="172">
      <x:c r="F172" s="18"/>
    </x:row>
    <x:row r="173">
      <x:c r="F173" s="18"/>
    </x:row>
    <x:row r="174">
      <x:c r="F174" s="18"/>
    </x:row>
    <x:row r="175">
      <x:c r="F175" s="18"/>
    </x:row>
    <x:row r="176">
      <x:c r="F176" s="18"/>
    </x:row>
    <x:row r="177">
      <x:c r="F177" s="18"/>
    </x:row>
    <x:row r="178">
      <x:c r="F178" s="18"/>
    </x:row>
    <x:row r="179">
      <x:c r="F179" s="18"/>
    </x:row>
    <x:row r="180">
      <x:c r="F180" s="18"/>
    </x:row>
    <x:row r="181">
      <x:c r="F181" s="18"/>
    </x:row>
    <x:row r="182">
      <x:c r="F182" s="18"/>
    </x:row>
    <x:row r="183">
      <x:c r="F183" s="18"/>
    </x:row>
    <x:row r="184">
      <x:c r="F184" s="18"/>
    </x:row>
    <x:row r="185">
      <x:c r="F185" s="18"/>
    </x:row>
    <x:row r="186">
      <x:c r="F186" s="18"/>
    </x:row>
    <x:row r="187">
      <x:c r="F187" s="18"/>
    </x:row>
    <x:row r="188">
      <x:c r="F188" s="18"/>
    </x:row>
    <x:row r="189">
      <x:c r="F189" s="18"/>
    </x:row>
    <x:row r="190">
      <x:c r="F190" s="18"/>
    </x:row>
    <x:row r="191">
      <x:c r="F191" s="18"/>
    </x:row>
    <x:row r="192">
      <x:c r="F192" s="18"/>
    </x:row>
    <x:row r="193">
      <x:c r="F193" s="18"/>
    </x:row>
    <x:row r="194">
      <x:c r="F194" s="18"/>
    </x:row>
    <x:row r="195">
      <x:c r="F195" s="18"/>
    </x:row>
    <x:row r="196">
      <x:c r="F196" s="18"/>
    </x:row>
    <x:row r="197">
      <x:c r="F197" s="18"/>
    </x:row>
    <x:row r="198">
      <x:c r="F198" s="18"/>
    </x:row>
    <x:row r="199">
      <x:c r="F199" s="18"/>
    </x:row>
    <x:row r="200">
      <x:c r="F200" s="18"/>
    </x:row>
    <x:row r="201">
      <x:c r="F201" s="18"/>
    </x:row>
    <x:row r="202">
      <x:c r="F202" s="18"/>
    </x:row>
    <x:row r="203">
      <x:c r="F203" s="18"/>
    </x:row>
    <x:row r="204">
      <x:c r="F204" s="18"/>
    </x:row>
    <x:row r="205">
      <x:c r="F205" s="18"/>
    </x:row>
    <x:row r="206">
      <x:c r="F206" s="18"/>
    </x:row>
    <x:row r="207">
      <x:c r="F207" s="18"/>
    </x:row>
    <x:row r="208">
      <x:c r="F208" s="18"/>
    </x:row>
    <x:row r="209">
      <x:c r="F209" s="18"/>
    </x:row>
    <x:row r="210">
      <x:c r="F210" s="18"/>
    </x:row>
    <x:row r="211">
      <x:c r="F211" s="18"/>
    </x:row>
    <x:row r="212">
      <x:c r="F212" s="18"/>
    </x:row>
    <x:row r="213">
      <x:c r="F213" s="18"/>
    </x:row>
    <x:row r="214">
      <x:c r="F214" s="18"/>
    </x:row>
    <x:row r="215">
      <x:c r="F215" s="18"/>
    </x:row>
    <x:row r="216">
      <x:c r="F216" s="18"/>
    </x:row>
    <x:row r="217">
      <x:c r="F217" s="18"/>
    </x:row>
    <x:row r="218">
      <x:c r="F218" s="18"/>
    </x:row>
    <x:row r="219">
      <x:c r="F219" s="18"/>
    </x:row>
    <x:row r="220">
      <x:c r="F220" s="18"/>
    </x:row>
    <x:row r="221">
      <x:c r="F221" s="18"/>
    </x:row>
    <x:row r="222">
      <x:c r="F222" s="18"/>
    </x:row>
    <x:row r="223">
      <x:c r="F223" s="18"/>
    </x:row>
    <x:row r="224">
      <x:c r="F224" s="18"/>
    </x:row>
    <x:row r="225">
      <x:c r="F225" s="18"/>
    </x:row>
    <x:row r="226">
      <x:c r="F226" s="18"/>
    </x:row>
    <x:row r="227">
      <x:c r="F227" s="18"/>
    </x:row>
    <x:row r="228">
      <x:c r="F228" s="18"/>
    </x:row>
    <x:row r="229">
      <x:c r="F229" s="18"/>
    </x:row>
    <x:row r="230">
      <x:c r="F230" s="18"/>
    </x:row>
    <x:row r="231">
      <x:c r="F231" s="18"/>
    </x:row>
    <x:row r="232">
      <x:c r="F232" s="18"/>
    </x:row>
    <x:row r="233">
      <x:c r="F233" s="18"/>
    </x:row>
    <x:row r="234">
      <x:c r="F234" s="18"/>
    </x:row>
    <x:row r="235">
      <x:c r="F235" s="18"/>
    </x:row>
    <x:row r="236">
      <x:c r="F236" s="18"/>
    </x:row>
    <x:row r="237">
      <x:c r="F237" s="18"/>
    </x:row>
    <x:row r="238">
      <x:c r="F238" s="18"/>
    </x:row>
    <x:row r="239">
      <x:c r="F239" s="18"/>
    </x:row>
    <x:row r="240">
      <x:c r="F240" s="18"/>
    </x:row>
    <x:row r="241">
      <x:c r="F241" s="18"/>
    </x:row>
    <x:row r="242">
      <x:c r="F242" s="18"/>
    </x:row>
    <x:row r="243">
      <x:c r="F243" s="18"/>
    </x:row>
    <x:row r="244">
      <x:c r="F244" s="18"/>
    </x:row>
    <x:row r="245">
      <x:c r="F245" s="18"/>
    </x:row>
    <x:row r="246">
      <x:c r="F246" s="18"/>
    </x:row>
    <x:row r="247">
      <x:c r="F247" s="18"/>
    </x:row>
    <x:row r="248">
      <x:c r="F248" s="18"/>
    </x:row>
    <x:row r="249">
      <x:c r="F249" s="18"/>
    </x:row>
    <x:row r="250">
      <x:c r="F250" s="18"/>
    </x:row>
    <x:row r="251">
      <x:c r="F251" s="18"/>
    </x:row>
    <x:row r="252">
      <x:c r="F252" s="18"/>
    </x:row>
    <x:row r="253">
      <x:c r="F253" s="18"/>
    </x:row>
    <x:row r="254">
      <x:c r="F254" s="18"/>
    </x:row>
    <x:row r="255">
      <x:c r="F255" s="18"/>
    </x:row>
    <x:row r="256">
      <x:c r="F256" s="18"/>
    </x:row>
    <x:row r="257">
      <x:c r="F257" s="18"/>
    </x:row>
    <x:row r="258">
      <x:c r="F258" s="18"/>
    </x:row>
    <x:row r="259">
      <x:c r="F259" s="18"/>
    </x:row>
    <x:row r="260">
      <x:c r="F260" s="18"/>
    </x:row>
    <x:row r="261">
      <x:c r="F261" s="18"/>
    </x:row>
    <x:row r="262">
      <x:c r="F262" s="18"/>
    </x:row>
    <x:row r="263">
      <x:c r="F263" s="18"/>
    </x:row>
    <x:row r="264">
      <x:c r="F264" s="18"/>
    </x:row>
    <x:row r="265">
      <x:c r="F265" s="18"/>
    </x:row>
    <x:row r="266">
      <x:c r="F266" s="18"/>
    </x:row>
    <x:row r="267">
      <x:c r="F267" s="18"/>
    </x:row>
    <x:row r="268">
      <x:c r="F268" s="18"/>
    </x:row>
    <x:row r="269">
      <x:c r="F269" s="18"/>
    </x:row>
    <x:row r="270">
      <x:c r="F270" s="18"/>
    </x:row>
    <x:row r="271">
      <x:c r="F271" s="18"/>
    </x:row>
    <x:row r="272">
      <x:c r="F272" s="18"/>
    </x:row>
    <x:row r="273">
      <x:c r="F273" s="18"/>
    </x:row>
    <x:row r="274">
      <x:c r="F274" s="18"/>
    </x:row>
    <x:row r="275">
      <x:c r="F275" s="18"/>
    </x:row>
    <x:row r="276">
      <x:c r="F276" s="18"/>
    </x:row>
    <x:row r="277">
      <x:c r="F277" s="18"/>
    </x:row>
    <x:row r="278">
      <x:c r="F278" s="18"/>
    </x:row>
    <x:row r="279">
      <x:c r="F279" s="18"/>
    </x:row>
    <x:row r="280">
      <x:c r="F280" s="18"/>
    </x:row>
    <x:row r="281">
      <x:c r="F281" s="18"/>
    </x:row>
    <x:row r="282">
      <x:c r="F282" s="18"/>
    </x:row>
    <x:row r="283">
      <x:c r="F283" s="18"/>
    </x:row>
    <x:row r="284">
      <x:c r="F284" s="18"/>
    </x:row>
    <x:row r="285">
      <x:c r="F285" s="18"/>
    </x:row>
    <x:row r="286">
      <x:c r="F286" s="18"/>
    </x:row>
    <x:row r="287">
      <x:c r="F287" s="18"/>
    </x:row>
    <x:row r="288">
      <x:c r="F288" s="18"/>
    </x:row>
    <x:row r="289">
      <x:c r="F289" s="18"/>
    </x:row>
    <x:row r="290">
      <x:c r="F290" s="18"/>
    </x:row>
    <x:row r="291">
      <x:c r="F291" s="18"/>
    </x:row>
    <x:row r="292">
      <x:c r="F292" s="18"/>
    </x:row>
    <x:row r="293">
      <x:c r="F293" s="18"/>
    </x:row>
    <x:row r="294">
      <x:c r="F294" s="18"/>
    </x:row>
    <x:row r="295">
      <x:c r="F295" s="18"/>
    </x:row>
    <x:row r="296">
      <x:c r="F296" s="18"/>
    </x:row>
    <x:row r="297">
      <x:c r="F297" s="18"/>
    </x:row>
    <x:row r="298">
      <x:c r="F298" s="18"/>
    </x:row>
    <x:row r="299">
      <x:c r="F299" s="18"/>
    </x:row>
    <x:row r="300">
      <x:c r="F300" s="18"/>
    </x:row>
    <x:row r="301">
      <x:c r="F301" s="18"/>
    </x:row>
    <x:row r="302">
      <x:c r="F302" s="18"/>
    </x:row>
    <x:row r="303">
      <x:c r="F303" s="18"/>
    </x:row>
  </x:sheetData>
  <x:mergeCells>
    <x:mergeCell ref="A1:J1"/>
  </x:mergeCells>
  <x:dataValidations count="2">
    <x:dataValidation type="list" sqref="G4:G303">
      <x:formula1>"Pending,Pass,Fail,Needs Fix,Not Applicable"</x:formula1>
    </x:dataValidation>
    <x:dataValidation type="list" sqref="J4:J303">
      <x:formula1>"Not Started,Planned,In Progress,Operational,Needs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ffdb5d0a7949f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5" hidden="0" customWidth="1"/>
  </x:cols>
  <x:sheetData>
    <x:row r="1">
      <x:c r="A1" s="4" t="str">
        <x:v>Security Requirements Workbook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records with information approved for your organization or lab.</x:v>
      </x:c>
    </x:row>
    <x:row r="5">
      <x:c r="A5" s="20" t="n">
        <x:v>2</x:v>
      </x:c>
      <x:c r="B5" s="20" t="str">
        <x:v>Assign accountable owners and use consistent definitions for status, priority, severity, and evidence.</x:v>
      </x:c>
    </x:row>
    <x:row r="6">
      <x:c r="A6" s="20" t="n">
        <x:v>3</x:v>
      </x:c>
      <x:c r="B6" s="20" t="str">
        <x:v>Link requirements, threats, tests, findings, and release decisions wherever traceability is needed.</x:v>
      </x:c>
    </x:row>
    <x:row r="7">
      <x:c r="A7" s="20" t="n">
        <x:v>4</x:v>
      </x:c>
      <x:c r="B7" s="20" t="str">
        <x:v>Store sensitive evidence in an approved repository rather than embedding secrets in the workbook.</x:v>
      </x:c>
    </x:row>
    <x:row r="8">
      <x:c r="A8" s="20" t="n">
        <x:v>5</x:v>
      </x:c>
      <x:c r="B8" s="20" t="str">
        <x:v>Review critical exceptions with engineering, security, privacy, legal, and business stakeholders.</x:v>
      </x:c>
    </x:row>
    <x:row r="9">
      <x:c r="A9" s="20" t="n">
        <x:v>6</x:v>
      </x:c>
      <x:c r="B9" s="20" t="str">
        <x:v>Treat this resource as educational decision support and tailor it to your development environment.</x:v>
      </x:c>
    </x:row>
    <x:row r="10">
      <x:c r="A10" s="20" t="n">
        <x:v>7</x:v>
      </x:c>
      <x:c r="B10" s="20" t="str">
        <x:v>Use authoritative standards, contractual terms, and legal guidance for formal compliance decisions.</x:v>
      </x:c>
    </x:row>
  </x:sheetData>
  <x:mergeCells>
    <x:mergeCell ref="A1:H1"/>
  </x:mergeCells>
  <x:pageMargins left="0.7" right="0.7" top="0.75" bottom="0.75" header="0.3" footer="0.3"/>
</x:worksheet>
</file>