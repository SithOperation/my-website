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05aa9b986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7ebfefb467c4af7"/>
    <x:sheet xmlns:r="http://schemas.openxmlformats.org/officeDocument/2006/relationships" name="Zone Inventory" sheetId="2" r:id="Rce29bf697dac4cf7"/>
    <x:sheet xmlns:r="http://schemas.openxmlformats.org/officeDocument/2006/relationships" name="VLAN Plan" sheetId="3" r:id="Rea9a96008aaa40d8"/>
    <x:sheet xmlns:r="http://schemas.openxmlformats.org/officeDocument/2006/relationships" name="Firewall Rules" sheetId="4" r:id="Rbe130d52cf1e4c9c"/>
    <x:sheet xmlns:r="http://schemas.openxmlformats.org/officeDocument/2006/relationships" name="Risk Register" sheetId="5" r:id="Rf8034ca3383641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8"/>
      <x:color rgb="FFF9FAFB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795f2e29bc46b0" /><Relationship Type="http://schemas.openxmlformats.org/officeDocument/2006/relationships/theme" Target="/xl/theme/theme1.xml" Id="R5a5b8d19ac1841c0" /><Relationship Type="http://schemas.openxmlformats.org/officeDocument/2006/relationships/sharedStrings" Target="/xl/sharedStrings.xml" Id="Rb7e37705150c4081" /><Relationship Type="http://schemas.openxmlformats.org/officeDocument/2006/relationships/worksheet" Target="/xl/worksheets/sheet1.xml" Id="R57ebfefb467c4af7" /><Relationship Type="http://schemas.openxmlformats.org/officeDocument/2006/relationships/worksheet" Target="/xl/worksheets/sheet2.xml" Id="Rce29bf697dac4cf7" /><Relationship Type="http://schemas.openxmlformats.org/officeDocument/2006/relationships/worksheet" Target="/xl/worksheets/sheet3.xml" Id="Rea9a96008aaa40d8" /><Relationship Type="http://schemas.openxmlformats.org/officeDocument/2006/relationships/worksheet" Target="/xl/worksheets/sheet4.xml" Id="Rbe130d52cf1e4c9c" /><Relationship Type="http://schemas.openxmlformats.org/officeDocument/2006/relationships/worksheet" Target="/xl/worksheets/sheet5.xml" Id="Rf8034ca33836418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faada804214cd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faada804214cd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d4d00dae744ad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Network Segmentation Designer Dashboard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Metric</x:v>
      </x:c>
      <x:c r="B3" s="10" t="str">
        <x:v>Value</x:v>
      </x:c>
      <x:c r="D3" s="10" t="str">
        <x:v>Sheet</x:v>
      </x:c>
      <x:c r="E3" s="10" t="str">
        <x:v>Records</x:v>
      </x:c>
    </x:row>
    <x:row r="4">
      <x:c r="A4" s="16" t="str">
        <x:v>Core Sheets</x:v>
      </x:c>
      <x:c r="B4" s="16" t="n">
        <x:v>4</x:v>
      </x:c>
      <x:c r="D4" t="str">
        <x:v>Zone Inventory</x:v>
      </x:c>
      <x:c r="E4" t="n">
        <x:f>COUNTIF('Zone Inventory'!A4:A303,"&lt;&gt;")</x:f>
        <x:v>4</x:v>
      </x:c>
    </x:row>
    <x:row r="5">
      <x:c r="A5" s="16" t="str">
        <x:v>Records Tracked</x:v>
      </x:c>
      <x:c r="B5" s="16" t="n">
        <x:f>COUNTIF('Zone Inventory'!A4:A303,"&lt;&gt;")+COUNTIF('VLAN Plan'!A4:A303,"&lt;&gt;")+COUNTIF('Firewall Rules'!A4:A303,"&lt;&gt;")+COUNTIF('Risk Register'!A4:A303,"&lt;&gt;")</x:f>
        <x:v>14</x:v>
      </x:c>
      <x:c r="D5" t="str">
        <x:v>VLAN Plan</x:v>
      </x:c>
      <x:c r="E5" t="n">
        <x:f>COUNTIF('VLAN Plan'!A4:A303,"&lt;&gt;")</x:f>
        <x:v>4</x:v>
      </x:c>
    </x:row>
    <x:row r="6">
      <x:c r="A6" s="16" t="str">
        <x:v>Open / Planned Items</x:v>
      </x:c>
      <x:c r="B6" s="16" t="n">
        <x:f>0</x:f>
        <x:v>0</x:v>
      </x:c>
      <x:c r="D6" t="str">
        <x:v>Firewall Rules</x:v>
      </x:c>
      <x:c r="E6" t="n">
        <x:f>COUNTIF('Firewall Rules'!A4:A303,"&lt;&gt;")</x:f>
        <x:v>3</x:v>
      </x:c>
    </x:row>
    <x:row r="7">
      <x:c r="A7" s="16" t="str">
        <x:v>High / Critical Items</x:v>
      </x:c>
      <x:c r="B7" s="16" t="n">
        <x:f>0</x:f>
        <x:v>0</x:v>
      </x:c>
      <x:c r="D7" t="str">
        <x:v>Risk Register</x:v>
      </x:c>
      <x:c r="E7" t="n">
        <x:f>COUNTIF('Risk Register'!A4:A303,"&lt;&gt;")</x:f>
        <x:v>3</x:v>
      </x:c>
    </x:row>
    <x:row r="8">
      <x:c r="A8" s="16" t="str">
        <x:v>Last Updated</x:v>
      </x:c>
      <x:c r="B8" s="20" t="n">
        <x:v>46221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d1d4d00dae744ad7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3" t="str">
        <x:v>Zone Inventory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Zone ID</x:v>
      </x:c>
      <x:c r="B3" s="10" t="str">
        <x:v>Zone Name</x:v>
      </x:c>
      <x:c r="C3" s="10" t="str">
        <x:v>Purpose</x:v>
      </x:c>
      <x:c r="D3" s="10" t="str">
        <x:v>Assets</x:v>
      </x:c>
      <x:c r="E3" s="10" t="str">
        <x:v>Data Sensitivity</x:v>
      </x:c>
      <x:c r="F3" s="10" t="str">
        <x:v>Inbound Policy</x:v>
      </x:c>
      <x:c r="G3" s="10" t="str">
        <x:v>Outbound Policy</x:v>
      </x:c>
      <x:c r="H3" s="10" t="str">
        <x:v>Monitoring</x:v>
      </x:c>
      <x:c r="I3" s="10" t="str">
        <x:v>Owner</x:v>
      </x:c>
      <x:c r="J3" s="10" t="str">
        <x:v>Status</x:v>
      </x:c>
    </x:row>
    <x:row r="4">
      <x:c r="A4" s="16" t="str">
        <x:v>NZ-001</x:v>
      </x:c>
      <x:c r="B4" s="16" t="str">
        <x:v>User LAN</x:v>
      </x:c>
      <x:c r="C4" s="16" t="str">
        <x:v>Employee endpoints</x:v>
      </x:c>
      <x:c r="D4" s="16" t="str">
        <x:v>Workstations</x:v>
      </x:c>
      <x:c r="E4" s="16" t="str">
        <x:v>Internal</x:v>
      </x:c>
      <x:c r="F4" s="16" t="str">
        <x:v>Restricted by application</x:v>
      </x:c>
      <x:c r="G4" s="16" t="str">
        <x:v>Web and approved services</x:v>
      </x:c>
      <x:c r="H4" s="16" t="str">
        <x:v>EDR; DNS; proxy</x:v>
      </x:c>
      <x:c r="I4" s="16" t="str">
        <x:v>Network Lead</x:v>
      </x:c>
      <x:c r="J4" s="16" t="str">
        <x:v>Operational</x:v>
      </x:c>
    </x:row>
    <x:row r="5">
      <x:c r="A5" s="16" t="str">
        <x:v>NZ-002</x:v>
      </x:c>
      <x:c r="B5" s="16" t="str">
        <x:v>Server Zone</x:v>
      </x:c>
      <x:c r="C5" s="16" t="str">
        <x:v>Business applications</x:v>
      </x:c>
      <x:c r="D5" s="16" t="str">
        <x:v>Application servers</x:v>
      </x:c>
      <x:c r="E5" s="16" t="str">
        <x:v>Confidential</x:v>
      </x:c>
      <x:c r="F5" s="16" t="str">
        <x:v>Only approved service ports</x:v>
      </x:c>
      <x:c r="G5" s="16" t="str">
        <x:v>Restricted egress</x:v>
      </x:c>
      <x:c r="H5" s="16" t="str">
        <x:v>NDR; EDR; SIEM</x:v>
      </x:c>
      <x:c r="I5" s="16" t="str">
        <x:v>Infrastructure Lead</x:v>
      </x:c>
      <x:c r="J5" s="16" t="str">
        <x:v>Operational</x:v>
      </x:c>
    </x:row>
    <x:row r="6">
      <x:c r="A6" s="16" t="str">
        <x:v>NZ-003</x:v>
      </x:c>
      <x:c r="B6" s="16" t="str">
        <x:v>DMZ</x:v>
      </x:c>
      <x:c r="C6" s="16" t="str">
        <x:v>Public-facing services</x:v>
      </x:c>
      <x:c r="D6" s="16" t="str">
        <x:v>Reverse proxies and web apps</x:v>
      </x:c>
      <x:c r="E6" s="16" t="str">
        <x:v>Public/Confidential</x:v>
      </x:c>
      <x:c r="F6" s="16" t="str">
        <x:v>Internet to published services</x:v>
      </x:c>
      <x:c r="G6" s="16" t="str">
        <x:v>Restricted to application tiers</x:v>
      </x:c>
      <x:c r="H6" s="16" t="str">
        <x:v>WAF; NDR; SIEM</x:v>
      </x:c>
      <x:c r="I6" s="16" t="str">
        <x:v>AppSec Lead</x:v>
      </x:c>
      <x:c r="J6" s="16" t="str">
        <x:v>Operational</x:v>
      </x:c>
    </x:row>
    <x:row r="7">
      <x:c r="A7" s="16" t="str">
        <x:v>NZ-004</x:v>
      </x:c>
      <x:c r="B7" s="16" t="str">
        <x:v>Management</x:v>
      </x:c>
      <x:c r="C7" s="16" t="str">
        <x:v>Administrative access</x:v>
      </x:c>
      <x:c r="D7" s="16" t="str">
        <x:v>Jump hosts and controllers</x:v>
      </x:c>
      <x:c r="E7" s="16" t="str">
        <x:v>Restricted</x:v>
      </x:c>
      <x:c r="F7" s="16" t="str">
        <x:v>Privileged access only</x:v>
      </x:c>
      <x:c r="G7" s="16" t="str">
        <x:v>No general internet</x:v>
      </x:c>
      <x:c r="H7" s="16" t="str">
        <x:v>PAM; EDR; SIEM</x:v>
      </x:c>
      <x:c r="I7" s="16" t="str">
        <x:v>Security Ops</x:v>
      </x:c>
      <x:c r="J7" s="16" t="str">
        <x:v>Needs Improvement</x:v>
      </x:c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3" t="str">
        <x:v>VLAN Plan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VLAN ID</x:v>
      </x:c>
      <x:c r="B3" s="10" t="str">
        <x:v>Name</x:v>
      </x:c>
      <x:c r="C3" s="10" t="str">
        <x:v>Subnet</x:v>
      </x:c>
      <x:c r="D3" s="10" t="str">
        <x:v>Zone</x:v>
      </x:c>
      <x:c r="E3" s="10" t="str">
        <x:v>Purpose</x:v>
      </x:c>
      <x:c r="F3" s="10" t="str">
        <x:v>DHCP</x:v>
      </x:c>
      <x:c r="G3" s="10" t="str">
        <x:v>Gateway</x:v>
      </x:c>
      <x:c r="H3" s="10" t="str">
        <x:v>ACL Profile</x:v>
      </x:c>
      <x:c r="I3" s="10" t="str">
        <x:v>Owner</x:v>
      </x:c>
      <x:c r="J3" s="10" t="str">
        <x:v>Status</x:v>
      </x:c>
    </x:row>
    <x:row r="4">
      <x:c r="A4" s="16" t="n">
        <x:v>10</x:v>
      </x:c>
      <x:c r="B4" s="16" t="str">
        <x:v>Users</x:v>
      </x:c>
      <x:c r="C4" s="16" t="str">
        <x:v>10.10.10.0/24</x:v>
      </x:c>
      <x:c r="D4" s="16" t="str">
        <x:v>User LAN</x:v>
      </x:c>
      <x:c r="E4" s="16" t="str">
        <x:v>Employee endpoints</x:v>
      </x:c>
      <x:c r="F4" s="16" t="str">
        <x:v>Yes</x:v>
      </x:c>
      <x:c r="G4" s="16" t="str">
        <x:v>10.10.10.1</x:v>
      </x:c>
      <x:c r="H4" s="16" t="str">
        <x:v>USER-STD</x:v>
      </x:c>
      <x:c r="I4" s="16" t="str">
        <x:v>Network Lead</x:v>
      </x:c>
      <x:c r="J4" s="16" t="str">
        <x:v>Operational</x:v>
      </x:c>
    </x:row>
    <x:row r="5">
      <x:c r="A5" s="16" t="n">
        <x:v>20</x:v>
      </x:c>
      <x:c r="B5" s="16" t="str">
        <x:v>Servers</x:v>
      </x:c>
      <x:c r="C5" s="16" t="str">
        <x:v>10.10.20.0/24</x:v>
      </x:c>
      <x:c r="D5" s="16" t="str">
        <x:v>Server Zone</x:v>
      </x:c>
      <x:c r="E5" s="16" t="str">
        <x:v>Business services</x:v>
      </x:c>
      <x:c r="F5" s="16" t="str">
        <x:v>No</x:v>
      </x:c>
      <x:c r="G5" s="16" t="str">
        <x:v>10.10.20.1</x:v>
      </x:c>
      <x:c r="H5" s="16" t="str">
        <x:v>SERVER-RESTRICTED</x:v>
      </x:c>
      <x:c r="I5" s="16" t="str">
        <x:v>Infrastructure Lead</x:v>
      </x:c>
      <x:c r="J5" s="16" t="str">
        <x:v>Operational</x:v>
      </x:c>
    </x:row>
    <x:row r="6">
      <x:c r="A6" s="16" t="n">
        <x:v>30</x:v>
      </x:c>
      <x:c r="B6" s="16" t="str">
        <x:v>DMZ</x:v>
      </x:c>
      <x:c r="C6" s="16" t="str">
        <x:v>10.10.30.0/24</x:v>
      </x:c>
      <x:c r="D6" s="16" t="str">
        <x:v>DMZ</x:v>
      </x:c>
      <x:c r="E6" s="16" t="str">
        <x:v>Published services</x:v>
      </x:c>
      <x:c r="F6" s="16" t="str">
        <x:v>No</x:v>
      </x:c>
      <x:c r="G6" s="16" t="str">
        <x:v>10.10.30.1</x:v>
      </x:c>
      <x:c r="H6" s="16" t="str">
        <x:v>DMZ-APP</x:v>
      </x:c>
      <x:c r="I6" s="16" t="str">
        <x:v>Network Lead</x:v>
      </x:c>
      <x:c r="J6" s="16" t="str">
        <x:v>Operational</x:v>
      </x:c>
    </x:row>
    <x:row r="7">
      <x:c r="A7" s="16" t="n">
        <x:v>40</x:v>
      </x:c>
      <x:c r="B7" s="16" t="str">
        <x:v>Management</x:v>
      </x:c>
      <x:c r="C7" s="16" t="str">
        <x:v>10.10.40.0/24</x:v>
      </x:c>
      <x:c r="D7" s="16" t="str">
        <x:v>Management</x:v>
      </x:c>
      <x:c r="E7" s="16" t="str">
        <x:v>Administrative systems</x:v>
      </x:c>
      <x:c r="F7" s="16" t="str">
        <x:v>No</x:v>
      </x:c>
      <x:c r="G7" s="16" t="str">
        <x:v>10.10.40.1</x:v>
      </x:c>
      <x:c r="H7" s="16" t="str">
        <x:v>MGMT-PRIV</x:v>
      </x:c>
      <x:c r="I7" s="16" t="str">
        <x:v>Security Ops</x:v>
      </x:c>
      <x:c r="J7" s="16" t="str">
        <x:v>Planned</x:v>
      </x:c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3" t="str">
        <x:v>Firewall Rules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Rule ID</x:v>
      </x:c>
      <x:c r="B3" s="10" t="str">
        <x:v>Source Zone</x:v>
      </x:c>
      <x:c r="C3" s="10" t="str">
        <x:v>Destination Zone</x:v>
      </x:c>
      <x:c r="D3" s="10" t="str">
        <x:v>Service</x:v>
      </x:c>
      <x:c r="E3" s="10" t="str">
        <x:v>Action</x:v>
      </x:c>
      <x:c r="F3" s="10" t="str">
        <x:v>Business Justification</x:v>
      </x:c>
      <x:c r="G3" s="10" t="str">
        <x:v>Owner</x:v>
      </x:c>
      <x:c r="H3" s="10" t="str">
        <x:v>Review Date</x:v>
      </x:c>
      <x:c r="I3" s="10" t="str">
        <x:v>Status</x:v>
      </x:c>
      <x:c r="J3" s="10" t="str">
        <x:v>Notes</x:v>
      </x:c>
    </x:row>
    <x:row r="4">
      <x:c r="A4" s="16" t="str">
        <x:v>FW-001</x:v>
      </x:c>
      <x:c r="B4" s="16" t="str">
        <x:v>User LAN</x:v>
      </x:c>
      <x:c r="C4" s="16" t="str">
        <x:v>Server Zone</x:v>
      </x:c>
      <x:c r="D4" s="16" t="str">
        <x:v>HTTPS to approved apps</x:v>
      </x:c>
      <x:c r="E4" s="16" t="str">
        <x:v>Allow</x:v>
      </x:c>
      <x:c r="F4" s="16" t="str">
        <x:v>Business application access</x:v>
      </x:c>
      <x:c r="G4" s="16" t="str">
        <x:v>Application Owner</x:v>
      </x:c>
      <x:c r="H4" s="16" t="n">
        <x:v>46266</x:v>
      </x:c>
      <x:c r="I4" s="16" t="str">
        <x:v>Operational</x:v>
      </x:c>
      <x:c r="J4" s="16" t="str"/>
    </x:row>
    <x:row r="5">
      <x:c r="A5" s="16" t="str">
        <x:v>FW-002</x:v>
      </x:c>
      <x:c r="B5" s="16" t="str">
        <x:v>DMZ</x:v>
      </x:c>
      <x:c r="C5" s="16" t="str">
        <x:v>Server Zone</x:v>
      </x:c>
      <x:c r="D5" s="16" t="str">
        <x:v>Application API</x:v>
      </x:c>
      <x:c r="E5" s="16" t="str">
        <x:v>Allow</x:v>
      </x:c>
      <x:c r="F5" s="16" t="str">
        <x:v>Public service backend communication</x:v>
      </x:c>
      <x:c r="G5" s="16" t="str">
        <x:v>AppSec Lead</x:v>
      </x:c>
      <x:c r="H5" s="16" t="n">
        <x:v>46266</x:v>
      </x:c>
      <x:c r="I5" s="16" t="str">
        <x:v>Operational</x:v>
      </x:c>
      <x:c r="J5" s="16" t="str"/>
    </x:row>
    <x:row r="6">
      <x:c r="A6" s="16" t="str">
        <x:v>FW-003</x:v>
      </x:c>
      <x:c r="B6" s="16" t="str">
        <x:v>Management</x:v>
      </x:c>
      <x:c r="C6" s="16" t="str">
        <x:v>Server Zone</x:v>
      </x:c>
      <x:c r="D6" s="16" t="str">
        <x:v>Administrative protocols</x:v>
      </x:c>
      <x:c r="E6" s="16" t="str">
        <x:v>Allow</x:v>
      </x:c>
      <x:c r="F6" s="16" t="str">
        <x:v>Privileged maintenance</x:v>
      </x:c>
      <x:c r="G6" s="16" t="str">
        <x:v>Security Ops</x:v>
      </x:c>
      <x:c r="H6" s="16" t="n">
        <x:v>46249</x:v>
      </x:c>
      <x:c r="I6" s="16" t="str">
        <x:v>Needs Review</x:v>
      </x:c>
      <x:c r="J6" s="16" t="str">
        <x:v>Restrict by host and account</x:v>
      </x:c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3" t="str">
        <x:v>Risk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Risk ID</x:v>
      </x:c>
      <x:c r="B3" s="10" t="str">
        <x:v>Zone / Path</x:v>
      </x:c>
      <x:c r="C3" s="10" t="str">
        <x:v>Threat</x:v>
      </x:c>
      <x:c r="D3" s="10" t="str">
        <x:v>Likelihood</x:v>
      </x:c>
      <x:c r="E3" s="10" t="str">
        <x:v>Impact</x:v>
      </x:c>
      <x:c r="F3" s="10" t="str">
        <x:v>Score</x:v>
      </x:c>
      <x:c r="G3" s="10" t="str">
        <x:v>Control Gap</x:v>
      </x:c>
      <x:c r="H3" s="10" t="str">
        <x:v>Mitigation</x:v>
      </x:c>
      <x:c r="I3" s="10" t="str">
        <x:v>Owner</x:v>
      </x:c>
      <x:c r="J3" s="10" t="str">
        <x:v>Status</x:v>
      </x:c>
    </x:row>
    <x:row r="4">
      <x:c r="A4" s="16" t="str">
        <x:v>NSR-001</x:v>
      </x:c>
      <x:c r="B4" s="16" t="str">
        <x:v>Management to Server</x:v>
      </x:c>
      <x:c r="C4" s="16" t="str">
        <x:v>Credential misuse</x:v>
      </x:c>
      <x:c r="D4" s="16" t="n">
        <x:v>4</x:v>
      </x:c>
      <x:c r="E4" s="16" t="n">
        <x:v>5</x:v>
      </x:c>
      <x:c r="F4" s="16" t="str"/>
      <x:c r="G4" s="16" t="str">
        <x:v>Broad admin protocol access</x:v>
      </x:c>
      <x:c r="H4" s="16" t="str">
        <x:v>Restrict via PAM and jump hosts</x:v>
      </x:c>
      <x:c r="I4" s="16" t="str">
        <x:v>Security Ops</x:v>
      </x:c>
      <x:c r="J4" s="16" t="str">
        <x:v>In Progress</x:v>
      </x:c>
    </x:row>
    <x:row r="5">
      <x:c r="A5" s="16" t="str">
        <x:v>NSR-002</x:v>
      </x:c>
      <x:c r="B5" s="16" t="str">
        <x:v>DMZ to Server</x:v>
      </x:c>
      <x:c r="C5" s="16" t="str">
        <x:v>Application compromise</x:v>
      </x:c>
      <x:c r="D5" s="16" t="n">
        <x:v>3</x:v>
      </x:c>
      <x:c r="E5" s="16" t="n">
        <x:v>5</x:v>
      </x:c>
      <x:c r="F5" s="16" t="str"/>
      <x:c r="G5" s="16" t="str">
        <x:v>Backend path too broad</x:v>
      </x:c>
      <x:c r="H5" s="16" t="str">
        <x:v>Limit destination and service scope</x:v>
      </x:c>
      <x:c r="I5" s="16" t="str">
        <x:v>AppSec Lead</x:v>
      </x:c>
      <x:c r="J5" s="16" t="str">
        <x:v>Planned</x:v>
      </x:c>
    </x:row>
    <x:row r="6">
      <x:c r="A6" s="16" t="str">
        <x:v>NSR-003</x:v>
      </x:c>
      <x:c r="B6" s="16" t="str">
        <x:v>User LAN</x:v>
      </x:c>
      <x:c r="C6" s="16" t="str">
        <x:v>Lateral movement</x:v>
      </x:c>
      <x:c r="D6" s="16" t="n">
        <x:v>3</x:v>
      </x:c>
      <x:c r="E6" s="16" t="n">
        <x:v>4</x:v>
      </x:c>
      <x:c r="F6" s="16" t="str"/>
      <x:c r="G6" s="16" t="str">
        <x:v>Peer communication not restricted</x:v>
      </x:c>
      <x:c r="H6" s="16" t="str">
        <x:v>Implement host firewall and isolation</x:v>
      </x:c>
      <x:c r="I6" s="16" t="str">
        <x:v>Endpoint Lead</x:v>
      </x:c>
      <x:c r="J6" s="16" t="str">
        <x:v>Planned</x:v>
      </x:c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</x:sheetData>
  <x:mergeCells>
    <x:mergeCell ref="A1:J1"/>
  </x:mergeCells>
  <x:pageMargins left="0.7" right="0.7" top="0.75" bottom="0.75" header="0.3" footer="0.3"/>
</x:worksheet>
</file>