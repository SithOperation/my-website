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3d8c1fa05b45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acf77dc57ff436d"/>
    <x:sheet xmlns:r="http://schemas.openxmlformats.org/officeDocument/2006/relationships" name="System Portfolio" sheetId="2" r:id="R6d5caa4e0aef4d87"/>
    <x:sheet xmlns:r="http://schemas.openxmlformats.org/officeDocument/2006/relationships" name="Data Flows" sheetId="3" r:id="R7ff539fdea534551"/>
    <x:sheet xmlns:r="http://schemas.openxmlformats.org/officeDocument/2006/relationships" name="Control Architecture" sheetId="4" r:id="R2102906fbd054923"/>
    <x:sheet xmlns:r="http://schemas.openxmlformats.org/officeDocument/2006/relationships" name="Architecture Decisions" sheetId="5" r:id="R8a4c9f3abd624a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8"/>
      <x:color rgb="FFF9FAFB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7F1D1D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fe6880041c49c4" /><Relationship Type="http://schemas.openxmlformats.org/officeDocument/2006/relationships/theme" Target="/xl/theme/theme1.xml" Id="Rb1583b5914f745b5" /><Relationship Type="http://schemas.openxmlformats.org/officeDocument/2006/relationships/sharedStrings" Target="/xl/sharedStrings.xml" Id="Rd1ce677305c24700" /><Relationship Type="http://schemas.openxmlformats.org/officeDocument/2006/relationships/worksheet" Target="/xl/worksheets/sheet1.xml" Id="Reacf77dc57ff436d" /><Relationship Type="http://schemas.openxmlformats.org/officeDocument/2006/relationships/worksheet" Target="/xl/worksheets/sheet2.xml" Id="R6d5caa4e0aef4d87" /><Relationship Type="http://schemas.openxmlformats.org/officeDocument/2006/relationships/worksheet" Target="/xl/worksheets/sheet3.xml" Id="R7ff539fdea534551" /><Relationship Type="http://schemas.openxmlformats.org/officeDocument/2006/relationships/worksheet" Target="/xl/worksheets/sheet4.xml" Id="R2102906fbd054923" /><Relationship Type="http://schemas.openxmlformats.org/officeDocument/2006/relationships/worksheet" Target="/xl/worksheets/sheet5.xml" Id="R8a4c9f3abd624ac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352c7071a9341c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Records by Area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'Dashboard'!$D$4:$D$7</c:f>
              <c:strCache>
                <c:ptCount val="0"/>
              </c:strCache>
            </c:strRef>
          </c:cat>
          <c:val>
            <c:numRef>
              <c:f>'Dashboard'!$E$4:$E$7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10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352c7071a9341c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d2e34c672724ee7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3" t="str">
        <x:v>Enterprise Security Architecture Workbook Dashboard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10" t="str">
        <x:v>Metric</x:v>
      </x:c>
      <x:c r="B3" s="10" t="str">
        <x:v>Value</x:v>
      </x:c>
      <x:c r="D3" s="10" t="str">
        <x:v>Sheet</x:v>
      </x:c>
      <x:c r="E3" s="10" t="str">
        <x:v>Records</x:v>
      </x:c>
    </x:row>
    <x:row r="4">
      <x:c r="A4" s="16" t="str">
        <x:v>Core Sheets</x:v>
      </x:c>
      <x:c r="B4" s="16" t="n">
        <x:v>4</x:v>
      </x:c>
      <x:c r="D4" t="str">
        <x:v>System Portfolio</x:v>
      </x:c>
      <x:c r="E4" t="n">
        <x:f>COUNTIF('System Portfolio'!A4:A303,"&lt;&gt;")</x:f>
        <x:v>3</x:v>
      </x:c>
    </x:row>
    <x:row r="5">
      <x:c r="A5" s="16" t="str">
        <x:v>Records Tracked</x:v>
      </x:c>
      <x:c r="B5" s="16" t="n">
        <x:f>COUNTIF('System Portfolio'!A4:A303,"&lt;&gt;")+COUNTIF('Data Flows'!A4:A303,"&lt;&gt;")+COUNTIF('Control Architecture'!A4:A303,"&lt;&gt;")+COUNTIF('Architecture Decisions'!A4:A303,"&lt;&gt;")</x:f>
        <x:v>11</x:v>
      </x:c>
      <x:c r="D5" t="str">
        <x:v>Data Flows</x:v>
      </x:c>
      <x:c r="E5" t="n">
        <x:f>COUNTIF('Data Flows'!A4:A303,"&lt;&gt;")</x:f>
        <x:v>3</x:v>
      </x:c>
    </x:row>
    <x:row r="6">
      <x:c r="A6" s="16" t="str">
        <x:v>Open / Planned Items</x:v>
      </x:c>
      <x:c r="B6" s="16" t="n">
        <x:f>0</x:f>
        <x:v>0</x:v>
      </x:c>
      <x:c r="D6" t="str">
        <x:v>Control Architecture</x:v>
      </x:c>
      <x:c r="E6" t="n">
        <x:f>COUNTIF('Control Architecture'!A4:A303,"&lt;&gt;")</x:f>
        <x:v>3</x:v>
      </x:c>
    </x:row>
    <x:row r="7">
      <x:c r="A7" s="16" t="str">
        <x:v>High / Critical Items</x:v>
      </x:c>
      <x:c r="B7" s="16" t="n">
        <x:f>0</x:f>
        <x:v>0</x:v>
      </x:c>
      <x:c r="D7" t="str">
        <x:v>Architecture Decisions</x:v>
      </x:c>
      <x:c r="E7" t="n">
        <x:f>COUNTIF('Architecture Decisions'!A4:A303,"&lt;&gt;")</x:f>
        <x:v>2</x:v>
      </x:c>
    </x:row>
    <x:row r="8">
      <x:c r="A8" s="16" t="str">
        <x:v>Last Updated</x:v>
      </x:c>
      <x:c r="B8" s="20" t="n">
        <x:v>46221</x:v>
      </x:c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6d2e34c672724ee7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>
      <x:c r="A1" s="3" t="str">
        <x:v>System Portfolio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10" t="str">
        <x:v>System ID</x:v>
      </x:c>
      <x:c r="B3" s="10" t="str">
        <x:v>System Name</x:v>
      </x:c>
      <x:c r="C3" s="10" t="str">
        <x:v>Business Function</x:v>
      </x:c>
      <x:c r="D3" s="10" t="str">
        <x:v>Owner</x:v>
      </x:c>
      <x:c r="E3" s="10" t="str">
        <x:v>Hosting</x:v>
      </x:c>
      <x:c r="F3" s="10" t="str">
        <x:v>Criticality</x:v>
      </x:c>
      <x:c r="G3" s="10" t="str">
        <x:v>Data Classification</x:v>
      </x:c>
      <x:c r="H3" s="10" t="str">
        <x:v>Users</x:v>
      </x:c>
      <x:c r="I3" s="10" t="str">
        <x:v>Dependencies</x:v>
      </x:c>
      <x:c r="J3" s="10" t="str">
        <x:v>Lifecycle</x:v>
      </x:c>
    </x:row>
    <x:row r="4">
      <x:c r="A4" s="16" t="str">
        <x:v>SYS-001</x:v>
      </x:c>
      <x:c r="B4" s="16" t="str">
        <x:v>Customer Portal</x:v>
      </x:c>
      <x:c r="C4" s="16" t="str">
        <x:v>Customer services</x:v>
      </x:c>
      <x:c r="D4" s="16" t="str">
        <x:v>Digital Product Lead</x:v>
      </x:c>
      <x:c r="E4" s="16" t="str">
        <x:v>Cloud</x:v>
      </x:c>
      <x:c r="F4" s="16" t="str">
        <x:v>Critical</x:v>
      </x:c>
      <x:c r="G4" s="16" t="str">
        <x:v>Confidential</x:v>
      </x:c>
      <x:c r="H4" s="16" t="str">
        <x:v>Customers</x:v>
      </x:c>
      <x:c r="I4" s="16" t="str">
        <x:v>Identity; API; database</x:v>
      </x:c>
      <x:c r="J4" s="16" t="str">
        <x:v>Production</x:v>
      </x:c>
    </x:row>
    <x:row r="5">
      <x:c r="A5" s="16" t="str">
        <x:v>SYS-002</x:v>
      </x:c>
      <x:c r="B5" s="16" t="str">
        <x:v>HR Platform</x:v>
      </x:c>
      <x:c r="C5" s="16" t="str">
        <x:v>Human resources</x:v>
      </x:c>
      <x:c r="D5" s="16" t="str">
        <x:v>HR Director</x:v>
      </x:c>
      <x:c r="E5" s="16" t="str">
        <x:v>SaaS</x:v>
      </x:c>
      <x:c r="F5" s="16" t="str">
        <x:v>High</x:v>
      </x:c>
      <x:c r="G5" s="16" t="str">
        <x:v>Restricted</x:v>
      </x:c>
      <x:c r="H5" s="16" t="str">
        <x:v>Employees</x:v>
      </x:c>
      <x:c r="I5" s="16" t="str">
        <x:v>Identity provider</x:v>
      </x:c>
      <x:c r="J5" s="16" t="str">
        <x:v>Production</x:v>
      </x:c>
    </x:row>
    <x:row r="6">
      <x:c r="A6" s="16" t="str">
        <x:v>SYS-003</x:v>
      </x:c>
      <x:c r="B6" s="16" t="str">
        <x:v>Security Analytics</x:v>
      </x:c>
      <x:c r="C6" s="16" t="str">
        <x:v>Security operations</x:v>
      </x:c>
      <x:c r="D6" s="16" t="str">
        <x:v>SOC Manager</x:v>
      </x:c>
      <x:c r="E6" s="16" t="str">
        <x:v>Hybrid</x:v>
      </x:c>
      <x:c r="F6" s="16" t="str">
        <x:v>Critical</x:v>
      </x:c>
      <x:c r="G6" s="16" t="str">
        <x:v>Restricted</x:v>
      </x:c>
      <x:c r="H6" s="16" t="str">
        <x:v>Security team</x:v>
      </x:c>
      <x:c r="I6" s="16" t="str">
        <x:v>Log sources; data lake</x:v>
      </x:c>
      <x:c r="J6" s="16" t="str">
        <x:v>Production</x:v>
      </x:c>
    </x:row>
    <x:row r="7">
      <x:c r="A7" s="16"/>
      <x:c r="B7" s="16"/>
      <x:c r="C7" s="16"/>
      <x:c r="D7" s="16"/>
      <x:c r="E7" s="16"/>
      <x:c r="F7" s="16"/>
      <x:c r="G7" s="16"/>
      <x:c r="H7" s="16"/>
      <x:c r="I7" s="16"/>
      <x:c r="J7" s="16"/>
    </x:row>
    <x:row r="8">
      <x:c r="A8" s="16"/>
      <x:c r="B8" s="16"/>
      <x:c r="C8" s="16"/>
      <x:c r="D8" s="16"/>
      <x:c r="E8" s="16"/>
      <x:c r="F8" s="16"/>
      <x:c r="G8" s="16"/>
      <x:c r="H8" s="16"/>
      <x:c r="I8" s="16"/>
      <x:c r="J8" s="16"/>
    </x:row>
    <x:row r="9">
      <x:c r="A9" s="16"/>
      <x:c r="B9" s="16"/>
      <x:c r="C9" s="16"/>
      <x:c r="D9" s="16"/>
      <x:c r="E9" s="16"/>
      <x:c r="F9" s="16"/>
      <x:c r="G9" s="16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</x:row>
  </x:sheetData>
  <x:mergeCells>
    <x:mergeCell ref="A1:J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>
      <x:c r="A1" s="3" t="str">
        <x:v>Data Flows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10" t="str">
        <x:v>Flow ID</x:v>
      </x:c>
      <x:c r="B3" s="10" t="str">
        <x:v>Source</x:v>
      </x:c>
      <x:c r="C3" s="10" t="str">
        <x:v>Destination</x:v>
      </x:c>
      <x:c r="D3" s="10" t="str">
        <x:v>Data</x:v>
      </x:c>
      <x:c r="E3" s="10" t="str">
        <x:v>Classification</x:v>
      </x:c>
      <x:c r="F3" s="10" t="str">
        <x:v>Protocol</x:v>
      </x:c>
      <x:c r="G3" s="10" t="str">
        <x:v>Trust Boundary</x:v>
      </x:c>
      <x:c r="H3" s="10" t="str">
        <x:v>Encryption</x:v>
      </x:c>
      <x:c r="I3" s="10" t="str">
        <x:v>Monitoring</x:v>
      </x:c>
      <x:c r="J3" s="10" t="str">
        <x:v>Owner</x:v>
      </x:c>
    </x:row>
    <x:row r="4">
      <x:c r="A4" s="16" t="str">
        <x:v>DF-001</x:v>
      </x:c>
      <x:c r="B4" s="16" t="str">
        <x:v>Customer browser</x:v>
      </x:c>
      <x:c r="C4" s="16" t="str">
        <x:v>Customer Portal</x:v>
      </x:c>
      <x:c r="D4" s="16" t="str">
        <x:v>Session and profile data</x:v>
      </x:c>
      <x:c r="E4" s="16" t="str">
        <x:v>Confidential</x:v>
      </x:c>
      <x:c r="F4" s="16" t="str">
        <x:v>HTTPS</x:v>
      </x:c>
      <x:c r="G4" s="16" t="str">
        <x:v>Internet to cloud edge</x:v>
      </x:c>
      <x:c r="H4" s="16" t="str">
        <x:v>TLS</x:v>
      </x:c>
      <x:c r="I4" s="16" t="str">
        <x:v>WAF; app logs</x:v>
      </x:c>
      <x:c r="J4" s="16" t="str">
        <x:v>Digital Product Lead</x:v>
      </x:c>
    </x:row>
    <x:row r="5">
      <x:c r="A5" s="16" t="str">
        <x:v>DF-002</x:v>
      </x:c>
      <x:c r="B5" s="16" t="str">
        <x:v>Customer Portal</x:v>
      </x:c>
      <x:c r="C5" s="16" t="str">
        <x:v>Customer Database</x:v>
      </x:c>
      <x:c r="D5" s="16" t="str">
        <x:v>Customer records</x:v>
      </x:c>
      <x:c r="E5" s="16" t="str">
        <x:v>Restricted</x:v>
      </x:c>
      <x:c r="F5" s="16" t="str">
        <x:v>TLS database protocol</x:v>
      </x:c>
      <x:c r="G5" s="16" t="str">
        <x:v>Application to data tier</x:v>
      </x:c>
      <x:c r="H5" s="16" t="str">
        <x:v>TLS</x:v>
      </x:c>
      <x:c r="I5" s="16" t="str">
        <x:v>DB audit; SIEM</x:v>
      </x:c>
      <x:c r="J5" s="16" t="str">
        <x:v>Data Owner</x:v>
      </x:c>
    </x:row>
    <x:row r="6">
      <x:c r="A6" s="16" t="str">
        <x:v>DF-003</x:v>
      </x:c>
      <x:c r="B6" s="16" t="str">
        <x:v>Enterprise systems</x:v>
      </x:c>
      <x:c r="C6" s="16" t="str">
        <x:v>Security Analytics</x:v>
      </x:c>
      <x:c r="D6" s="16" t="str">
        <x:v>Security telemetry</x:v>
      </x:c>
      <x:c r="E6" s="16" t="str">
        <x:v>Restricted</x:v>
      </x:c>
      <x:c r="F6" s="16" t="str">
        <x:v>Syslog/API</x:v>
      </x:c>
      <x:c r="G6" s="16" t="str">
        <x:v>Multiple domains</x:v>
      </x:c>
      <x:c r="H6" s="16" t="str">
        <x:v>TLS</x:v>
      </x:c>
      <x:c r="I6" s="16" t="str">
        <x:v>Ingestion health</x:v>
      </x:c>
      <x:c r="J6" s="16" t="str">
        <x:v>SOC Manager</x:v>
      </x:c>
    </x:row>
    <x:row r="7">
      <x:c r="A7" s="16"/>
      <x:c r="B7" s="16"/>
      <x:c r="C7" s="16"/>
      <x:c r="D7" s="16"/>
      <x:c r="E7" s="16"/>
      <x:c r="F7" s="16"/>
      <x:c r="G7" s="16"/>
      <x:c r="H7" s="16"/>
      <x:c r="I7" s="16"/>
      <x:c r="J7" s="16"/>
    </x:row>
    <x:row r="8">
      <x:c r="A8" s="16"/>
      <x:c r="B8" s="16"/>
      <x:c r="C8" s="16"/>
      <x:c r="D8" s="16"/>
      <x:c r="E8" s="16"/>
      <x:c r="F8" s="16"/>
      <x:c r="G8" s="16"/>
      <x:c r="H8" s="16"/>
      <x:c r="I8" s="16"/>
      <x:c r="J8" s="16"/>
    </x:row>
    <x:row r="9">
      <x:c r="A9" s="16"/>
      <x:c r="B9" s="16"/>
      <x:c r="C9" s="16"/>
      <x:c r="D9" s="16"/>
      <x:c r="E9" s="16"/>
      <x:c r="F9" s="16"/>
      <x:c r="G9" s="16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</x:row>
  </x:sheetData>
  <x:mergeCells>
    <x:mergeCell ref="A1:J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>
      <x:c r="A1" s="3" t="str">
        <x:v>Control Architecture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10" t="str">
        <x:v>Control ID</x:v>
      </x:c>
      <x:c r="B3" s="10" t="str">
        <x:v>Security Domain</x:v>
      </x:c>
      <x:c r="C3" s="10" t="str">
        <x:v>Control</x:v>
      </x:c>
      <x:c r="D3" s="10" t="str">
        <x:v>Control Type</x:v>
      </x:c>
      <x:c r="E3" s="10" t="str">
        <x:v>Systems Covered</x:v>
      </x:c>
      <x:c r="F3" s="10" t="str">
        <x:v>Owner</x:v>
      </x:c>
      <x:c r="G3" s="10" t="str">
        <x:v>Evidence</x:v>
      </x:c>
      <x:c r="H3" s="10" t="str">
        <x:v>Effectiveness</x:v>
      </x:c>
      <x:c r="I3" s="10" t="str">
        <x:v>Status</x:v>
      </x:c>
      <x:c r="J3" s="10" t="str">
        <x:v>Gap</x:v>
      </x:c>
    </x:row>
    <x:row r="4">
      <x:c r="A4" s="16" t="str">
        <x:v>CA-001</x:v>
      </x:c>
      <x:c r="B4" s="16" t="str">
        <x:v>Identity</x:v>
      </x:c>
      <x:c r="C4" s="16" t="str">
        <x:v>MFA and conditional access</x:v>
      </x:c>
      <x:c r="D4" s="16" t="str">
        <x:v>Preventive</x:v>
      </x:c>
      <x:c r="E4" s="16" t="str">
        <x:v>Workforce applications</x:v>
      </x:c>
      <x:c r="F4" s="16" t="str">
        <x:v>IAM Lead</x:v>
      </x:c>
      <x:c r="G4" s="16" t="str">
        <x:v>Identity reports</x:v>
      </x:c>
      <x:c r="H4" s="16" t="n">
        <x:v>4</x:v>
      </x:c>
      <x:c r="I4" s="16" t="str">
        <x:v>Operational</x:v>
      </x:c>
      <x:c r="J4" s="16" t="str">
        <x:v>Legacy protocols</x:v>
      </x:c>
    </x:row>
    <x:row r="5">
      <x:c r="A5" s="16" t="str">
        <x:v>CA-002</x:v>
      </x:c>
      <x:c r="B5" s="16" t="str">
        <x:v>Endpoint</x:v>
      </x:c>
      <x:c r="C5" s="16" t="str">
        <x:v>EDR</x:v>
      </x:c>
      <x:c r="D5" s="16" t="str">
        <x:v>Preventive/Detective</x:v>
      </x:c>
      <x:c r="E5" s="16" t="str">
        <x:v>Managed endpoints</x:v>
      </x:c>
      <x:c r="F5" s="16" t="str">
        <x:v>Endpoint Lead</x:v>
      </x:c>
      <x:c r="G5" s="16" t="str">
        <x:v>EDR console</x:v>
      </x:c>
      <x:c r="H5" s="16" t="n">
        <x:v>4</x:v>
      </x:c>
      <x:c r="I5" s="16" t="str">
        <x:v>Operational</x:v>
      </x:c>
      <x:c r="J5" s="16" t="str">
        <x:v>Coverage gaps</x:v>
      </x:c>
    </x:row>
    <x:row r="6">
      <x:c r="A6" s="16" t="str">
        <x:v>CA-003</x:v>
      </x:c>
      <x:c r="B6" s="16" t="str">
        <x:v>Network</x:v>
      </x:c>
      <x:c r="C6" s="16" t="str">
        <x:v>Segmentation</x:v>
      </x:c>
      <x:c r="D6" s="16" t="str">
        <x:v>Preventive</x:v>
      </x:c>
      <x:c r="E6" s="16" t="str">
        <x:v>Core network</x:v>
      </x:c>
      <x:c r="F6" s="16" t="str">
        <x:v>Network Lead</x:v>
      </x:c>
      <x:c r="G6" s="16" t="str">
        <x:v>Firewall configs</x:v>
      </x:c>
      <x:c r="H6" s="16" t="n">
        <x:v>3</x:v>
      </x:c>
      <x:c r="I6" s="16" t="str">
        <x:v>Needs Improvement</x:v>
      </x:c>
      <x:c r="J6" s="16" t="str">
        <x:v>Management network</x:v>
      </x:c>
    </x:row>
    <x:row r="7">
      <x:c r="A7" s="16"/>
      <x:c r="B7" s="16"/>
      <x:c r="C7" s="16"/>
      <x:c r="D7" s="16"/>
      <x:c r="E7" s="16"/>
      <x:c r="F7" s="16"/>
      <x:c r="G7" s="16"/>
      <x:c r="H7" s="16"/>
      <x:c r="I7" s="16"/>
      <x:c r="J7" s="16"/>
    </x:row>
    <x:row r="8">
      <x:c r="A8" s="16"/>
      <x:c r="B8" s="16"/>
      <x:c r="C8" s="16"/>
      <x:c r="D8" s="16"/>
      <x:c r="E8" s="16"/>
      <x:c r="F8" s="16"/>
      <x:c r="G8" s="16"/>
      <x:c r="H8" s="16"/>
      <x:c r="I8" s="16"/>
      <x:c r="J8" s="16"/>
    </x:row>
    <x:row r="9">
      <x:c r="A9" s="16"/>
      <x:c r="B9" s="16"/>
      <x:c r="C9" s="16"/>
      <x:c r="D9" s="16"/>
      <x:c r="E9" s="16"/>
      <x:c r="F9" s="16"/>
      <x:c r="G9" s="16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</x:row>
  </x:sheetData>
  <x:mergeCells>
    <x:mergeCell ref="A1:J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>
      <x:c r="A1" s="3" t="str">
        <x:v>Architecture Decisions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10" t="str">
        <x:v>Decision ID</x:v>
      </x:c>
      <x:c r="B3" s="10" t="str">
        <x:v>Decision</x:v>
      </x:c>
      <x:c r="C3" s="10" t="str">
        <x:v>Context</x:v>
      </x:c>
      <x:c r="D3" s="10" t="str">
        <x:v>Options Considered</x:v>
      </x:c>
      <x:c r="E3" s="10" t="str">
        <x:v>Selected Option</x:v>
      </x:c>
      <x:c r="F3" s="10" t="str">
        <x:v>Rationale</x:v>
      </x:c>
      <x:c r="G3" s="10" t="str">
        <x:v>Owner</x:v>
      </x:c>
      <x:c r="H3" s="10" t="str">
        <x:v>Date</x:v>
      </x:c>
      <x:c r="I3" s="10" t="str">
        <x:v>Review Trigger</x:v>
      </x:c>
      <x:c r="J3" s="10" t="str">
        <x:v>Status</x:v>
      </x:c>
    </x:row>
    <x:row r="4">
      <x:c r="A4" s="16" t="str">
        <x:v>ADR-001</x:v>
      </x:c>
      <x:c r="B4" s="16" t="str">
        <x:v>Central identity platform</x:v>
      </x:c>
      <x:c r="C4" s="16" t="str">
        <x:v>Multiple applications require consistent access controls</x:v>
      </x:c>
      <x:c r="D4" s="16" t="str">
        <x:v>Distributed identity; central identity</x:v>
      </x:c>
      <x:c r="E4" s="16" t="str">
        <x:v>Central identity</x:v>
      </x:c>
      <x:c r="F4" s="16" t="str">
        <x:v>Improves policy consistency and logging</x:v>
      </x:c>
      <x:c r="G4" s="16" t="str">
        <x:v>Security Architecture</x:v>
      </x:c>
      <x:c r="H4" s="16" t="n">
        <x:v>46174</x:v>
      </x:c>
      <x:c r="I4" s="16" t="str">
        <x:v>Major acquisition</x:v>
      </x:c>
      <x:c r="J4" s="16" t="str">
        <x:v>Approved</x:v>
      </x:c>
    </x:row>
    <x:row r="5">
      <x:c r="A5" s="16" t="str">
        <x:v>ADR-002</x:v>
      </x:c>
      <x:c r="B5" s="16" t="str">
        <x:v>Central security data lake</x:v>
      </x:c>
      <x:c r="C5" s="16" t="str">
        <x:v>Security tools require shared telemetry</x:v>
      </x:c>
      <x:c r="D5" s="16" t="str">
        <x:v>Per-tool storage; shared platform</x:v>
      </x:c>
      <x:c r="E5" s="16" t="str">
        <x:v>Shared platform</x:v>
      </x:c>
      <x:c r="F5" s="16" t="str">
        <x:v>Supports correlation and retention</x:v>
      </x:c>
      <x:c r="G5" s="16" t="str">
        <x:v>SOC Manager</x:v>
      </x:c>
      <x:c r="H5" s="16" t="n">
        <x:v>46188</x:v>
      </x:c>
      <x:c r="I5" s="16" t="str">
        <x:v>Platform redesign</x:v>
      </x:c>
      <x:c r="J5" s="16" t="str">
        <x:v>Approved</x:v>
      </x:c>
    </x:row>
    <x:row r="6">
      <x:c r="A6" s="16"/>
      <x:c r="B6" s="16"/>
      <x:c r="C6" s="16"/>
      <x:c r="D6" s="16"/>
      <x:c r="E6" s="16"/>
      <x:c r="F6" s="16"/>
      <x:c r="G6" s="16"/>
      <x:c r="H6" s="16"/>
      <x:c r="I6" s="16"/>
      <x:c r="J6" s="16"/>
    </x:row>
    <x:row r="7">
      <x:c r="A7" s="16"/>
      <x:c r="B7" s="16"/>
      <x:c r="C7" s="16"/>
      <x:c r="D7" s="16"/>
      <x:c r="E7" s="16"/>
      <x:c r="F7" s="16"/>
      <x:c r="G7" s="16"/>
      <x:c r="H7" s="16"/>
      <x:c r="I7" s="16"/>
      <x:c r="J7" s="16"/>
    </x:row>
    <x:row r="8">
      <x:c r="A8" s="16"/>
      <x:c r="B8" s="16"/>
      <x:c r="C8" s="16"/>
      <x:c r="D8" s="16"/>
      <x:c r="E8" s="16"/>
      <x:c r="F8" s="16"/>
      <x:c r="G8" s="16"/>
      <x:c r="H8" s="16"/>
      <x:c r="I8" s="16"/>
      <x:c r="J8" s="16"/>
    </x:row>
    <x:row r="9">
      <x:c r="A9" s="16"/>
      <x:c r="B9" s="16"/>
      <x:c r="C9" s="16"/>
      <x:c r="D9" s="16"/>
      <x:c r="E9" s="16"/>
      <x:c r="F9" s="16"/>
      <x:c r="G9" s="16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</x:row>
  </x:sheetData>
  <x:mergeCells>
    <x:mergeCell ref="A1:J1"/>
  </x:mergeCells>
  <x:pageMargins left="0.7" right="0.7" top="0.75" bottom="0.75" header="0.3" footer="0.3"/>
</x:worksheet>
</file>