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dfc4f6c9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593fc1866741f7"/>
    <x:sheet xmlns:r="http://schemas.openxmlformats.org/officeDocument/2006/relationships" name="Coverage Matrix" sheetId="2" r:id="Rf476bd5ab42e4617"/>
    <x:sheet xmlns:r="http://schemas.openxmlformats.org/officeDocument/2006/relationships" name="Data Sources" sheetId="3" r:id="R855775667787445c"/>
    <x:sheet xmlns:r="http://schemas.openxmlformats.org/officeDocument/2006/relationships" name="Detection Controls" sheetId="4" r:id="Rb20e194bd4b44f63"/>
    <x:sheet xmlns:r="http://schemas.openxmlformats.org/officeDocument/2006/relationships" name="Quality Review" sheetId="5" r:id="R1958327e2bb746fa"/>
    <x:sheet xmlns:r="http://schemas.openxmlformats.org/officeDocument/2006/relationships" name="Coverage Roadmap" sheetId="6" r:id="R1decd1bca244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eacc7627a42b5" /><Relationship Type="http://schemas.openxmlformats.org/officeDocument/2006/relationships/theme" Target="/xl/theme/theme1.xml" Id="R7f8fc26ab55a47a6" /><Relationship Type="http://schemas.openxmlformats.org/officeDocument/2006/relationships/sharedStrings" Target="/xl/sharedStrings.xml" Id="R6d7e949ae9bf4316" /><Relationship Type="http://schemas.openxmlformats.org/officeDocument/2006/relationships/worksheet" Target="/xl/worksheets/sheet1.xml" Id="R8d593fc1866741f7" /><Relationship Type="http://schemas.openxmlformats.org/officeDocument/2006/relationships/worksheet" Target="/xl/worksheets/sheet2.xml" Id="Rf476bd5ab42e4617" /><Relationship Type="http://schemas.openxmlformats.org/officeDocument/2006/relationships/worksheet" Target="/xl/worksheets/sheet3.xml" Id="R855775667787445c" /><Relationship Type="http://schemas.openxmlformats.org/officeDocument/2006/relationships/worksheet" Target="/xl/worksheets/sheet4.xml" Id="Rb20e194bd4b44f63" /><Relationship Type="http://schemas.openxmlformats.org/officeDocument/2006/relationships/worksheet" Target="/xl/worksheets/sheet5.xml" Id="R1958327e2bb746fa" /><Relationship Type="http://schemas.openxmlformats.org/officeDocument/2006/relationships/worksheet" Target="/xl/worksheets/sheet6.xml" Id="R1decd1bca24444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582b5efc6d44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82b5efc6d44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07971f6d8f43a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18" hidden="0" customWidth="1"/>
    <x:col min="5" max="5" width="14" hidden="0" customWidth="1"/>
  </x:cols>
  <x:sheetData>
    <x:row r="1" ht="28" customHeight="1">
      <x:c r="A1" s="4" t="str">
        <x:v>Detection Coverage Matrix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Coverage</x:v>
      </x:c>
      <x:c r="E3" s="12" t="str">
        <x:v>Count</x:v>
      </x:c>
    </x:row>
    <x:row r="4">
      <x:c r="A4" t="str">
        <x:v>Scenarios Mapped</x:v>
      </x:c>
      <x:c r="B4" t="n">
        <x:f>COUNTIF('Coverage Matrix'!A4:A303,"&lt;&gt;")</x:f>
        <x:v>9</x:v>
      </x:c>
      <x:c r="D4" t="str">
        <x:v>Strong</x:v>
      </x:c>
      <x:c r="E4" t="n">
        <x:f>COUNTIF('Coverage Matrix'!H4:H303,D4)</x:f>
        <x:v>4</x:v>
      </x:c>
    </x:row>
    <x:row r="5">
      <x:c r="A5" t="str">
        <x:v>Strong Coverage</x:v>
      </x:c>
      <x:c r="B5" t="n">
        <x:f>COUNTIF('Coverage Matrix'!H4:H303,"Strong")</x:f>
        <x:v>4</x:v>
      </x:c>
      <x:c r="D5" t="str">
        <x:v>Moderate</x:v>
      </x:c>
      <x:c r="E5" t="n">
        <x:f>COUNTIF('Coverage Matrix'!H4:H303,D5)</x:f>
        <x:v>3</x:v>
      </x:c>
    </x:row>
    <x:row r="6">
      <x:c r="A6" t="str">
        <x:v>Weak Coverage</x:v>
      </x:c>
      <x:c r="B6" t="n">
        <x:f>COUNTIF('Coverage Matrix'!H4:H303,"Weak")+COUNTIF('Coverage Matrix'!H4:H303,"None")</x:f>
        <x:v>2</x:v>
      </x:c>
      <x:c r="D6" t="str">
        <x:v>Weak</x:v>
      </x:c>
      <x:c r="E6" t="n">
        <x:f>COUNTIF('Coverage Matrix'!H4:H303,D6)</x:f>
        <x:v>2</x:v>
      </x:c>
    </x:row>
    <x:row r="7">
      <x:c r="A7" t="str">
        <x:v>Coverage Gaps</x:v>
      </x:c>
      <x:c r="B7" t="n">
        <x:f>COUNTIF('Coverage Matrix'!N4:N303,"Gap")</x:f>
        <x:v>1</x:v>
      </x:c>
      <x:c r="D7" t="str">
        <x:v>None</x:v>
      </x:c>
      <x:c r="E7" t="n">
        <x:f>COUNTIF('Coverage Matrix'!H4:H303,D7)</x:f>
        <x:v>0</x:v>
      </x:c>
    </x:row>
    <x:row r="8">
      <x:c r="A8" t="str">
        <x:v>Operational Data Sources</x:v>
      </x:c>
      <x:c r="B8" t="n">
        <x:f>COUNTIF('Data Sources'!K4:K203,"Operational")</x:f>
        <x:v>6</x:v>
      </x:c>
      <x:c r="D8" t="str">
        <x:v>Unknown</x:v>
      </x:c>
      <x:c r="E8" t="n">
        <x:f>COUNTIF('Coverage Matrix'!H4:H303,D8)</x:f>
        <x:v>0</x:v>
      </x:c>
    </x:row>
    <x:row r="9">
      <x:c r="A9" t="str">
        <x:v>Sources Needing Improvement</x:v>
      </x:c>
      <x:c r="B9" t="n">
        <x:f>COUNTIF('Data Sources'!K4:K203,"Needs Improvement")</x:f>
        <x:v>2</x:v>
      </x:c>
    </x:row>
    <x:row r="10">
      <x:c r="A10" t="str">
        <x:v>Operational Controls</x:v>
      </x:c>
      <x:c r="B10" t="n">
        <x:f>COUNTIF('Detection Controls'!L4:L203,"Operational")</x:f>
        <x:v>5</x:v>
      </x:c>
    </x:row>
    <x:row r="11">
      <x:c r="A11" t="str">
        <x:v>Average False Positive Rate</x:v>
      </x:c>
      <x:c r="B11" s="24" t="n">
        <x:f>IFERROR(AVERAGE('Quality Review'!F4:F203),0)</x:f>
        <x:v>0.6349574845448814</x:v>
      </x:c>
    </x:row>
    <x:row r="12">
      <x:c r="A12" t="str">
        <x:v>Weak Quality Reviews</x:v>
      </x:c>
      <x:c r="B12" t="n">
        <x:f>COUNTIF('Quality Review'!I4:I203,"Weak")</x:f>
        <x:v>6</x:v>
      </x:c>
    </x:row>
    <x:row r="13">
      <x:c r="A13" t="str">
        <x:v>Open Roadmap Actions</x:v>
      </x:c>
      <x:c r="B13" t="n">
        <x:f>COUNTIF('Coverage Roadmap'!I4:I203,"Not Started")+COUNTIF('Coverage Roadmap'!I4:I203,"Planned")+COUNTIF('Coverage Roadmap'!I4:I203,"In Progress")+COUNTIF('Coverage Roadmap'!I4:I203,"Blocked")</x:f>
        <x:v>6</x:v>
      </x:c>
    </x:row>
    <x:row r="14">
      <x:c r="A14" t="str">
        <x:v>Critical Actions</x:v>
      </x:c>
      <x:c r="B14" t="n">
        <x:f>COUNTIF('Coverage Roadmap'!D4:D203,"Critical")</x:f>
        <x:v>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a07971f6d8f43a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38" hidden="0" customWidth="1"/>
    <x:col min="4" max="4" width="24" hidden="0" customWidth="1"/>
    <x:col min="5" max="5" width="28" hidden="0" customWidth="1"/>
    <x:col min="6" max="6" width="30" hidden="0" customWidth="1"/>
    <x:col min="7" max="7" width="36" hidden="0" customWidth="1"/>
    <x:col min="8" max="8" width="17" hidden="0" customWidth="1"/>
    <x:col min="9" max="9" width="17" hidden="0" customWidth="1"/>
    <x:col min="10" max="10" width="18" hidden="0" customWidth="1"/>
    <x:col min="11" max="11" width="18" hidden="0" customWidth="1"/>
    <x:col min="12" max="12" width="20" hidden="0" customWidth="1"/>
    <x:col min="13" max="13" width="14" hidden="0" customWidth="1"/>
    <x:col min="14" max="14" width="18" hidden="0" customWidth="1"/>
  </x:cols>
  <x:sheetData>
    <x:row r="1">
      <x:c r="A1" s="4" t="str">
        <x:v>Detection Coverage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Coverage ID</x:v>
      </x:c>
      <x:c r="B3" s="12" t="str">
        <x:v>Threat Scenario</x:v>
      </x:c>
      <x:c r="C3" s="12" t="str">
        <x:v>Technique / Behavior</x:v>
      </x:c>
      <x:c r="D3" s="12" t="str">
        <x:v>Business Asset</x:v>
      </x:c>
      <x:c r="E3" s="12" t="str">
        <x:v>Primary Data Source</x:v>
      </x:c>
      <x:c r="F3" s="12" t="str">
        <x:v>Preventive Control</x:v>
      </x:c>
      <x:c r="G3" s="12" t="str">
        <x:v>Detective Control</x:v>
      </x:c>
      <x:c r="H3" s="12" t="str">
        <x:v>Coverage Strength</x:v>
      </x:c>
      <x:c r="I3" s="12" t="str">
        <x:v>Telemetry Quality</x:v>
      </x:c>
      <x:c r="J3" s="12" t="str">
        <x:v>Detection Confidence</x:v>
      </x:c>
      <x:c r="K3" s="12" t="str">
        <x:v>Response Playbook</x:v>
      </x:c>
      <x:c r="L3" s="12" t="str">
        <x:v>Owner</x:v>
      </x:c>
      <x:c r="M3" s="12" t="str">
        <x:v>Last Validated</x:v>
      </x:c>
      <x:c r="N3" s="12" t="str">
        <x:v>Status</x:v>
      </x:c>
    </x:row>
    <x:row r="4">
      <x:c r="A4" s="20" t="str">
        <x:v>COV-001</x:v>
      </x:c>
      <x:c r="B4" s="20" t="str">
        <x:v>Credential phishing</x:v>
      </x:c>
      <x:c r="C4" s="20" t="str">
        <x:v>T1566 / malicious message and process chain</x:v>
      </x:c>
      <x:c r="D4" s="20" t="str">
        <x:v>Workforce identities</x:v>
      </x:c>
      <x:c r="E4" s="20" t="str">
        <x:v>Email + endpoint</x:v>
      </x:c>
      <x:c r="F4" s="20" t="str">
        <x:v>Email filtering; MFA</x:v>
      </x:c>
      <x:c r="G4" s="20" t="str">
        <x:v>Malicious document process-chain alert</x:v>
      </x:c>
      <x:c r="H4" s="20" t="str">
        <x:v>Strong</x:v>
      </x:c>
      <x:c r="I4" s="20" t="str">
        <x:v>High</x:v>
      </x:c>
      <x:c r="J4" s="20" t="str">
        <x:v>High</x:v>
      </x:c>
      <x:c r="K4" s="20" t="str">
        <x:v>PB-001</x:v>
      </x:c>
      <x:c r="L4" s="20" t="str">
        <x:v>SOC Lead</x:v>
      </x:c>
      <x:c r="M4" s="21" t="n">
        <x:v>46188</x:v>
      </x:c>
      <x:c r="N4" s="20" t="str">
        <x:v>Operational</x:v>
      </x:c>
    </x:row>
    <x:row r="5">
      <x:c r="A5" s="20" t="str">
        <x:v>COV-002</x:v>
      </x:c>
      <x:c r="B5" s="20" t="str">
        <x:v>Credential stuffing</x:v>
      </x:c>
      <x:c r="C5" s="20" t="str">
        <x:v>Repeated authentication attempts with reused credentials</x:v>
      </x:c>
      <x:c r="D5" s="20" t="str">
        <x:v>Customer identities</x:v>
      </x:c>
      <x:c r="E5" s="20" t="str">
        <x:v>Identity logs</x:v>
      </x:c>
      <x:c r="F5" s="20" t="str">
        <x:v>MFA; rate limits</x:v>
      </x:c>
      <x:c r="G5" s="20" t="str">
        <x:v>Risk-based sign-in analytics</x:v>
      </x:c>
      <x:c r="H5" s="20" t="str">
        <x:v>Moderate</x:v>
      </x:c>
      <x:c r="I5" s="20" t="str">
        <x:v>High</x:v>
      </x:c>
      <x:c r="J5" s="20" t="str">
        <x:v>Moderate</x:v>
      </x:c>
      <x:c r="K5" s="20" t="str">
        <x:v>PB-002</x:v>
      </x:c>
      <x:c r="L5" s="20" t="str">
        <x:v>IAM Lead</x:v>
      </x:c>
      <x:c r="M5" s="21" t="n">
        <x:v>46172</x:v>
      </x:c>
      <x:c r="N5" s="20" t="str">
        <x:v>Needs Improvement</x:v>
      </x:c>
    </x:row>
    <x:row r="6">
      <x:c r="A6" s="20" t="str">
        <x:v>COV-003</x:v>
      </x:c>
      <x:c r="B6" s="20" t="str">
        <x:v>Privilege escalation</x:v>
      </x:c>
      <x:c r="C6" s="20" t="str">
        <x:v>Exploit or configuration-based elevation</x:v>
      </x:c>
      <x:c r="D6" s="20" t="str">
        <x:v>Critical servers</x:v>
      </x:c>
      <x:c r="E6" s="20" t="str">
        <x:v>EDR + vulnerability data</x:v>
      </x:c>
      <x:c r="F6" s="20" t="str">
        <x:v>Patching; hardening</x:v>
      </x:c>
      <x:c r="G6" s="20" t="str">
        <x:v>Privilege-escalation behavior analytics</x:v>
      </x:c>
      <x:c r="H6" s="20" t="str">
        <x:v>Weak</x:v>
      </x:c>
      <x:c r="I6" s="20" t="str">
        <x:v>Moderate</x:v>
      </x:c>
      <x:c r="J6" s="20" t="str">
        <x:v>Low</x:v>
      </x:c>
      <x:c r="K6" s="20" t="str">
        <x:v>PB-003</x:v>
      </x:c>
      <x:c r="L6" s="20" t="str">
        <x:v>Detection Engineer</x:v>
      </x:c>
      <x:c r="M6" s="21" t="n">
        <x:v>46096</x:v>
      </x:c>
      <x:c r="N6" s="20" t="str">
        <x:v>Gap</x:v>
      </x:c>
    </x:row>
    <x:row r="7">
      <x:c r="A7" s="20" t="str">
        <x:v>COV-004</x:v>
      </x:c>
      <x:c r="B7" s="20" t="str">
        <x:v>Ransomware</x:v>
      </x:c>
      <x:c r="C7" s="20" t="str">
        <x:v>Mass file modification and shadow-copy disruption</x:v>
      </x:c>
      <x:c r="D7" s="20" t="str">
        <x:v>Endpoints and file services</x:v>
      </x:c>
      <x:c r="E7" s="20" t="str">
        <x:v>EDR + file telemetry</x:v>
      </x:c>
      <x:c r="F7" s="20" t="str">
        <x:v>Hardening; patching; least privilege</x:v>
      </x:c>
      <x:c r="G7" s="20" t="str">
        <x:v>Ransomware behavior analytics</x:v>
      </x:c>
      <x:c r="H7" s="20" t="str">
        <x:v>Strong</x:v>
      </x:c>
      <x:c r="I7" s="20" t="str">
        <x:v>High</x:v>
      </x:c>
      <x:c r="J7" s="20" t="str">
        <x:v>High</x:v>
      </x:c>
      <x:c r="K7" s="20" t="str">
        <x:v>PB-004</x:v>
      </x:c>
      <x:c r="L7" s="20" t="str">
        <x:v>SOC Lead</x:v>
      </x:c>
      <x:c r="M7" s="21" t="n">
        <x:v>46193</x:v>
      </x:c>
      <x:c r="N7" s="20" t="str">
        <x:v>Operational</x:v>
      </x:c>
    </x:row>
    <x:row r="8">
      <x:c r="A8" s="20" t="str">
        <x:v>COV-005</x:v>
      </x:c>
      <x:c r="B8" s="20" t="str">
        <x:v>Data exfiltration</x:v>
      </x:c>
      <x:c r="C8" s="20" t="str">
        <x:v>Unusual outbound transfer from restricted repository</x:v>
      </x:c>
      <x:c r="D8" s="20" t="str">
        <x:v>Restricted data</x:v>
      </x:c>
      <x:c r="E8" s="20" t="str">
        <x:v>Proxy + DLP</x:v>
      </x:c>
      <x:c r="F8" s="20" t="str">
        <x:v>Access controls; egress filtering</x:v>
      </x:c>
      <x:c r="G8" s="20" t="str">
        <x:v>DLP and anomaly correlation</x:v>
      </x:c>
      <x:c r="H8" s="20" t="str">
        <x:v>Moderate</x:v>
      </x:c>
      <x:c r="I8" s="20" t="str">
        <x:v>Moderate</x:v>
      </x:c>
      <x:c r="J8" s="20" t="str">
        <x:v>Moderate</x:v>
      </x:c>
      <x:c r="K8" s="20" t="str">
        <x:v>PB-005</x:v>
      </x:c>
      <x:c r="L8" s="20" t="str">
        <x:v>Data Security Lead</x:v>
      </x:c>
      <x:c r="M8" s="21" t="n">
        <x:v>46152</x:v>
      </x:c>
      <x:c r="N8" s="20" t="str">
        <x:v>Needs Improvement</x:v>
      </x:c>
    </x:row>
    <x:row r="9">
      <x:c r="A9" s="20" t="str">
        <x:v>COV-006</x:v>
      </x:c>
      <x:c r="B9" s="20" t="str">
        <x:v>Cloud account takeover</x:v>
      </x:c>
      <x:c r="C9" s="20" t="str">
        <x:v>Risky sign-in followed by sensitive cloud actions</x:v>
      </x:c>
      <x:c r="D9" s="20" t="str">
        <x:v>Cloud services</x:v>
      </x:c>
      <x:c r="E9" s="20" t="str">
        <x:v>Cloud audit + identity</x:v>
      </x:c>
      <x:c r="F9" s="20" t="str">
        <x:v>MFA; conditional access</x:v>
      </x:c>
      <x:c r="G9" s="20" t="str">
        <x:v>Risk-sign-in and activity correlation</x:v>
      </x:c>
      <x:c r="H9" s="20" t="str">
        <x:v>Strong</x:v>
      </x:c>
      <x:c r="I9" s="20" t="str">
        <x:v>High</x:v>
      </x:c>
      <x:c r="J9" s="20" t="str">
        <x:v>High</x:v>
      </x:c>
      <x:c r="K9" s="20" t="str">
        <x:v>PB-006</x:v>
      </x:c>
      <x:c r="L9" s="20" t="str">
        <x:v>Cloud Security Lead</x:v>
      </x:c>
      <x:c r="M9" s="21" t="n">
        <x:v>46174</x:v>
      </x:c>
      <x:c r="N9" s="20" t="str">
        <x:v>Operational</x:v>
      </x:c>
    </x:row>
    <x:row r="10">
      <x:c r="A10" s="20" t="str">
        <x:v>COV-007</x:v>
      </x:c>
      <x:c r="B10" s="20" t="str">
        <x:v>Insider data misuse</x:v>
      </x:c>
      <x:c r="C10" s="20" t="str">
        <x:v>Authorized user accesses unusual volume of records</x:v>
      </x:c>
      <x:c r="D10" s="20" t="str">
        <x:v>Customer database</x:v>
      </x:c>
      <x:c r="E10" s="20" t="str">
        <x:v>Database audit + UEBA</x:v>
      </x:c>
      <x:c r="F10" s="20" t="str">
        <x:v>Least privilege; approvals</x:v>
      </x:c>
      <x:c r="G10" s="20" t="str">
        <x:v>Entity behavior analytics</x:v>
      </x:c>
      <x:c r="H10" s="20" t="str">
        <x:v>Weak</x:v>
      </x:c>
      <x:c r="I10" s="20" t="str">
        <x:v>Moderate</x:v>
      </x:c>
      <x:c r="J10" s="20" t="str">
        <x:v>Low</x:v>
      </x:c>
      <x:c r="K10" s="20" t="str">
        <x:v>PB-007</x:v>
      </x:c>
      <x:c r="L10" s="20" t="str">
        <x:v>SOC Lead</x:v>
      </x:c>
      <x:c r="M10" s="21" t="n">
        <x:v>46113</x:v>
      </x:c>
      <x:c r="N10" s="20" t="str">
        <x:v>Pilot</x:v>
      </x:c>
    </x:row>
    <x:row r="11">
      <x:c r="A11" s="20" t="str">
        <x:v>COV-008</x:v>
      </x:c>
      <x:c r="B11" s="20" t="str">
        <x:v>Lateral movement</x:v>
      </x:c>
      <x:c r="C11" s="20" t="str">
        <x:v>Unusual remote service use between servers</x:v>
      </x:c>
      <x:c r="D11" s="20" t="str">
        <x:v>Server environment</x:v>
      </x:c>
      <x:c r="E11" s="20" t="str">
        <x:v>Auth + network + EDR</x:v>
      </x:c>
      <x:c r="F11" s="20" t="str">
        <x:v>Segmentation; admin controls</x:v>
      </x:c>
      <x:c r="G11" s="20" t="str">
        <x:v>Remote-service correlation</x:v>
      </x:c>
      <x:c r="H11" s="20" t="str">
        <x:v>Moderate</x:v>
      </x:c>
      <x:c r="I11" s="20" t="str">
        <x:v>Moderate</x:v>
      </x:c>
      <x:c r="J11" s="20" t="str">
        <x:v>Moderate</x:v>
      </x:c>
      <x:c r="K11" s="20" t="str">
        <x:v>PB-008</x:v>
      </x:c>
      <x:c r="L11" s="20" t="str">
        <x:v>Detection Engineer</x:v>
      </x:c>
      <x:c r="M11" s="21" t="n">
        <x:v>46154</x:v>
      </x:c>
      <x:c r="N11" s="20" t="str">
        <x:v>Needs Improvement</x:v>
      </x:c>
    </x:row>
    <x:row r="12">
      <x:c r="A12" s="20" t="str">
        <x:v>COV-009</x:v>
      </x:c>
      <x:c r="B12" s="20" t="str">
        <x:v>Log deletion</x:v>
      </x:c>
      <x:c r="C12" s="20" t="str">
        <x:v>Privileged actor clears security evidence</x:v>
      </x:c>
      <x:c r="D12" s="20" t="str">
        <x:v>Security tooling</x:v>
      </x:c>
      <x:c r="E12" s="20" t="str">
        <x:v>Audit platform</x:v>
      </x:c>
      <x:c r="F12" s="20" t="str">
        <x:v>Separation of duties; immutable archive</x:v>
      </x:c>
      <x:c r="G12" s="20" t="str">
        <x:v>Log-clearing and archive-integrity alert</x:v>
      </x:c>
      <x:c r="H12" s="20" t="str">
        <x:v>Strong</x:v>
      </x:c>
      <x:c r="I12" s="20" t="str">
        <x:v>High</x:v>
      </x:c>
      <x:c r="J12" s="20" t="str">
        <x:v>High</x:v>
      </x:c>
      <x:c r="K12" s="20" t="str">
        <x:v>PB-009</x:v>
      </x:c>
      <x:c r="L12" s="20" t="str">
        <x:v>SOC Lead</x:v>
      </x:c>
      <x:c r="M12" s="21" t="n">
        <x:v>46181</x:v>
      </x:c>
      <x:c r="N12" s="20" t="str">
        <x:v>Operational</x:v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1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1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1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1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1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1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1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1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1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1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1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1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1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1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1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1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1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1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1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1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1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1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1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1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1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1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1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1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1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1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1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1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1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1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1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1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1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1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1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1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1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1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1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1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1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1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1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1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1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1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1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1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1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1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1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1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1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1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1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1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1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1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1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1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1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1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1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1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1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1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1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1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1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1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1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1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1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1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1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1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1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1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1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1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1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1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1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1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1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1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1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1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1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1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1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1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1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1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1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1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1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1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1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1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1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1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1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1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1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1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1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1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1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1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1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1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1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1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1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1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1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1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1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1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1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1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1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1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1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1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1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1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1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1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1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1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1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1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1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1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1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1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1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1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1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1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1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1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1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1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1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1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1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1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1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1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1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1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1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1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1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1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1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1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1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1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1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1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1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1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1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1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1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1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1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1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1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1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1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1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1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1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1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1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1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1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1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1"/>
      <x:c r="N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1"/>
      <x:c r="N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1"/>
      <x:c r="N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1"/>
      <x:c r="N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1"/>
      <x:c r="N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1"/>
      <x:c r="N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1"/>
      <x:c r="N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1"/>
      <x:c r="N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1"/>
      <x:c r="N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1"/>
      <x:c r="N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1"/>
      <x:c r="N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1"/>
      <x:c r="N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1"/>
      <x:c r="N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1"/>
      <x:c r="N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1"/>
      <x:c r="N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1"/>
      <x:c r="N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1"/>
      <x:c r="N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1"/>
      <x:c r="N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1"/>
      <x:c r="N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1"/>
      <x:c r="N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1"/>
      <x:c r="N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1"/>
      <x:c r="N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1"/>
      <x:c r="N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1"/>
      <x:c r="N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1"/>
      <x:c r="N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1"/>
      <x:c r="N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1"/>
      <x:c r="N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1"/>
      <x:c r="N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1"/>
      <x:c r="N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1"/>
      <x:c r="N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1"/>
      <x:c r="N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1"/>
      <x:c r="N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1"/>
      <x:c r="N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1"/>
      <x:c r="N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1"/>
      <x:c r="N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1"/>
      <x:c r="N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1"/>
      <x:c r="N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1"/>
      <x:c r="N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1"/>
      <x:c r="N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1"/>
      <x:c r="N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1"/>
      <x:c r="N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1"/>
      <x:c r="N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1"/>
      <x:c r="N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1"/>
      <x:c r="N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1"/>
      <x:c r="N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1"/>
      <x:c r="N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1"/>
      <x:c r="N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1"/>
      <x:c r="N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1"/>
      <x:c r="N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1"/>
      <x:c r="N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1"/>
      <x:c r="N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1"/>
      <x:c r="N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1"/>
      <x:c r="N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1"/>
      <x:c r="N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1"/>
      <x:c r="N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1"/>
      <x:c r="N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1"/>
      <x:c r="N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1"/>
      <x:c r="N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1"/>
      <x:c r="N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1"/>
      <x:c r="N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1"/>
      <x:c r="N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1"/>
      <x:c r="N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1"/>
      <x:c r="N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1"/>
      <x:c r="N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1"/>
      <x:c r="N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1"/>
      <x:c r="N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1"/>
      <x:c r="N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1"/>
      <x:c r="N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1"/>
      <x:c r="N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1"/>
      <x:c r="N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1"/>
      <x:c r="N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1"/>
      <x:c r="N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1"/>
      <x:c r="N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1"/>
      <x:c r="N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1"/>
      <x:c r="N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1"/>
      <x:c r="N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1"/>
      <x:c r="N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1"/>
      <x:c r="N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1"/>
      <x:c r="N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1"/>
      <x:c r="N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1"/>
      <x:c r="N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1"/>
      <x:c r="N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1"/>
      <x:c r="N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1"/>
      <x:c r="N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1"/>
      <x:c r="N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1"/>
      <x:c r="N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1"/>
      <x:c r="N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1"/>
      <x:c r="N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1"/>
      <x:c r="N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1"/>
      <x:c r="N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1"/>
      <x:c r="N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1"/>
      <x:c r="N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1"/>
      <x:c r="N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1"/>
      <x:c r="N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1"/>
      <x:c r="N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1"/>
      <x:c r="N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1"/>
      <x:c r="N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1"/>
      <x:c r="N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1"/>
      <x:c r="N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1"/>
      <x:c r="N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1"/>
      <x:c r="N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1"/>
      <x:c r="N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1"/>
      <x:c r="N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1"/>
      <x:c r="N303" s="20"/>
    </x:row>
  </x:sheetData>
  <x:mergeCells>
    <x:mergeCell ref="A1:N1"/>
  </x:mergeCells>
  <x:conditionalFormatting sqref="H4:H303">
    <x:cfRule type="expression" dxfId="0" priority="1">
      <x:formula>H4="Strong"</x:formula>
    </x:cfRule>
    <x:cfRule type="expression" dxfId="1" priority="2">
      <x:formula>H4="Moderate"</x:formula>
    </x:cfRule>
    <x:cfRule type="expression" dxfId="2" priority="3">
      <x:formula>OR(H4="Weak",H4="None")</x:formula>
    </x:cfRule>
  </x:conditionalFormatting>
  <x:dataValidations count="3">
    <x:dataValidation type="list" sqref="H4:H303">
      <x:formula1>"None,Weak,Moderate,Strong"</x:formula1>
    </x:dataValidation>
    <x:dataValidation type="list" sqref="I4:J303">
      <x:formula1>"Low,Moderate,High"</x:formula1>
    </x:dataValidation>
    <x:dataValidation type="list" sqref="N4:N303">
      <x:formula1>"Not Started,Pilot,Operational,Needs Improvement,Gap,Accepted"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20" hidden="0" customWidth="1"/>
    <x:col min="5" max="5" width="28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18" hidden="0" customWidth="1"/>
    <x:col min="12" max="12" width="32" hidden="0" customWidth="1"/>
  </x:cols>
  <x:sheetData>
    <x:row r="1">
      <x:c r="A1" s="4" t="str">
        <x:v>Security Data Source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Source ID</x:v>
      </x:c>
      <x:c r="B3" s="12" t="str">
        <x:v>Source Name</x:v>
      </x:c>
      <x:c r="C3" s="12" t="str">
        <x:v>Source Type</x:v>
      </x:c>
      <x:c r="D3" s="12" t="str">
        <x:v>Owner</x:v>
      </x:c>
      <x:c r="E3" s="12" t="str">
        <x:v>Assets Covered</x:v>
      </x:c>
      <x:c r="F3" s="12" t="str">
        <x:v>Collection Method</x:v>
      </x:c>
      <x:c r="G3" s="12" t="str">
        <x:v>Retention Days</x:v>
      </x:c>
      <x:c r="H3" s="12" t="str">
        <x:v>Parsing Health</x:v>
      </x:c>
      <x:c r="I3" s="12" t="str">
        <x:v>Field Quality</x:v>
      </x:c>
      <x:c r="J3" s="12" t="str">
        <x:v>Time Sync</x:v>
      </x:c>
      <x:c r="K3" s="12" t="str">
        <x:v>Status</x:v>
      </x:c>
      <x:c r="L3" s="12" t="str">
        <x:v>Notes</x:v>
      </x:c>
    </x:row>
    <x:row r="4">
      <x:c r="A4" s="20" t="str">
        <x:v>SRC-001</x:v>
      </x:c>
      <x:c r="B4" s="20" t="str">
        <x:v>Identity Provider Audit Logs</x:v>
      </x:c>
      <x:c r="C4" s="20" t="str">
        <x:v>Identity</x:v>
      </x:c>
      <x:c r="D4" s="20" t="str">
        <x:v>IAM Lead</x:v>
      </x:c>
      <x:c r="E4" s="20" t="str">
        <x:v>Workforce and customer identities</x:v>
      </x:c>
      <x:c r="F4" s="20" t="str">
        <x:v>API connector</x:v>
      </x:c>
      <x:c r="G4" s="20" t="n">
        <x:v>365</x:v>
      </x:c>
      <x:c r="H4" s="20" t="str">
        <x:v>Healthy</x:v>
      </x:c>
      <x:c r="I4" s="20" t="str">
        <x:v>High</x:v>
      </x:c>
      <x:c r="J4" s="20" t="str">
        <x:v>Verified</x:v>
      </x:c>
      <x:c r="K4" s="20" t="str">
        <x:v>Operational</x:v>
      </x:c>
      <x:c r="L4" s="20" t="str"/>
    </x:row>
    <x:row r="5">
      <x:c r="A5" s="20" t="str">
        <x:v>SRC-002</x:v>
      </x:c>
      <x:c r="B5" s="20" t="str">
        <x:v>Endpoint Detection Telemetry</x:v>
      </x:c>
      <x:c r="C5" s="20" t="str">
        <x:v>Endpoint</x:v>
      </x:c>
      <x:c r="D5" s="20" t="str">
        <x:v>Endpoint Lead</x:v>
      </x:c>
      <x:c r="E5" s="20" t="str">
        <x:v>Corporate endpoints and servers</x:v>
      </x:c>
      <x:c r="F5" s="20" t="str">
        <x:v>Agent</x:v>
      </x:c>
      <x:c r="G5" s="20" t="n">
        <x:v>90</x:v>
      </x:c>
      <x:c r="H5" s="20" t="str">
        <x:v>Healthy</x:v>
      </x:c>
      <x:c r="I5" s="20" t="str">
        <x:v>High</x:v>
      </x:c>
      <x:c r="J5" s="20" t="str">
        <x:v>Verified</x:v>
      </x:c>
      <x:c r="K5" s="20" t="str">
        <x:v>Operational</x:v>
      </x:c>
      <x:c r="L5" s="20" t="str"/>
    </x:row>
    <x:row r="6">
      <x:c r="A6" s="20" t="str">
        <x:v>SRC-003</x:v>
      </x:c>
      <x:c r="B6" s="20" t="str">
        <x:v>Email Security Gateway</x:v>
      </x:c>
      <x:c r="C6" s="20" t="str">
        <x:v>Email</x:v>
      </x:c>
      <x:c r="D6" s="20" t="str">
        <x:v>Email Security Lead</x:v>
      </x:c>
      <x:c r="E6" s="20" t="str">
        <x:v>Inbound and outbound email</x:v>
      </x:c>
      <x:c r="F6" s="20" t="str">
        <x:v>API connector</x:v>
      </x:c>
      <x:c r="G6" s="20" t="n">
        <x:v>180</x:v>
      </x:c>
      <x:c r="H6" s="20" t="str">
        <x:v>Healthy</x:v>
      </x:c>
      <x:c r="I6" s="20" t="str">
        <x:v>High</x:v>
      </x:c>
      <x:c r="J6" s="20" t="str">
        <x:v>Verified</x:v>
      </x:c>
      <x:c r="K6" s="20" t="str">
        <x:v>Operational</x:v>
      </x:c>
      <x:c r="L6" s="20" t="str"/>
    </x:row>
    <x:row r="7">
      <x:c r="A7" s="20" t="str">
        <x:v>SRC-004</x:v>
      </x:c>
      <x:c r="B7" s="20" t="str">
        <x:v>DNS Resolver Logs</x:v>
      </x:c>
      <x:c r="C7" s="20" t="str">
        <x:v>Network</x:v>
      </x:c>
      <x:c r="D7" s="20" t="str">
        <x:v>Network Lead</x:v>
      </x:c>
      <x:c r="E7" s="20" t="str">
        <x:v>Enterprise DNS clients</x:v>
      </x:c>
      <x:c r="F7" s="20" t="str">
        <x:v>Syslog</x:v>
      </x:c>
      <x:c r="G7" s="20" t="n">
        <x:v>90</x:v>
      </x:c>
      <x:c r="H7" s="20" t="str">
        <x:v>Partial</x:v>
      </x:c>
      <x:c r="I7" s="20" t="str">
        <x:v>Moderate</x:v>
      </x:c>
      <x:c r="J7" s="20" t="str">
        <x:v>Verified</x:v>
      </x:c>
      <x:c r="K7" s="20" t="str">
        <x:v>Needs Improvement</x:v>
      </x:c>
      <x:c r="L7" s="20" t="str">
        <x:v>Some remote clients missing</x:v>
      </x:c>
    </x:row>
    <x:row r="8">
      <x:c r="A8" s="20" t="str">
        <x:v>SRC-005</x:v>
      </x:c>
      <x:c r="B8" s="20" t="str">
        <x:v>Proxy / Secure Web Gateway</x:v>
      </x:c>
      <x:c r="C8" s="20" t="str">
        <x:v>Network</x:v>
      </x:c>
      <x:c r="D8" s="20" t="str">
        <x:v>Network Lead</x:v>
      </x:c>
      <x:c r="E8" s="20" t="str">
        <x:v>Managed web traffic</x:v>
      </x:c>
      <x:c r="F8" s="20" t="str">
        <x:v>API connector</x:v>
      </x:c>
      <x:c r="G8" s="20" t="n">
        <x:v>180</x:v>
      </x:c>
      <x:c r="H8" s="20" t="str">
        <x:v>Healthy</x:v>
      </x:c>
      <x:c r="I8" s="20" t="str">
        <x:v>High</x:v>
      </x:c>
      <x:c r="J8" s="20" t="str">
        <x:v>Verified</x:v>
      </x:c>
      <x:c r="K8" s="20" t="str">
        <x:v>Operational</x:v>
      </x:c>
      <x:c r="L8" s="20" t="str"/>
    </x:row>
    <x:row r="9">
      <x:c r="A9" s="20" t="str">
        <x:v>SRC-006</x:v>
      </x:c>
      <x:c r="B9" s="20" t="str">
        <x:v>Cloud Audit Logs</x:v>
      </x:c>
      <x:c r="C9" s="20" t="str">
        <x:v>Cloud</x:v>
      </x:c>
      <x:c r="D9" s="20" t="str">
        <x:v>Cloud Security Lead</x:v>
      </x:c>
      <x:c r="E9" s="20" t="str">
        <x:v>Critical cloud services</x:v>
      </x:c>
      <x:c r="F9" s="20" t="str">
        <x:v>Native connector</x:v>
      </x:c>
      <x:c r="G9" s="20" t="n">
        <x:v>365</x:v>
      </x:c>
      <x:c r="H9" s="20" t="str">
        <x:v>Healthy</x:v>
      </x:c>
      <x:c r="I9" s="20" t="str">
        <x:v>High</x:v>
      </x:c>
      <x:c r="J9" s="20" t="str">
        <x:v>Verified</x:v>
      </x:c>
      <x:c r="K9" s="20" t="str">
        <x:v>Operational</x:v>
      </x:c>
      <x:c r="L9" s="20" t="str"/>
    </x:row>
    <x:row r="10">
      <x:c r="A10" s="20" t="str">
        <x:v>SRC-007</x:v>
      </x:c>
      <x:c r="B10" s="20" t="str">
        <x:v>Database Audit Logs</x:v>
      </x:c>
      <x:c r="C10" s="20" t="str">
        <x:v>Database</x:v>
      </x:c>
      <x:c r="D10" s="20" t="str">
        <x:v>DBA Lead</x:v>
      </x:c>
      <x:c r="E10" s="20" t="str">
        <x:v>Critical databases</x:v>
      </x:c>
      <x:c r="F10" s="20" t="str">
        <x:v>Agent / native export</x:v>
      </x:c>
      <x:c r="G10" s="20" t="n">
        <x:v>180</x:v>
      </x:c>
      <x:c r="H10" s="20" t="str">
        <x:v>Partial</x:v>
      </x:c>
      <x:c r="I10" s="20" t="str">
        <x:v>Moderate</x:v>
      </x:c>
      <x:c r="J10" s="20" t="str">
        <x:v>Verified</x:v>
      </x:c>
      <x:c r="K10" s="20" t="str">
        <x:v>Needs Improvement</x:v>
      </x:c>
      <x:c r="L10" s="20" t="str">
        <x:v>Coverage varies by platform</x:v>
      </x:c>
    </x:row>
    <x:row r="11">
      <x:c r="A11" s="20" t="str">
        <x:v>SRC-008</x:v>
      </x:c>
      <x:c r="B11" s="20" t="str">
        <x:v>Vulnerability Management</x:v>
      </x:c>
      <x:c r="C11" s="20" t="str">
        <x:v>Exposure</x:v>
      </x:c>
      <x:c r="D11" s="20" t="str">
        <x:v>Vulnerability Lead</x:v>
      </x:c>
      <x:c r="E11" s="20" t="str">
        <x:v>Servers and endpoints</x:v>
      </x:c>
      <x:c r="F11" s="20" t="str">
        <x:v>API connector</x:v>
      </x:c>
      <x:c r="G11" s="20" t="n">
        <x:v>365</x:v>
      </x:c>
      <x:c r="H11" s="20" t="str">
        <x:v>Healthy</x:v>
      </x:c>
      <x:c r="I11" s="20" t="str">
        <x:v>High</x:v>
      </x:c>
      <x:c r="J11" s="20" t="str">
        <x:v>N/A</x:v>
      </x:c>
      <x:c r="K11" s="20" t="str">
        <x:v>Operational</x:v>
      </x:c>
      <x:c r="L11" s="20" t="str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</x:row>
  </x:sheetData>
  <x:mergeCells>
    <x:mergeCell ref="A1:L1"/>
  </x:mergeCells>
  <x:dataValidations count="3">
    <x:dataValidation type="list" sqref="H4:I203">
      <x:formula1>"Low,Moderate,High,Partial,Healthy,Unhealthy,Unknown"</x:formula1>
    </x:dataValidation>
    <x:dataValidation type="list" sqref="J4:J203">
      <x:formula1>"Verified,Drifted,Unknown,N/A"</x:formula1>
    </x:dataValidation>
    <x:dataValidation type="list" sqref="K4:K203">
      <x:formula1>"Not Started,Pilot,Operational,Needs Improvement,Retired"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8" hidden="0" customWidth="1"/>
    <x:col min="5" max="5" width="34" hidden="0" customWidth="1"/>
    <x:col min="6" max="6" width="20" hidden="0" customWidth="1"/>
    <x:col min="7" max="7" width="20" hidden="0" customWidth="1"/>
    <x:col min="8" max="8" width="15" hidden="0" customWidth="1"/>
    <x:col min="9" max="9" width="16" hidden="0" customWidth="1"/>
    <x:col min="10" max="10" width="14" hidden="0" customWidth="1"/>
    <x:col min="11" max="11" width="14" hidden="0" customWidth="1"/>
    <x:col min="12" max="12" width="18" hidden="0" customWidth="1"/>
    <x:col min="13" max="13" width="32" hidden="0" customWidth="1"/>
  </x:cols>
  <x:sheetData>
    <x:row r="1">
      <x:c r="A1" s="4" t="str">
        <x:v>Detection Control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Control ID</x:v>
      </x:c>
      <x:c r="B3" s="12" t="str">
        <x:v>Control Name</x:v>
      </x:c>
      <x:c r="C3" s="12" t="str">
        <x:v>Control Type</x:v>
      </x:c>
      <x:c r="D3" s="12" t="str">
        <x:v>Platform</x:v>
      </x:c>
      <x:c r="E3" s="12" t="str">
        <x:v>Threats Covered</x:v>
      </x:c>
      <x:c r="F3" s="12" t="str">
        <x:v>Owner</x:v>
      </x:c>
      <x:c r="G3" s="12" t="str">
        <x:v>Deployment Coverage</x:v>
      </x:c>
      <x:c r="H3" s="12" t="str">
        <x:v>Effectiveness</x:v>
      </x:c>
      <x:c r="I3" s="12" t="str">
        <x:v>Alerting Enabled</x:v>
      </x:c>
      <x:c r="J3" s="12" t="str">
        <x:v>Last Test</x:v>
      </x:c>
      <x:c r="K3" s="12" t="str">
        <x:v>Next Test</x:v>
      </x:c>
      <x:c r="L3" s="12" t="str">
        <x:v>Status</x:v>
      </x:c>
      <x:c r="M3" s="12" t="str">
        <x:v>Notes</x:v>
      </x:c>
    </x:row>
    <x:row r="4">
      <x:c r="A4" s="20" t="str">
        <x:v>DCV-001</x:v>
      </x:c>
      <x:c r="B4" s="20" t="str">
        <x:v>Endpoint Detection and Response</x:v>
      </x:c>
      <x:c r="C4" s="20" t="str">
        <x:v>Preventive / Detective</x:v>
      </x:c>
      <x:c r="D4" s="20" t="str">
        <x:v>Endpoint</x:v>
      </x:c>
      <x:c r="E4" s="20" t="str">
        <x:v>Malware; credential theft; persistence</x:v>
      </x:c>
      <x:c r="F4" s="20" t="str">
        <x:v>Endpoint Lead</x:v>
      </x:c>
      <x:c r="G4" s="20" t="str">
        <x:v>94%</x:v>
      </x:c>
      <x:c r="H4" s="20" t="n">
        <x:v>4</x:v>
      </x:c>
      <x:c r="I4" s="20" t="str">
        <x:v>Yes</x:v>
      </x:c>
      <x:c r="J4" s="21" t="n">
        <x:v>46193</x:v>
      </x:c>
      <x:c r="K4" s="21" t="n">
        <x:v>46285</x:v>
      </x:c>
      <x:c r="L4" s="20" t="str">
        <x:v>Operational</x:v>
      </x:c>
      <x:c r="M4" s="20" t="str"/>
    </x:row>
    <x:row r="5">
      <x:c r="A5" s="20" t="str">
        <x:v>DCV-002</x:v>
      </x:c>
      <x:c r="B5" s="20" t="str">
        <x:v>Identity Risk Analytics</x:v>
      </x:c>
      <x:c r="C5" s="20" t="str">
        <x:v>Detective</x:v>
      </x:c>
      <x:c r="D5" s="20" t="str">
        <x:v>Identity</x:v>
      </x:c>
      <x:c r="E5" s="20" t="str">
        <x:v>Account takeover; credential stuffing</x:v>
      </x:c>
      <x:c r="F5" s="20" t="str">
        <x:v>IAM Lead</x:v>
      </x:c>
      <x:c r="G5" s="20" t="str">
        <x:v>All workforce identities</x:v>
      </x:c>
      <x:c r="H5" s="20" t="n">
        <x:v>4</x:v>
      </x:c>
      <x:c r="I5" s="20" t="str">
        <x:v>Yes</x:v>
      </x:c>
      <x:c r="J5" s="21" t="n">
        <x:v>46174</x:v>
      </x:c>
      <x:c r="K5" s="21" t="n">
        <x:v>46266</x:v>
      </x:c>
      <x:c r="L5" s="20" t="str">
        <x:v>Operational</x:v>
      </x:c>
      <x:c r="M5" s="20" t="str"/>
    </x:row>
    <x:row r="6">
      <x:c r="A6" s="20" t="str">
        <x:v>DCV-003</x:v>
      </x:c>
      <x:c r="B6" s="20" t="str">
        <x:v>Web Application Firewall</x:v>
      </x:c>
      <x:c r="C6" s="20" t="str">
        <x:v>Preventive / Detective</x:v>
      </x:c>
      <x:c r="D6" s="20" t="str">
        <x:v>Application</x:v>
      </x:c>
      <x:c r="E6" s="20" t="str">
        <x:v>Injection; scanning; abuse</x:v>
      </x:c>
      <x:c r="F6" s="20" t="str">
        <x:v>Network Lead</x:v>
      </x:c>
      <x:c r="G6" s="20" t="str">
        <x:v>All public web apps</x:v>
      </x:c>
      <x:c r="H6" s="20" t="n">
        <x:v>4</x:v>
      </x:c>
      <x:c r="I6" s="20" t="str">
        <x:v>Yes</x:v>
      </x:c>
      <x:c r="J6" s="21" t="n">
        <x:v>46157</x:v>
      </x:c>
      <x:c r="K6" s="21" t="n">
        <x:v>46249</x:v>
      </x:c>
      <x:c r="L6" s="20" t="str">
        <x:v>Operational</x:v>
      </x:c>
      <x:c r="M6" s="20" t="str"/>
    </x:row>
    <x:row r="7">
      <x:c r="A7" s="20" t="str">
        <x:v>DCV-004</x:v>
      </x:c>
      <x:c r="B7" s="20" t="str">
        <x:v>Network Detection Analytics</x:v>
      </x:c>
      <x:c r="C7" s="20" t="str">
        <x:v>Detective</x:v>
      </x:c>
      <x:c r="D7" s="20" t="str">
        <x:v>Network</x:v>
      </x:c>
      <x:c r="E7" s="20" t="str">
        <x:v>C2; exfiltration; lateral movement</x:v>
      </x:c>
      <x:c r="F7" s="20" t="str">
        <x:v>Network Detection Lead</x:v>
      </x:c>
      <x:c r="G7" s="20" t="str">
        <x:v>Core network only</x:v>
      </x:c>
      <x:c r="H7" s="20" t="n">
        <x:v>3</x:v>
      </x:c>
      <x:c r="I7" s="20" t="str">
        <x:v>Yes</x:v>
      </x:c>
      <x:c r="J7" s="21" t="n">
        <x:v>46142</x:v>
      </x:c>
      <x:c r="K7" s="21" t="n">
        <x:v>46264</x:v>
      </x:c>
      <x:c r="L7" s="20" t="str">
        <x:v>Needs Improvement</x:v>
      </x:c>
      <x:c r="M7" s="20" t="str">
        <x:v>Remote coverage incomplete</x:v>
      </x:c>
    </x:row>
    <x:row r="8">
      <x:c r="A8" s="20" t="str">
        <x:v>DCV-005</x:v>
      </x:c>
      <x:c r="B8" s="20" t="str">
        <x:v>Cloud Security Monitoring</x:v>
      </x:c>
      <x:c r="C8" s="20" t="str">
        <x:v>Preventive / Detective</x:v>
      </x:c>
      <x:c r="D8" s="20" t="str">
        <x:v>Cloud</x:v>
      </x:c>
      <x:c r="E8" s="20" t="str">
        <x:v>Cloud takeover; configuration abuse</x:v>
      </x:c>
      <x:c r="F8" s="20" t="str">
        <x:v>Cloud Security Lead</x:v>
      </x:c>
      <x:c r="G8" s="20" t="str">
        <x:v>Critical subscriptions</x:v>
      </x:c>
      <x:c r="H8" s="20" t="n">
        <x:v>4</x:v>
      </x:c>
      <x:c r="I8" s="20" t="str">
        <x:v>Yes</x:v>
      </x:c>
      <x:c r="J8" s="21" t="n">
        <x:v>46178</x:v>
      </x:c>
      <x:c r="K8" s="21" t="n">
        <x:v>46270</x:v>
      </x:c>
      <x:c r="L8" s="20" t="str">
        <x:v>Operational</x:v>
      </x:c>
      <x:c r="M8" s="20" t="str"/>
    </x:row>
    <x:row r="9">
      <x:c r="A9" s="20" t="str">
        <x:v>DCV-006</x:v>
      </x:c>
      <x:c r="B9" s="20" t="str">
        <x:v>Database Activity Monitoring</x:v>
      </x:c>
      <x:c r="C9" s="20" t="str">
        <x:v>Detective</x:v>
      </x:c>
      <x:c r="D9" s="20" t="str">
        <x:v>Database</x:v>
      </x:c>
      <x:c r="E9" s="20" t="str">
        <x:v>Insider misuse; data access anomaly</x:v>
      </x:c>
      <x:c r="F9" s="20" t="str">
        <x:v>DBA Lead</x:v>
      </x:c>
      <x:c r="G9" s="20" t="str">
        <x:v>Two critical platforms</x:v>
      </x:c>
      <x:c r="H9" s="20" t="n">
        <x:v>2</x:v>
      </x:c>
      <x:c r="I9" s="20" t="str">
        <x:v>Yes</x:v>
      </x:c>
      <x:c r="J9" s="21" t="n">
        <x:v>46113</x:v>
      </x:c>
      <x:c r="K9" s="21" t="n">
        <x:v>46235</x:v>
      </x:c>
      <x:c r="L9" s="20" t="str">
        <x:v>Pilot</x:v>
      </x:c>
      <x:c r="M9" s="20" t="str"/>
    </x:row>
    <x:row r="10">
      <x:c r="A10" s="20" t="str">
        <x:v>DCV-007</x:v>
      </x:c>
      <x:c r="B10" s="20" t="str">
        <x:v>Immutable Log Archive</x:v>
      </x:c>
      <x:c r="C10" s="20" t="str">
        <x:v>Corrective / Detective</x:v>
      </x:c>
      <x:c r="D10" s="20" t="str">
        <x:v>Security Operations</x:v>
      </x:c>
      <x:c r="E10" s="20" t="str">
        <x:v>Evidence deletion and tampering</x:v>
      </x:c>
      <x:c r="F10" s="20" t="str">
        <x:v>SOC Lead</x:v>
      </x:c>
      <x:c r="G10" s="20" t="str">
        <x:v>Critical security logs</x:v>
      </x:c>
      <x:c r="H10" s="20" t="n">
        <x:v>4</x:v>
      </x:c>
      <x:c r="I10" s="20" t="str">
        <x:v>Yes</x:v>
      </x:c>
      <x:c r="J10" s="21" t="n">
        <x:v>46181</x:v>
      </x:c>
      <x:c r="K10" s="21" t="n">
        <x:v>46364</x:v>
      </x:c>
      <x:c r="L10" s="20" t="str">
        <x:v>Operational</x:v>
      </x:c>
      <x:c r="M10" s="20" t="str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1"/>
      <x:c r="K11" s="21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1"/>
      <x:c r="K12" s="21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1"/>
      <x:c r="K13" s="21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1"/>
      <x:c r="K14" s="21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1"/>
      <x:c r="K15" s="21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1"/>
      <x:c r="K16" s="21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1"/>
      <x:c r="K17" s="21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1"/>
      <x:c r="K18" s="21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1"/>
      <x:c r="K19" s="21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1"/>
      <x:c r="K20" s="21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1"/>
      <x:c r="K21" s="21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1"/>
      <x:c r="K22" s="21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1"/>
      <x:c r="K23" s="21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1"/>
      <x:c r="K24" s="21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1"/>
      <x:c r="K25" s="21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1"/>
      <x:c r="K26" s="21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1"/>
      <x:c r="K27" s="21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1"/>
      <x:c r="K28" s="21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1"/>
      <x:c r="K29" s="21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1"/>
      <x:c r="K30" s="21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1"/>
      <x:c r="K31" s="21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1"/>
      <x:c r="K32" s="21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1"/>
      <x:c r="K33" s="21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1"/>
      <x:c r="K34" s="21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1"/>
      <x:c r="K35" s="21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1"/>
      <x:c r="K36" s="21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1"/>
      <x:c r="K37" s="21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1"/>
      <x:c r="K38" s="21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1"/>
      <x:c r="K39" s="21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1"/>
      <x:c r="K40" s="21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1"/>
      <x:c r="K41" s="21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1"/>
      <x:c r="K42" s="21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1"/>
      <x:c r="K43" s="21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1"/>
      <x:c r="K44" s="21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1"/>
      <x:c r="K45" s="21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1"/>
      <x:c r="K46" s="21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1"/>
      <x:c r="K47" s="21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1"/>
      <x:c r="K48" s="21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1"/>
      <x:c r="K49" s="21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1"/>
      <x:c r="K50" s="21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1"/>
      <x:c r="K51" s="21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1"/>
      <x:c r="K52" s="21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1"/>
      <x:c r="K53" s="21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1"/>
      <x:c r="K54" s="21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1"/>
      <x:c r="K55" s="21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1"/>
      <x:c r="K56" s="21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1"/>
      <x:c r="K57" s="21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1"/>
      <x:c r="K58" s="21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1"/>
      <x:c r="K59" s="21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1"/>
      <x:c r="K60" s="21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1"/>
      <x:c r="K61" s="21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1"/>
      <x:c r="K62" s="21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1"/>
      <x:c r="K63" s="21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1"/>
      <x:c r="K64" s="21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1"/>
      <x:c r="K65" s="21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1"/>
      <x:c r="K66" s="21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1"/>
      <x:c r="K67" s="21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1"/>
      <x:c r="K68" s="21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1"/>
      <x:c r="K69" s="21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1"/>
      <x:c r="K70" s="21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1"/>
      <x:c r="K71" s="21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1"/>
      <x:c r="K72" s="21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1"/>
      <x:c r="K73" s="21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1"/>
      <x:c r="K74" s="21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1"/>
      <x:c r="K75" s="21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1"/>
      <x:c r="K76" s="21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1"/>
      <x:c r="K77" s="21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1"/>
      <x:c r="K78" s="21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1"/>
      <x:c r="K79" s="21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1"/>
      <x:c r="K80" s="21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1"/>
      <x:c r="K81" s="21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1"/>
      <x:c r="K82" s="21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1"/>
      <x:c r="K83" s="21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1"/>
      <x:c r="K84" s="21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1"/>
      <x:c r="K85" s="21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1"/>
      <x:c r="K86" s="21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1"/>
      <x:c r="K87" s="21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1"/>
      <x:c r="K88" s="21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1"/>
      <x:c r="K89" s="21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1"/>
      <x:c r="K90" s="21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1"/>
      <x:c r="K91" s="21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1"/>
      <x:c r="K92" s="21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1"/>
      <x:c r="K93" s="21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1"/>
      <x:c r="K94" s="21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1"/>
      <x:c r="K95" s="21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1"/>
      <x:c r="K96" s="21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1"/>
      <x:c r="K97" s="21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1"/>
      <x:c r="K98" s="21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1"/>
      <x:c r="K99" s="21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1"/>
      <x:c r="K100" s="21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1"/>
      <x:c r="K101" s="21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1"/>
      <x:c r="K102" s="21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1"/>
      <x:c r="K103" s="21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1"/>
      <x:c r="K104" s="21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1"/>
      <x:c r="K105" s="21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1"/>
      <x:c r="K106" s="21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1"/>
      <x:c r="K107" s="21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1"/>
      <x:c r="K108" s="21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1"/>
      <x:c r="K109" s="21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1"/>
      <x:c r="K110" s="21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1"/>
      <x:c r="K111" s="21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1"/>
      <x:c r="K112" s="21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1"/>
      <x:c r="K113" s="21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1"/>
      <x:c r="K114" s="21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1"/>
      <x:c r="K115" s="21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1"/>
      <x:c r="K116" s="21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1"/>
      <x:c r="K117" s="21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1"/>
      <x:c r="K118" s="21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1"/>
      <x:c r="K119" s="21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1"/>
      <x:c r="K120" s="21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1"/>
      <x:c r="K121" s="21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1"/>
      <x:c r="K122" s="21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1"/>
      <x:c r="K123" s="21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1"/>
      <x:c r="K124" s="21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1"/>
      <x:c r="K125" s="21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1"/>
      <x:c r="K126" s="21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1"/>
      <x:c r="K127" s="21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1"/>
      <x:c r="K128" s="21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1"/>
      <x:c r="K129" s="21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1"/>
      <x:c r="K130" s="21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1"/>
      <x:c r="K131" s="21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1"/>
      <x:c r="K132" s="21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1"/>
      <x:c r="K133" s="21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1"/>
      <x:c r="K134" s="21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1"/>
      <x:c r="K135" s="21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1"/>
      <x:c r="K136" s="21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1"/>
      <x:c r="K137" s="21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1"/>
      <x:c r="K138" s="21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1"/>
      <x:c r="K139" s="21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1"/>
      <x:c r="K140" s="21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1"/>
      <x:c r="K141" s="21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1"/>
      <x:c r="K142" s="21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1"/>
      <x:c r="K143" s="21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1"/>
      <x:c r="K144" s="21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1"/>
      <x:c r="K145" s="21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1"/>
      <x:c r="K146" s="21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1"/>
      <x:c r="K147" s="21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1"/>
      <x:c r="K148" s="21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1"/>
      <x:c r="K149" s="21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1"/>
      <x:c r="K150" s="21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1"/>
      <x:c r="K151" s="21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1"/>
      <x:c r="K152" s="21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1"/>
      <x:c r="K153" s="21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1"/>
      <x:c r="K154" s="21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1"/>
      <x:c r="K155" s="21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1"/>
      <x:c r="K156" s="21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1"/>
      <x:c r="K157" s="21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1"/>
      <x:c r="K158" s="21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1"/>
      <x:c r="K159" s="21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1"/>
      <x:c r="K160" s="21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1"/>
      <x:c r="K161" s="21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1"/>
      <x:c r="K162" s="21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1"/>
      <x:c r="K163" s="21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1"/>
      <x:c r="K164" s="21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1"/>
      <x:c r="K165" s="21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1"/>
      <x:c r="K166" s="21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1"/>
      <x:c r="K167" s="21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1"/>
      <x:c r="K168" s="21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1"/>
      <x:c r="K169" s="21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1"/>
      <x:c r="K170" s="21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1"/>
      <x:c r="K171" s="21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1"/>
      <x:c r="K172" s="21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1"/>
      <x:c r="K173" s="21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1"/>
      <x:c r="K174" s="21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1"/>
      <x:c r="K175" s="21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1"/>
      <x:c r="K176" s="21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1"/>
      <x:c r="K177" s="21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1"/>
      <x:c r="K178" s="21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1"/>
      <x:c r="K179" s="21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1"/>
      <x:c r="K180" s="21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1"/>
      <x:c r="K181" s="21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1"/>
      <x:c r="K182" s="21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1"/>
      <x:c r="K183" s="21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1"/>
      <x:c r="K184" s="21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1"/>
      <x:c r="K185" s="21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1"/>
      <x:c r="K186" s="21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1"/>
      <x:c r="K187" s="21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1"/>
      <x:c r="K188" s="21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1"/>
      <x:c r="K189" s="21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1"/>
      <x:c r="K190" s="21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1"/>
      <x:c r="K191" s="21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1"/>
      <x:c r="K192" s="21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1"/>
      <x:c r="K193" s="21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1"/>
      <x:c r="K194" s="21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1"/>
      <x:c r="K195" s="21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1"/>
      <x:c r="K196" s="21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1"/>
      <x:c r="K197" s="21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1"/>
      <x:c r="K198" s="21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1"/>
      <x:c r="K199" s="21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1"/>
      <x:c r="K200" s="21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1"/>
      <x:c r="K201" s="21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1"/>
      <x:c r="K202" s="21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1"/>
      <x:c r="K203" s="21"/>
      <x:c r="L203" s="20"/>
      <x:c r="M203" s="20"/>
    </x:row>
  </x:sheetData>
  <x:mergeCells>
    <x:mergeCell ref="A1:M1"/>
  </x:mergeCells>
  <x:dataValidations count="3">
    <x:dataValidation type="list" sqref="H4:H203">
      <x:formula1>"1,2,3,4,5"</x:formula1>
    </x:dataValidation>
    <x:dataValidation type="list" sqref="I4:I203">
      <x:formula1>"Yes,No,Partial"</x:formula1>
    </x:dataValidation>
    <x:dataValidation type="list" sqref="L4:L203">
      <x:formula1>"Not Started,Pilot,Operational,Needs Improvement,Retired"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4" hidden="0" customWidth="1"/>
    <x:col min="5" max="5" width="15" hidden="0" customWidth="1"/>
    <x:col min="6" max="6" width="18" hidden="0" customWidth="1"/>
    <x:col min="7" max="7" width="14" hidden="0" customWidth="1"/>
    <x:col min="8" max="8" width="20" hidden="0" customWidth="1"/>
    <x:col min="9" max="9" width="16" hidden="0" customWidth="1"/>
    <x:col min="10" max="10" width="42" hidden="0" customWidth="1"/>
    <x:col min="11" max="11" width="20" hidden="0" customWidth="1"/>
  </x:cols>
  <x:sheetData>
    <x:row r="1">
      <x:c r="A1" s="4" t="str">
        <x:v>Detection Quality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Review ID</x:v>
      </x:c>
      <x:c r="B3" s="12" t="str">
        <x:v>Coverage ID</x:v>
      </x:c>
      <x:c r="C3" s="12" t="str">
        <x:v>Alert Volume / Month</x:v>
      </x:c>
      <x:c r="D3" s="12" t="str">
        <x:v>True Positives</x:v>
      </x:c>
      <x:c r="E3" s="12" t="str">
        <x:v>False Positives</x:v>
      </x:c>
      <x:c r="F3" s="12" t="str">
        <x:v>False Positive Rate</x:v>
      </x:c>
      <x:c r="G3" s="12" t="str">
        <x:v>Missed Events</x:v>
      </x:c>
      <x:c r="H3" s="12" t="str">
        <x:v>Analyst Minutes / Alert</x:v>
      </x:c>
      <x:c r="I3" s="12" t="str">
        <x:v>Quality Rating</x:v>
      </x:c>
      <x:c r="J3" s="12" t="str">
        <x:v>Recommended Change</x:v>
      </x:c>
      <x:c r="K3" s="12" t="str">
        <x:v>Owner</x:v>
      </x:c>
    </x:row>
    <x:row r="4">
      <x:c r="A4" s="20" t="str">
        <x:v>QR-001</x:v>
      </x:c>
      <x:c r="B4" s="20" t="str">
        <x:v>COV-001</x:v>
      </x:c>
      <x:c r="C4" s="20" t="n">
        <x:v>85</x:v>
      </x:c>
      <x:c r="D4" s="20" t="n">
        <x:v>8</x:v>
      </x:c>
      <x:c r="E4" s="20" t="n">
        <x:v>4</x:v>
      </x:c>
      <x:c r="F4" s="26" t="n">
        <x:f>IF((D4+E4)=0,"",E4/(D4+E4))</x:f>
        <x:v>0.3333333333333333</x:v>
      </x:c>
      <x:c r="G4" s="20" t="n">
        <x:v>0</x:v>
      </x:c>
      <x:c r="H4" s="20" t="n">
        <x:v>12</x:v>
      </x:c>
      <x:c r="I4" s="20" t="str">
        <x:f>IF(F4="","",IF(AND(F4&lt;=0.1,G4=0),"Strong",IF(AND(F4&lt;=0.25,G4&lt;=1),"Moderate","Weak")))</x:f>
        <x:v>Weak</x:v>
      </x:c>
      <x:c r="J4" s="20" t="str">
        <x:v>Maintain and monitor</x:v>
      </x:c>
      <x:c r="K4" s="20" t="str">
        <x:v>SOC Lead</x:v>
      </x:c>
    </x:row>
    <x:row r="5">
      <x:c r="A5" s="20" t="str">
        <x:v>QR-002</x:v>
      </x:c>
      <x:c r="B5" s="20" t="str">
        <x:v>COV-002</x:v>
      </x:c>
      <x:c r="C5" s="20" t="n">
        <x:v>420</x:v>
      </x:c>
      <x:c r="D5" s="20" t="n">
        <x:v>15</x:v>
      </x:c>
      <x:c r="E5" s="20" t="n">
        <x:v>96</x:v>
      </x:c>
      <x:c r="F5" s="26" t="n">
        <x:f>IF((D5+E5)=0,"",E5/(D5+E5))</x:f>
        <x:v>0.8648648648648649</x:v>
      </x:c>
      <x:c r="G5" s="20" t="n">
        <x:v>2</x:v>
      </x:c>
      <x:c r="H5" s="20" t="n">
        <x:v>7</x:v>
      </x:c>
      <x:c r="I5" s="20" t="str">
        <x:f>IF(F5="","",IF(AND(F5&lt;=0.1,G5=0),"Strong",IF(AND(F5&lt;=0.25,G5&lt;=1),"Moderate","Weak")))</x:f>
        <x:v>Weak</x:v>
      </x:c>
      <x:c r="J5" s="20" t="str">
        <x:v>Improve credential-stuffing baseline</x:v>
      </x:c>
      <x:c r="K5" s="20" t="str">
        <x:v>IAM Lead</x:v>
      </x:c>
    </x:row>
    <x:row r="6">
      <x:c r="A6" s="20" t="str">
        <x:v>QR-003</x:v>
      </x:c>
      <x:c r="B6" s="20" t="str">
        <x:v>COV-003</x:v>
      </x:c>
      <x:c r="C6" s="20" t="n">
        <x:v>6</x:v>
      </x:c>
      <x:c r="D6" s="20" t="n">
        <x:v>1</x:v>
      </x:c>
      <x:c r="E6" s="20" t="n">
        <x:v>2</x:v>
      </x:c>
      <x:c r="F6" s="26" t="n">
        <x:f>IF((D6+E6)=0,"",E6/(D6+E6))</x:f>
        <x:v>0.6666666666666666</x:v>
      </x:c>
      <x:c r="G6" s="20" t="n">
        <x:v>3</x:v>
      </x:c>
      <x:c r="H6" s="20" t="n">
        <x:v>20</x:v>
      </x:c>
      <x:c r="I6" s="20" t="str">
        <x:f>IF(F6="","",IF(AND(F6&lt;=0.1,G6=0),"Strong",IF(AND(F6&lt;=0.25,G6&lt;=1),"Moderate","Weak")))</x:f>
        <x:v>Weak</x:v>
      </x:c>
      <x:c r="J6" s="20" t="str">
        <x:v>Expand exploit-behavior telemetry</x:v>
      </x:c>
      <x:c r="K6" s="20" t="str">
        <x:v>Detection Engineer</x:v>
      </x:c>
    </x:row>
    <x:row r="7">
      <x:c r="A7" s="20" t="str">
        <x:v>QR-004</x:v>
      </x:c>
      <x:c r="B7" s="20" t="str">
        <x:v>COV-004</x:v>
      </x:c>
      <x:c r="C7" s="20" t="n">
        <x:v>24</x:v>
      </x:c>
      <x:c r="D7" s="20" t="n">
        <x:v>5</x:v>
      </x:c>
      <x:c r="E7" s="20" t="n">
        <x:v>1</x:v>
      </x:c>
      <x:c r="F7" s="26" t="n">
        <x:f>IF((D7+E7)=0,"",E7/(D7+E7))</x:f>
        <x:v>0.16666666666666666</x:v>
      </x:c>
      <x:c r="G7" s="20" t="n">
        <x:v>0</x:v>
      </x:c>
      <x:c r="H7" s="20" t="n">
        <x:v>15</x:v>
      </x:c>
      <x:c r="I7" s="20" t="str">
        <x:f>IF(F7="","",IF(AND(F7&lt;=0.1,G7=0),"Strong",IF(AND(F7&lt;=0.25,G7&lt;=1),"Moderate","Weak")))</x:f>
        <x:v>Moderate</x:v>
      </x:c>
      <x:c r="J7" s="20" t="str">
        <x:v>Maintain</x:v>
      </x:c>
      <x:c r="K7" s="20" t="str">
        <x:v>SOC Lead</x:v>
      </x:c>
    </x:row>
    <x:row r="8">
      <x:c r="A8" s="20" t="str">
        <x:v>QR-005</x:v>
      </x:c>
      <x:c r="B8" s="20" t="str">
        <x:v>COV-005</x:v>
      </x:c>
      <x:c r="C8" s="20" t="n">
        <x:v>130</x:v>
      </x:c>
      <x:c r="D8" s="20" t="n">
        <x:v>9</x:v>
      </x:c>
      <x:c r="E8" s="20" t="n">
        <x:v>28</x:v>
      </x:c>
      <x:c r="F8" s="26" t="n">
        <x:f>IF((D8+E8)=0,"",E8/(D8+E8))</x:f>
        <x:v>0.7567567567567568</x:v>
      </x:c>
      <x:c r="G8" s="20" t="n">
        <x:v>4</x:v>
      </x:c>
      <x:c r="H8" s="20" t="n">
        <x:v>18</x:v>
      </x:c>
      <x:c r="I8" s="20" t="str">
        <x:f>IF(F8="","",IF(AND(F8&lt;=0.1,G8=0),"Strong",IF(AND(F8&lt;=0.25,G8&lt;=1),"Moderate","Weak")))</x:f>
        <x:v>Weak</x:v>
      </x:c>
      <x:c r="J8" s="20" t="str">
        <x:v>Tune data-volume and business-context thresholds</x:v>
      </x:c>
      <x:c r="K8" s="20" t="str">
        <x:v>Data Security Lead</x:v>
      </x:c>
    </x:row>
    <x:row r="9">
      <x:c r="A9" s="20" t="str">
        <x:v>QR-006</x:v>
      </x:c>
      <x:c r="B9" s="20" t="str">
        <x:v>COV-007</x:v>
      </x:c>
      <x:c r="C9" s="20" t="n">
        <x:v>220</x:v>
      </x:c>
      <x:c r="D9" s="20" t="n">
        <x:v>4</x:v>
      </x:c>
      <x:c r="E9" s="20" t="n">
        <x:v>58</x:v>
      </x:c>
      <x:c r="F9" s="26" t="n">
        <x:f>IF((D9+E9)=0,"",E9/(D9+E9))</x:f>
        <x:v>0.9354838709677419</x:v>
      </x:c>
      <x:c r="G9" s="20" t="n">
        <x:v>5</x:v>
      </x:c>
      <x:c r="H9" s="20" t="n">
        <x:v>25</x:v>
      </x:c>
      <x:c r="I9" s="20" t="str">
        <x:f>IF(F9="","",IF(AND(F9&lt;=0.1,G9=0),"Strong",IF(AND(F9&lt;=0.25,G9&lt;=1),"Moderate","Weak")))</x:f>
        <x:v>Weak</x:v>
      </x:c>
      <x:c r="J9" s="20" t="str">
        <x:v>Add role and peer-group context</x:v>
      </x:c>
      <x:c r="K9" s="20" t="str">
        <x:v>SOC Lead</x:v>
      </x:c>
    </x:row>
    <x:row r="10">
      <x:c r="A10" s="20" t="str">
        <x:v>QR-007</x:v>
      </x:c>
      <x:c r="B10" s="20" t="str">
        <x:v>COV-008</x:v>
      </x:c>
      <x:c r="C10" s="20" t="n">
        <x:v>175</x:v>
      </x:c>
      <x:c r="D10" s="20" t="n">
        <x:v>12</x:v>
      </x:c>
      <x:c r="E10" s="20" t="n">
        <x:v>31</x:v>
      </x:c>
      <x:c r="F10" s="26" t="n">
        <x:f>IF((D10+E10)=0,"",E10/(D10+E10))</x:f>
        <x:v>0.7209302325581395</x:v>
      </x:c>
      <x:c r="G10" s="20" t="n">
        <x:v>1</x:v>
      </x:c>
      <x:c r="H10" s="20" t="n">
        <x:v>14</x:v>
      </x:c>
      <x:c r="I10" s="20" t="str">
        <x:f>IF(F10="","",IF(AND(F10&lt;=0.1,G10=0),"Strong",IF(AND(F10&lt;=0.25,G10&lt;=1),"Moderate","Weak")))</x:f>
        <x:v>Weak</x:v>
      </x:c>
      <x:c r="J10" s="20" t="str">
        <x:v>Baseline administrative remote services</x:v>
      </x:c>
      <x:c r="K10" s="20" t="str">
        <x:v>Detection Engineer</x:v>
      </x:c>
    </x:row>
    <x:row r="11">
      <x:c r="A11" s="20"/>
      <x:c r="B11" s="20"/>
      <x:c r="C11" s="20"/>
      <x:c r="D11" s="20"/>
      <x:c r="E11" s="20"/>
      <x:c r="F11" s="26" t="str">
        <x:f>IF((D11+E11)=0,"",E11/(D11+E11))</x:f>
      </x:c>
      <x:c r="G11" s="20"/>
      <x:c r="H11" s="20"/>
      <x:c r="I11" s="20" t="str">
        <x:f>IF(F11="","",IF(AND(F11&lt;=0.1,G11=0),"Strong",IF(AND(F11&lt;=0.25,G11&lt;=1),"Moderate","Weak")))</x:f>
      </x:c>
      <x:c r="J11" s="20"/>
      <x:c r="K11" s="20"/>
    </x:row>
    <x:row r="12">
      <x:c r="A12" s="20"/>
      <x:c r="B12" s="20"/>
      <x:c r="C12" s="20"/>
      <x:c r="D12" s="20"/>
      <x:c r="E12" s="20"/>
      <x:c r="F12" s="26" t="str">
        <x:f>IF((D12+E12)=0,"",E12/(D12+E12))</x:f>
      </x:c>
      <x:c r="G12" s="20"/>
      <x:c r="H12" s="20"/>
      <x:c r="I12" s="20" t="str">
        <x:f>IF(F12="","",IF(AND(F12&lt;=0.1,G12=0),"Strong",IF(AND(F12&lt;=0.25,G12&lt;=1),"Moderate","Weak")))</x:f>
      </x:c>
      <x:c r="J12" s="20"/>
      <x:c r="K12" s="20"/>
    </x:row>
    <x:row r="13">
      <x:c r="A13" s="20"/>
      <x:c r="B13" s="20"/>
      <x:c r="C13" s="20"/>
      <x:c r="D13" s="20"/>
      <x:c r="E13" s="20"/>
      <x:c r="F13" s="26" t="str">
        <x:f>IF((D13+E13)=0,"",E13/(D13+E13))</x:f>
      </x:c>
      <x:c r="G13" s="20"/>
      <x:c r="H13" s="20"/>
      <x:c r="I13" s="20" t="str">
        <x:f>IF(F13="","",IF(AND(F13&lt;=0.1,G13=0),"Strong",IF(AND(F13&lt;=0.25,G13&lt;=1),"Moderate","Weak")))</x:f>
      </x:c>
      <x:c r="J13" s="20"/>
      <x:c r="K13" s="20"/>
    </x:row>
    <x:row r="14">
      <x:c r="A14" s="20"/>
      <x:c r="B14" s="20"/>
      <x:c r="C14" s="20"/>
      <x:c r="D14" s="20"/>
      <x:c r="E14" s="20"/>
      <x:c r="F14" s="26" t="str">
        <x:f>IF((D14+E14)=0,"",E14/(D14+E14))</x:f>
      </x:c>
      <x:c r="G14" s="20"/>
      <x:c r="H14" s="20"/>
      <x:c r="I14" s="20" t="str">
        <x:f>IF(F14="","",IF(AND(F14&lt;=0.1,G14=0),"Strong",IF(AND(F14&lt;=0.25,G14&lt;=1),"Moderate","Weak")))</x:f>
      </x:c>
      <x:c r="J14" s="20"/>
      <x:c r="K14" s="20"/>
    </x:row>
    <x:row r="15">
      <x:c r="A15" s="20"/>
      <x:c r="B15" s="20"/>
      <x:c r="C15" s="20"/>
      <x:c r="D15" s="20"/>
      <x:c r="E15" s="20"/>
      <x:c r="F15" s="26" t="str">
        <x:f>IF((D15+E15)=0,"",E15/(D15+E15))</x:f>
      </x:c>
      <x:c r="G15" s="20"/>
      <x:c r="H15" s="20"/>
      <x:c r="I15" s="20" t="str">
        <x:f>IF(F15="","",IF(AND(F15&lt;=0.1,G15=0),"Strong",IF(AND(F15&lt;=0.25,G15&lt;=1),"Moderate","Weak")))</x:f>
      </x:c>
      <x:c r="J15" s="20"/>
      <x:c r="K15" s="20"/>
    </x:row>
    <x:row r="16">
      <x:c r="A16" s="20"/>
      <x:c r="B16" s="20"/>
      <x:c r="C16" s="20"/>
      <x:c r="D16" s="20"/>
      <x:c r="E16" s="20"/>
      <x:c r="F16" s="26" t="str">
        <x:f>IF((D16+E16)=0,"",E16/(D16+E16))</x:f>
      </x:c>
      <x:c r="G16" s="20"/>
      <x:c r="H16" s="20"/>
      <x:c r="I16" s="20" t="str">
        <x:f>IF(F16="","",IF(AND(F16&lt;=0.1,G16=0),"Strong",IF(AND(F16&lt;=0.25,G16&lt;=1),"Moderate","Weak")))</x:f>
      </x:c>
      <x:c r="J16" s="20"/>
      <x:c r="K16" s="20"/>
    </x:row>
    <x:row r="17">
      <x:c r="A17" s="20"/>
      <x:c r="B17" s="20"/>
      <x:c r="C17" s="20"/>
      <x:c r="D17" s="20"/>
      <x:c r="E17" s="20"/>
      <x:c r="F17" s="26" t="str">
        <x:f>IF((D17+E17)=0,"",E17/(D17+E17))</x:f>
      </x:c>
      <x:c r="G17" s="20"/>
      <x:c r="H17" s="20"/>
      <x:c r="I17" s="20" t="str">
        <x:f>IF(F17="","",IF(AND(F17&lt;=0.1,G17=0),"Strong",IF(AND(F17&lt;=0.25,G17&lt;=1),"Moderate","Weak")))</x:f>
      </x:c>
      <x:c r="J17" s="20"/>
      <x:c r="K17" s="20"/>
    </x:row>
    <x:row r="18">
      <x:c r="A18" s="20"/>
      <x:c r="B18" s="20"/>
      <x:c r="C18" s="20"/>
      <x:c r="D18" s="20"/>
      <x:c r="E18" s="20"/>
      <x:c r="F18" s="26" t="str">
        <x:f>IF((D18+E18)=0,"",E18/(D18+E18))</x:f>
      </x:c>
      <x:c r="G18" s="20"/>
      <x:c r="H18" s="20"/>
      <x:c r="I18" s="20" t="str">
        <x:f>IF(F18="","",IF(AND(F18&lt;=0.1,G18=0),"Strong",IF(AND(F18&lt;=0.25,G18&lt;=1),"Moderate","Weak")))</x:f>
      </x:c>
      <x:c r="J18" s="20"/>
      <x:c r="K18" s="20"/>
    </x:row>
    <x:row r="19">
      <x:c r="A19" s="20"/>
      <x:c r="B19" s="20"/>
      <x:c r="C19" s="20"/>
      <x:c r="D19" s="20"/>
      <x:c r="E19" s="20"/>
      <x:c r="F19" s="26" t="str">
        <x:f>IF((D19+E19)=0,"",E19/(D19+E19))</x:f>
      </x:c>
      <x:c r="G19" s="20"/>
      <x:c r="H19" s="20"/>
      <x:c r="I19" s="20" t="str">
        <x:f>IF(F19="","",IF(AND(F19&lt;=0.1,G19=0),"Strong",IF(AND(F19&lt;=0.25,G19&lt;=1),"Moderate","Weak")))</x:f>
      </x:c>
      <x:c r="J19" s="20"/>
      <x:c r="K19" s="20"/>
    </x:row>
    <x:row r="20">
      <x:c r="A20" s="20"/>
      <x:c r="B20" s="20"/>
      <x:c r="C20" s="20"/>
      <x:c r="D20" s="20"/>
      <x:c r="E20" s="20"/>
      <x:c r="F20" s="26" t="str">
        <x:f>IF((D20+E20)=0,"",E20/(D20+E20))</x:f>
      </x:c>
      <x:c r="G20" s="20"/>
      <x:c r="H20" s="20"/>
      <x:c r="I20" s="20" t="str">
        <x:f>IF(F20="","",IF(AND(F20&lt;=0.1,G20=0),"Strong",IF(AND(F20&lt;=0.25,G20&lt;=1),"Moderate","Weak")))</x:f>
      </x:c>
      <x:c r="J20" s="20"/>
      <x:c r="K20" s="20"/>
    </x:row>
    <x:row r="21">
      <x:c r="A21" s="20"/>
      <x:c r="B21" s="20"/>
      <x:c r="C21" s="20"/>
      <x:c r="D21" s="20"/>
      <x:c r="E21" s="20"/>
      <x:c r="F21" s="26" t="str">
        <x:f>IF((D21+E21)=0,"",E21/(D21+E21))</x:f>
      </x:c>
      <x:c r="G21" s="20"/>
      <x:c r="H21" s="20"/>
      <x:c r="I21" s="20" t="str">
        <x:f>IF(F21="","",IF(AND(F21&lt;=0.1,G21=0),"Strong",IF(AND(F21&lt;=0.25,G21&lt;=1),"Moderate","Weak")))</x:f>
      </x:c>
      <x:c r="J21" s="20"/>
      <x:c r="K21" s="20"/>
    </x:row>
    <x:row r="22">
      <x:c r="A22" s="20"/>
      <x:c r="B22" s="20"/>
      <x:c r="C22" s="20"/>
      <x:c r="D22" s="20"/>
      <x:c r="E22" s="20"/>
      <x:c r="F22" s="26" t="str">
        <x:f>IF((D22+E22)=0,"",E22/(D22+E22))</x:f>
      </x:c>
      <x:c r="G22" s="20"/>
      <x:c r="H22" s="20"/>
      <x:c r="I22" s="20" t="str">
        <x:f>IF(F22="","",IF(AND(F22&lt;=0.1,G22=0),"Strong",IF(AND(F22&lt;=0.25,G22&lt;=1),"Moderate","Weak")))</x:f>
      </x:c>
      <x:c r="J22" s="20"/>
      <x:c r="K22" s="20"/>
    </x:row>
    <x:row r="23">
      <x:c r="A23" s="20"/>
      <x:c r="B23" s="20"/>
      <x:c r="C23" s="20"/>
      <x:c r="D23" s="20"/>
      <x:c r="E23" s="20"/>
      <x:c r="F23" s="26" t="str">
        <x:f>IF((D23+E23)=0,"",E23/(D23+E23))</x:f>
      </x:c>
      <x:c r="G23" s="20"/>
      <x:c r="H23" s="20"/>
      <x:c r="I23" s="20" t="str">
        <x:f>IF(F23="","",IF(AND(F23&lt;=0.1,G23=0),"Strong",IF(AND(F23&lt;=0.25,G23&lt;=1),"Moderate","Weak")))</x:f>
      </x:c>
      <x:c r="J23" s="20"/>
      <x:c r="K23" s="20"/>
    </x:row>
    <x:row r="24">
      <x:c r="A24" s="20"/>
      <x:c r="B24" s="20"/>
      <x:c r="C24" s="20"/>
      <x:c r="D24" s="20"/>
      <x:c r="E24" s="20"/>
      <x:c r="F24" s="26" t="str">
        <x:f>IF((D24+E24)=0,"",E24/(D24+E24))</x:f>
      </x:c>
      <x:c r="G24" s="20"/>
      <x:c r="H24" s="20"/>
      <x:c r="I24" s="20" t="str">
        <x:f>IF(F24="","",IF(AND(F24&lt;=0.1,G24=0),"Strong",IF(AND(F24&lt;=0.25,G24&lt;=1),"Moderate","Weak")))</x:f>
      </x:c>
      <x:c r="J24" s="20"/>
      <x:c r="K24" s="20"/>
    </x:row>
    <x:row r="25">
      <x:c r="A25" s="20"/>
      <x:c r="B25" s="20"/>
      <x:c r="C25" s="20"/>
      <x:c r="D25" s="20"/>
      <x:c r="E25" s="20"/>
      <x:c r="F25" s="26" t="str">
        <x:f>IF((D25+E25)=0,"",E25/(D25+E25))</x:f>
      </x:c>
      <x:c r="G25" s="20"/>
      <x:c r="H25" s="20"/>
      <x:c r="I25" s="20" t="str">
        <x:f>IF(F25="","",IF(AND(F25&lt;=0.1,G25=0),"Strong",IF(AND(F25&lt;=0.25,G25&lt;=1),"Moderate","Weak")))</x:f>
      </x:c>
      <x:c r="J25" s="20"/>
      <x:c r="K25" s="20"/>
    </x:row>
    <x:row r="26">
      <x:c r="A26" s="20"/>
      <x:c r="B26" s="20"/>
      <x:c r="C26" s="20"/>
      <x:c r="D26" s="20"/>
      <x:c r="E26" s="20"/>
      <x:c r="F26" s="26" t="str">
        <x:f>IF((D26+E26)=0,"",E26/(D26+E26))</x:f>
      </x:c>
      <x:c r="G26" s="20"/>
      <x:c r="H26" s="20"/>
      <x:c r="I26" s="20" t="str">
        <x:f>IF(F26="","",IF(AND(F26&lt;=0.1,G26=0),"Strong",IF(AND(F26&lt;=0.25,G26&lt;=1),"Moderate","Weak")))</x:f>
      </x:c>
      <x:c r="J26" s="20"/>
      <x:c r="K26" s="20"/>
    </x:row>
    <x:row r="27">
      <x:c r="A27" s="20"/>
      <x:c r="B27" s="20"/>
      <x:c r="C27" s="20"/>
      <x:c r="D27" s="20"/>
      <x:c r="E27" s="20"/>
      <x:c r="F27" s="26" t="str">
        <x:f>IF((D27+E27)=0,"",E27/(D27+E27))</x:f>
      </x:c>
      <x:c r="G27" s="20"/>
      <x:c r="H27" s="20"/>
      <x:c r="I27" s="20" t="str">
        <x:f>IF(F27="","",IF(AND(F27&lt;=0.1,G27=0),"Strong",IF(AND(F27&lt;=0.25,G27&lt;=1),"Moderate","Weak")))</x:f>
      </x:c>
      <x:c r="J27" s="20"/>
      <x:c r="K27" s="20"/>
    </x:row>
    <x:row r="28">
      <x:c r="A28" s="20"/>
      <x:c r="B28" s="20"/>
      <x:c r="C28" s="20"/>
      <x:c r="D28" s="20"/>
      <x:c r="E28" s="20"/>
      <x:c r="F28" s="26" t="str">
        <x:f>IF((D28+E28)=0,"",E28/(D28+E28))</x:f>
      </x:c>
      <x:c r="G28" s="20"/>
      <x:c r="H28" s="20"/>
      <x:c r="I28" s="20" t="str">
        <x:f>IF(F28="","",IF(AND(F28&lt;=0.1,G28=0),"Strong",IF(AND(F28&lt;=0.25,G28&lt;=1),"Moderate","Weak")))</x:f>
      </x:c>
      <x:c r="J28" s="20"/>
      <x:c r="K28" s="20"/>
    </x:row>
    <x:row r="29">
      <x:c r="A29" s="20"/>
      <x:c r="B29" s="20"/>
      <x:c r="C29" s="20"/>
      <x:c r="D29" s="20"/>
      <x:c r="E29" s="20"/>
      <x:c r="F29" s="26" t="str">
        <x:f>IF((D29+E29)=0,"",E29/(D29+E29))</x:f>
      </x:c>
      <x:c r="G29" s="20"/>
      <x:c r="H29" s="20"/>
      <x:c r="I29" s="20" t="str">
        <x:f>IF(F29="","",IF(AND(F29&lt;=0.1,G29=0),"Strong",IF(AND(F29&lt;=0.25,G29&lt;=1),"Moderate","Weak")))</x:f>
      </x:c>
      <x:c r="J29" s="20"/>
      <x:c r="K29" s="20"/>
    </x:row>
    <x:row r="30">
      <x:c r="A30" s="20"/>
      <x:c r="B30" s="20"/>
      <x:c r="C30" s="20"/>
      <x:c r="D30" s="20"/>
      <x:c r="E30" s="20"/>
      <x:c r="F30" s="26" t="str">
        <x:f>IF((D30+E30)=0,"",E30/(D30+E30))</x:f>
      </x:c>
      <x:c r="G30" s="20"/>
      <x:c r="H30" s="20"/>
      <x:c r="I30" s="20" t="str">
        <x:f>IF(F30="","",IF(AND(F30&lt;=0.1,G30=0),"Strong",IF(AND(F30&lt;=0.25,G30&lt;=1),"Moderate","Weak")))</x:f>
      </x:c>
      <x:c r="J30" s="20"/>
      <x:c r="K30" s="20"/>
    </x:row>
    <x:row r="31">
      <x:c r="A31" s="20"/>
      <x:c r="B31" s="20"/>
      <x:c r="C31" s="20"/>
      <x:c r="D31" s="20"/>
      <x:c r="E31" s="20"/>
      <x:c r="F31" s="26" t="str">
        <x:f>IF((D31+E31)=0,"",E31/(D31+E31))</x:f>
      </x:c>
      <x:c r="G31" s="20"/>
      <x:c r="H31" s="20"/>
      <x:c r="I31" s="20" t="str">
        <x:f>IF(F31="","",IF(AND(F31&lt;=0.1,G31=0),"Strong",IF(AND(F31&lt;=0.25,G31&lt;=1),"Moderate","Weak")))</x:f>
      </x:c>
      <x:c r="J31" s="20"/>
      <x:c r="K31" s="20"/>
    </x:row>
    <x:row r="32">
      <x:c r="A32" s="20"/>
      <x:c r="B32" s="20"/>
      <x:c r="C32" s="20"/>
      <x:c r="D32" s="20"/>
      <x:c r="E32" s="20"/>
      <x:c r="F32" s="26" t="str">
        <x:f>IF((D32+E32)=0,"",E32/(D32+E32))</x:f>
      </x:c>
      <x:c r="G32" s="20"/>
      <x:c r="H32" s="20"/>
      <x:c r="I32" s="20" t="str">
        <x:f>IF(F32="","",IF(AND(F32&lt;=0.1,G32=0),"Strong",IF(AND(F32&lt;=0.25,G32&lt;=1),"Moderate","Weak")))</x:f>
      </x:c>
      <x:c r="J32" s="20"/>
      <x:c r="K32" s="20"/>
    </x:row>
    <x:row r="33">
      <x:c r="A33" s="20"/>
      <x:c r="B33" s="20"/>
      <x:c r="C33" s="20"/>
      <x:c r="D33" s="20"/>
      <x:c r="E33" s="20"/>
      <x:c r="F33" s="26" t="str">
        <x:f>IF((D33+E33)=0,"",E33/(D33+E33))</x:f>
      </x:c>
      <x:c r="G33" s="20"/>
      <x:c r="H33" s="20"/>
      <x:c r="I33" s="20" t="str">
        <x:f>IF(F33="","",IF(AND(F33&lt;=0.1,G33=0),"Strong",IF(AND(F33&lt;=0.25,G33&lt;=1),"Moderate","Weak")))</x:f>
      </x:c>
      <x:c r="J33" s="20"/>
      <x:c r="K33" s="20"/>
    </x:row>
    <x:row r="34">
      <x:c r="A34" s="20"/>
      <x:c r="B34" s="20"/>
      <x:c r="C34" s="20"/>
      <x:c r="D34" s="20"/>
      <x:c r="E34" s="20"/>
      <x:c r="F34" s="26" t="str">
        <x:f>IF((D34+E34)=0,"",E34/(D34+E34))</x:f>
      </x:c>
      <x:c r="G34" s="20"/>
      <x:c r="H34" s="20"/>
      <x:c r="I34" s="20" t="str">
        <x:f>IF(F34="","",IF(AND(F34&lt;=0.1,G34=0),"Strong",IF(AND(F34&lt;=0.25,G34&lt;=1),"Moderate","Weak")))</x:f>
      </x:c>
      <x:c r="J34" s="20"/>
      <x:c r="K34" s="20"/>
    </x:row>
    <x:row r="35">
      <x:c r="A35" s="20"/>
      <x:c r="B35" s="20"/>
      <x:c r="C35" s="20"/>
      <x:c r="D35" s="20"/>
      <x:c r="E35" s="20"/>
      <x:c r="F35" s="26" t="str">
        <x:f>IF((D35+E35)=0,"",E35/(D35+E35))</x:f>
      </x:c>
      <x:c r="G35" s="20"/>
      <x:c r="H35" s="20"/>
      <x:c r="I35" s="20" t="str">
        <x:f>IF(F35="","",IF(AND(F35&lt;=0.1,G35=0),"Strong",IF(AND(F35&lt;=0.25,G35&lt;=1),"Moderate","Weak")))</x:f>
      </x:c>
      <x:c r="J35" s="20"/>
      <x:c r="K35" s="20"/>
    </x:row>
    <x:row r="36">
      <x:c r="A36" s="20"/>
      <x:c r="B36" s="20"/>
      <x:c r="C36" s="20"/>
      <x:c r="D36" s="20"/>
      <x:c r="E36" s="20"/>
      <x:c r="F36" s="26" t="str">
        <x:f>IF((D36+E36)=0,"",E36/(D36+E36))</x:f>
      </x:c>
      <x:c r="G36" s="20"/>
      <x:c r="H36" s="20"/>
      <x:c r="I36" s="20" t="str">
        <x:f>IF(F36="","",IF(AND(F36&lt;=0.1,G36=0),"Strong",IF(AND(F36&lt;=0.25,G36&lt;=1),"Moderate","Weak")))</x:f>
      </x:c>
      <x:c r="J36" s="20"/>
      <x:c r="K36" s="20"/>
    </x:row>
    <x:row r="37">
      <x:c r="A37" s="20"/>
      <x:c r="B37" s="20"/>
      <x:c r="C37" s="20"/>
      <x:c r="D37" s="20"/>
      <x:c r="E37" s="20"/>
      <x:c r="F37" s="26" t="str">
        <x:f>IF((D37+E37)=0,"",E37/(D37+E37))</x:f>
      </x:c>
      <x:c r="G37" s="20"/>
      <x:c r="H37" s="20"/>
      <x:c r="I37" s="20" t="str">
        <x:f>IF(F37="","",IF(AND(F37&lt;=0.1,G37=0),"Strong",IF(AND(F37&lt;=0.25,G37&lt;=1),"Moderate","Weak")))</x:f>
      </x:c>
      <x:c r="J37" s="20"/>
      <x:c r="K37" s="20"/>
    </x:row>
    <x:row r="38">
      <x:c r="A38" s="20"/>
      <x:c r="B38" s="20"/>
      <x:c r="C38" s="20"/>
      <x:c r="D38" s="20"/>
      <x:c r="E38" s="20"/>
      <x:c r="F38" s="26" t="str">
        <x:f>IF((D38+E38)=0,"",E38/(D38+E38))</x:f>
      </x:c>
      <x:c r="G38" s="20"/>
      <x:c r="H38" s="20"/>
      <x:c r="I38" s="20" t="str">
        <x:f>IF(F38="","",IF(AND(F38&lt;=0.1,G38=0),"Strong",IF(AND(F38&lt;=0.25,G38&lt;=1),"Moderate","Weak")))</x:f>
      </x:c>
      <x:c r="J38" s="20"/>
      <x:c r="K38" s="20"/>
    </x:row>
    <x:row r="39">
      <x:c r="A39" s="20"/>
      <x:c r="B39" s="20"/>
      <x:c r="C39" s="20"/>
      <x:c r="D39" s="20"/>
      <x:c r="E39" s="20"/>
      <x:c r="F39" s="26" t="str">
        <x:f>IF((D39+E39)=0,"",E39/(D39+E39))</x:f>
      </x:c>
      <x:c r="G39" s="20"/>
      <x:c r="H39" s="20"/>
      <x:c r="I39" s="20" t="str">
        <x:f>IF(F39="","",IF(AND(F39&lt;=0.1,G39=0),"Strong",IF(AND(F39&lt;=0.25,G39&lt;=1),"Moderate","Weak")))</x:f>
      </x:c>
      <x:c r="J39" s="20"/>
      <x:c r="K39" s="20"/>
    </x:row>
    <x:row r="40">
      <x:c r="A40" s="20"/>
      <x:c r="B40" s="20"/>
      <x:c r="C40" s="20"/>
      <x:c r="D40" s="20"/>
      <x:c r="E40" s="20"/>
      <x:c r="F40" s="26" t="str">
        <x:f>IF((D40+E40)=0,"",E40/(D40+E40))</x:f>
      </x:c>
      <x:c r="G40" s="20"/>
      <x:c r="H40" s="20"/>
      <x:c r="I40" s="20" t="str">
        <x:f>IF(F40="","",IF(AND(F40&lt;=0.1,G40=0),"Strong",IF(AND(F40&lt;=0.25,G40&lt;=1),"Moderate","Weak")))</x:f>
      </x:c>
      <x:c r="J40" s="20"/>
      <x:c r="K40" s="20"/>
    </x:row>
    <x:row r="41">
      <x:c r="A41" s="20"/>
      <x:c r="B41" s="20"/>
      <x:c r="C41" s="20"/>
      <x:c r="D41" s="20"/>
      <x:c r="E41" s="20"/>
      <x:c r="F41" s="26" t="str">
        <x:f>IF((D41+E41)=0,"",E41/(D41+E41))</x:f>
      </x:c>
      <x:c r="G41" s="20"/>
      <x:c r="H41" s="20"/>
      <x:c r="I41" s="20" t="str">
        <x:f>IF(F41="","",IF(AND(F41&lt;=0.1,G41=0),"Strong",IF(AND(F41&lt;=0.25,G41&lt;=1),"Moderate","Weak")))</x:f>
      </x:c>
      <x:c r="J41" s="20"/>
      <x:c r="K41" s="20"/>
    </x:row>
    <x:row r="42">
      <x:c r="A42" s="20"/>
      <x:c r="B42" s="20"/>
      <x:c r="C42" s="20"/>
      <x:c r="D42" s="20"/>
      <x:c r="E42" s="20"/>
      <x:c r="F42" s="26" t="str">
        <x:f>IF((D42+E42)=0,"",E42/(D42+E42))</x:f>
      </x:c>
      <x:c r="G42" s="20"/>
      <x:c r="H42" s="20"/>
      <x:c r="I42" s="20" t="str">
        <x:f>IF(F42="","",IF(AND(F42&lt;=0.1,G42=0),"Strong",IF(AND(F42&lt;=0.25,G42&lt;=1),"Moderate","Weak")))</x:f>
      </x:c>
      <x:c r="J42" s="20"/>
      <x:c r="K42" s="20"/>
    </x:row>
    <x:row r="43">
      <x:c r="A43" s="20"/>
      <x:c r="B43" s="20"/>
      <x:c r="C43" s="20"/>
      <x:c r="D43" s="20"/>
      <x:c r="E43" s="20"/>
      <x:c r="F43" s="26" t="str">
        <x:f>IF((D43+E43)=0,"",E43/(D43+E43))</x:f>
      </x:c>
      <x:c r="G43" s="20"/>
      <x:c r="H43" s="20"/>
      <x:c r="I43" s="20" t="str">
        <x:f>IF(F43="","",IF(AND(F43&lt;=0.1,G43=0),"Strong",IF(AND(F43&lt;=0.25,G43&lt;=1),"Moderate","Weak")))</x:f>
      </x:c>
      <x:c r="J43" s="20"/>
      <x:c r="K43" s="20"/>
    </x:row>
    <x:row r="44">
      <x:c r="A44" s="20"/>
      <x:c r="B44" s="20"/>
      <x:c r="C44" s="20"/>
      <x:c r="D44" s="20"/>
      <x:c r="E44" s="20"/>
      <x:c r="F44" s="26" t="str">
        <x:f>IF((D44+E44)=0,"",E44/(D44+E44))</x:f>
      </x:c>
      <x:c r="G44" s="20"/>
      <x:c r="H44" s="20"/>
      <x:c r="I44" s="20" t="str">
        <x:f>IF(F44="","",IF(AND(F44&lt;=0.1,G44=0),"Strong",IF(AND(F44&lt;=0.25,G44&lt;=1),"Moderate","Weak")))</x:f>
      </x:c>
      <x:c r="J44" s="20"/>
      <x:c r="K44" s="20"/>
    </x:row>
    <x:row r="45">
      <x:c r="A45" s="20"/>
      <x:c r="B45" s="20"/>
      <x:c r="C45" s="20"/>
      <x:c r="D45" s="20"/>
      <x:c r="E45" s="20"/>
      <x:c r="F45" s="26" t="str">
        <x:f>IF((D45+E45)=0,"",E45/(D45+E45))</x:f>
      </x:c>
      <x:c r="G45" s="20"/>
      <x:c r="H45" s="20"/>
      <x:c r="I45" s="20" t="str">
        <x:f>IF(F45="","",IF(AND(F45&lt;=0.1,G45=0),"Strong",IF(AND(F45&lt;=0.25,G45&lt;=1),"Moderate","Weak")))</x:f>
      </x:c>
      <x:c r="J45" s="20"/>
      <x:c r="K45" s="20"/>
    </x:row>
    <x:row r="46">
      <x:c r="A46" s="20"/>
      <x:c r="B46" s="20"/>
      <x:c r="C46" s="20"/>
      <x:c r="D46" s="20"/>
      <x:c r="E46" s="20"/>
      <x:c r="F46" s="26" t="str">
        <x:f>IF((D46+E46)=0,"",E46/(D46+E46))</x:f>
      </x:c>
      <x:c r="G46" s="20"/>
      <x:c r="H46" s="20"/>
      <x:c r="I46" s="20" t="str">
        <x:f>IF(F46="","",IF(AND(F46&lt;=0.1,G46=0),"Strong",IF(AND(F46&lt;=0.25,G46&lt;=1),"Moderate","Weak")))</x:f>
      </x:c>
      <x:c r="J46" s="20"/>
      <x:c r="K46" s="20"/>
    </x:row>
    <x:row r="47">
      <x:c r="A47" s="20"/>
      <x:c r="B47" s="20"/>
      <x:c r="C47" s="20"/>
      <x:c r="D47" s="20"/>
      <x:c r="E47" s="20"/>
      <x:c r="F47" s="26" t="str">
        <x:f>IF((D47+E47)=0,"",E47/(D47+E47))</x:f>
      </x:c>
      <x:c r="G47" s="20"/>
      <x:c r="H47" s="20"/>
      <x:c r="I47" s="20" t="str">
        <x:f>IF(F47="","",IF(AND(F47&lt;=0.1,G47=0),"Strong",IF(AND(F47&lt;=0.25,G47&lt;=1),"Moderate","Weak")))</x:f>
      </x:c>
      <x:c r="J47" s="20"/>
      <x:c r="K47" s="20"/>
    </x:row>
    <x:row r="48">
      <x:c r="A48" s="20"/>
      <x:c r="B48" s="20"/>
      <x:c r="C48" s="20"/>
      <x:c r="D48" s="20"/>
      <x:c r="E48" s="20"/>
      <x:c r="F48" s="26" t="str">
        <x:f>IF((D48+E48)=0,"",E48/(D48+E48))</x:f>
      </x:c>
      <x:c r="G48" s="20"/>
      <x:c r="H48" s="20"/>
      <x:c r="I48" s="20" t="str">
        <x:f>IF(F48="","",IF(AND(F48&lt;=0.1,G48=0),"Strong",IF(AND(F48&lt;=0.25,G48&lt;=1),"Moderate","Weak")))</x:f>
      </x:c>
      <x:c r="J48" s="20"/>
      <x:c r="K48" s="20"/>
    </x:row>
    <x:row r="49">
      <x:c r="A49" s="20"/>
      <x:c r="B49" s="20"/>
      <x:c r="C49" s="20"/>
      <x:c r="D49" s="20"/>
      <x:c r="E49" s="20"/>
      <x:c r="F49" s="26" t="str">
        <x:f>IF((D49+E49)=0,"",E49/(D49+E49))</x:f>
      </x:c>
      <x:c r="G49" s="20"/>
      <x:c r="H49" s="20"/>
      <x:c r="I49" s="20" t="str">
        <x:f>IF(F49="","",IF(AND(F49&lt;=0.1,G49=0),"Strong",IF(AND(F49&lt;=0.25,G49&lt;=1),"Moderate","Weak")))</x:f>
      </x:c>
      <x:c r="J49" s="20"/>
      <x:c r="K49" s="20"/>
    </x:row>
    <x:row r="50">
      <x:c r="A50" s="20"/>
      <x:c r="B50" s="20"/>
      <x:c r="C50" s="20"/>
      <x:c r="D50" s="20"/>
      <x:c r="E50" s="20"/>
      <x:c r="F50" s="26" t="str">
        <x:f>IF((D50+E50)=0,"",E50/(D50+E50))</x:f>
      </x:c>
      <x:c r="G50" s="20"/>
      <x:c r="H50" s="20"/>
      <x:c r="I50" s="20" t="str">
        <x:f>IF(F50="","",IF(AND(F50&lt;=0.1,G50=0),"Strong",IF(AND(F50&lt;=0.25,G50&lt;=1),"Moderate","Weak")))</x:f>
      </x:c>
      <x:c r="J50" s="20"/>
      <x:c r="K50" s="20"/>
    </x:row>
    <x:row r="51">
      <x:c r="A51" s="20"/>
      <x:c r="B51" s="20"/>
      <x:c r="C51" s="20"/>
      <x:c r="D51" s="20"/>
      <x:c r="E51" s="20"/>
      <x:c r="F51" s="26" t="str">
        <x:f>IF((D51+E51)=0,"",E51/(D51+E51))</x:f>
      </x:c>
      <x:c r="G51" s="20"/>
      <x:c r="H51" s="20"/>
      <x:c r="I51" s="20" t="str">
        <x:f>IF(F51="","",IF(AND(F51&lt;=0.1,G51=0),"Strong",IF(AND(F51&lt;=0.25,G51&lt;=1),"Moderate","Weak")))</x:f>
      </x:c>
      <x:c r="J51" s="20"/>
      <x:c r="K51" s="20"/>
    </x:row>
    <x:row r="52">
      <x:c r="A52" s="20"/>
      <x:c r="B52" s="20"/>
      <x:c r="C52" s="20"/>
      <x:c r="D52" s="20"/>
      <x:c r="E52" s="20"/>
      <x:c r="F52" s="26" t="str">
        <x:f>IF((D52+E52)=0,"",E52/(D52+E52))</x:f>
      </x:c>
      <x:c r="G52" s="20"/>
      <x:c r="H52" s="20"/>
      <x:c r="I52" s="20" t="str">
        <x:f>IF(F52="","",IF(AND(F52&lt;=0.1,G52=0),"Strong",IF(AND(F52&lt;=0.25,G52&lt;=1),"Moderate","Weak")))</x:f>
      </x:c>
      <x:c r="J52" s="20"/>
      <x:c r="K52" s="20"/>
    </x:row>
    <x:row r="53">
      <x:c r="A53" s="20"/>
      <x:c r="B53" s="20"/>
      <x:c r="C53" s="20"/>
      <x:c r="D53" s="20"/>
      <x:c r="E53" s="20"/>
      <x:c r="F53" s="26" t="str">
        <x:f>IF((D53+E53)=0,"",E53/(D53+E53))</x:f>
      </x:c>
      <x:c r="G53" s="20"/>
      <x:c r="H53" s="20"/>
      <x:c r="I53" s="20" t="str">
        <x:f>IF(F53="","",IF(AND(F53&lt;=0.1,G53=0),"Strong",IF(AND(F53&lt;=0.25,G53&lt;=1),"Moderate","Weak")))</x:f>
      </x:c>
      <x:c r="J53" s="20"/>
      <x:c r="K53" s="20"/>
    </x:row>
    <x:row r="54">
      <x:c r="A54" s="20"/>
      <x:c r="B54" s="20"/>
      <x:c r="C54" s="20"/>
      <x:c r="D54" s="20"/>
      <x:c r="E54" s="20"/>
      <x:c r="F54" s="26" t="str">
        <x:f>IF((D54+E54)=0,"",E54/(D54+E54))</x:f>
      </x:c>
      <x:c r="G54" s="20"/>
      <x:c r="H54" s="20"/>
      <x:c r="I54" s="20" t="str">
        <x:f>IF(F54="","",IF(AND(F54&lt;=0.1,G54=0),"Strong",IF(AND(F54&lt;=0.25,G54&lt;=1),"Moderate","Weak")))</x:f>
      </x:c>
      <x:c r="J54" s="20"/>
      <x:c r="K54" s="20"/>
    </x:row>
    <x:row r="55">
      <x:c r="A55" s="20"/>
      <x:c r="B55" s="20"/>
      <x:c r="C55" s="20"/>
      <x:c r="D55" s="20"/>
      <x:c r="E55" s="20"/>
      <x:c r="F55" s="26" t="str">
        <x:f>IF((D55+E55)=0,"",E55/(D55+E55))</x:f>
      </x:c>
      <x:c r="G55" s="20"/>
      <x:c r="H55" s="20"/>
      <x:c r="I55" s="20" t="str">
        <x:f>IF(F55="","",IF(AND(F55&lt;=0.1,G55=0),"Strong",IF(AND(F55&lt;=0.25,G55&lt;=1),"Moderate","Weak")))</x:f>
      </x:c>
      <x:c r="J55" s="20"/>
      <x:c r="K55" s="20"/>
    </x:row>
    <x:row r="56">
      <x:c r="A56" s="20"/>
      <x:c r="B56" s="20"/>
      <x:c r="C56" s="20"/>
      <x:c r="D56" s="20"/>
      <x:c r="E56" s="20"/>
      <x:c r="F56" s="26" t="str">
        <x:f>IF((D56+E56)=0,"",E56/(D56+E56))</x:f>
      </x:c>
      <x:c r="G56" s="20"/>
      <x:c r="H56" s="20"/>
      <x:c r="I56" s="20" t="str">
        <x:f>IF(F56="","",IF(AND(F56&lt;=0.1,G56=0),"Strong",IF(AND(F56&lt;=0.25,G56&lt;=1),"Moderate","Weak")))</x:f>
      </x:c>
      <x:c r="J56" s="20"/>
      <x:c r="K56" s="20"/>
    </x:row>
    <x:row r="57">
      <x:c r="A57" s="20"/>
      <x:c r="B57" s="20"/>
      <x:c r="C57" s="20"/>
      <x:c r="D57" s="20"/>
      <x:c r="E57" s="20"/>
      <x:c r="F57" s="26" t="str">
        <x:f>IF((D57+E57)=0,"",E57/(D57+E57))</x:f>
      </x:c>
      <x:c r="G57" s="20"/>
      <x:c r="H57" s="20"/>
      <x:c r="I57" s="20" t="str">
        <x:f>IF(F57="","",IF(AND(F57&lt;=0.1,G57=0),"Strong",IF(AND(F57&lt;=0.25,G57&lt;=1),"Moderate","Weak")))</x:f>
      </x:c>
      <x:c r="J57" s="20"/>
      <x:c r="K57" s="20"/>
    </x:row>
    <x:row r="58">
      <x:c r="A58" s="20"/>
      <x:c r="B58" s="20"/>
      <x:c r="C58" s="20"/>
      <x:c r="D58" s="20"/>
      <x:c r="E58" s="20"/>
      <x:c r="F58" s="26" t="str">
        <x:f>IF((D58+E58)=0,"",E58/(D58+E58))</x:f>
      </x:c>
      <x:c r="G58" s="20"/>
      <x:c r="H58" s="20"/>
      <x:c r="I58" s="20" t="str">
        <x:f>IF(F58="","",IF(AND(F58&lt;=0.1,G58=0),"Strong",IF(AND(F58&lt;=0.25,G58&lt;=1),"Moderate","Weak")))</x:f>
      </x:c>
      <x:c r="J58" s="20"/>
      <x:c r="K58" s="20"/>
    </x:row>
    <x:row r="59">
      <x:c r="A59" s="20"/>
      <x:c r="B59" s="20"/>
      <x:c r="C59" s="20"/>
      <x:c r="D59" s="20"/>
      <x:c r="E59" s="20"/>
      <x:c r="F59" s="26" t="str">
        <x:f>IF((D59+E59)=0,"",E59/(D59+E59))</x:f>
      </x:c>
      <x:c r="G59" s="20"/>
      <x:c r="H59" s="20"/>
      <x:c r="I59" s="20" t="str">
        <x:f>IF(F59="","",IF(AND(F59&lt;=0.1,G59=0),"Strong",IF(AND(F59&lt;=0.25,G59&lt;=1),"Moderate","Weak")))</x:f>
      </x:c>
      <x:c r="J59" s="20"/>
      <x:c r="K59" s="20"/>
    </x:row>
    <x:row r="60">
      <x:c r="A60" s="20"/>
      <x:c r="B60" s="20"/>
      <x:c r="C60" s="20"/>
      <x:c r="D60" s="20"/>
      <x:c r="E60" s="20"/>
      <x:c r="F60" s="26" t="str">
        <x:f>IF((D60+E60)=0,"",E60/(D60+E60))</x:f>
      </x:c>
      <x:c r="G60" s="20"/>
      <x:c r="H60" s="20"/>
      <x:c r="I60" s="20" t="str">
        <x:f>IF(F60="","",IF(AND(F60&lt;=0.1,G60=0),"Strong",IF(AND(F60&lt;=0.25,G60&lt;=1),"Moderate","Weak")))</x:f>
      </x:c>
      <x:c r="J60" s="20"/>
      <x:c r="K60" s="20"/>
    </x:row>
    <x:row r="61">
      <x:c r="A61" s="20"/>
      <x:c r="B61" s="20"/>
      <x:c r="C61" s="20"/>
      <x:c r="D61" s="20"/>
      <x:c r="E61" s="20"/>
      <x:c r="F61" s="26" t="str">
        <x:f>IF((D61+E61)=0,"",E61/(D61+E61))</x:f>
      </x:c>
      <x:c r="G61" s="20"/>
      <x:c r="H61" s="20"/>
      <x:c r="I61" s="20" t="str">
        <x:f>IF(F61="","",IF(AND(F61&lt;=0.1,G61=0),"Strong",IF(AND(F61&lt;=0.25,G61&lt;=1),"Moderate","Weak")))</x:f>
      </x:c>
      <x:c r="J61" s="20"/>
      <x:c r="K61" s="20"/>
    </x:row>
    <x:row r="62">
      <x:c r="A62" s="20"/>
      <x:c r="B62" s="20"/>
      <x:c r="C62" s="20"/>
      <x:c r="D62" s="20"/>
      <x:c r="E62" s="20"/>
      <x:c r="F62" s="26" t="str">
        <x:f>IF((D62+E62)=0,"",E62/(D62+E62))</x:f>
      </x:c>
      <x:c r="G62" s="20"/>
      <x:c r="H62" s="20"/>
      <x:c r="I62" s="20" t="str">
        <x:f>IF(F62="","",IF(AND(F62&lt;=0.1,G62=0),"Strong",IF(AND(F62&lt;=0.25,G62&lt;=1),"Moderate","Weak")))</x:f>
      </x:c>
      <x:c r="J62" s="20"/>
      <x:c r="K62" s="20"/>
    </x:row>
    <x:row r="63">
      <x:c r="A63" s="20"/>
      <x:c r="B63" s="20"/>
      <x:c r="C63" s="20"/>
      <x:c r="D63" s="20"/>
      <x:c r="E63" s="20"/>
      <x:c r="F63" s="26" t="str">
        <x:f>IF((D63+E63)=0,"",E63/(D63+E63))</x:f>
      </x:c>
      <x:c r="G63" s="20"/>
      <x:c r="H63" s="20"/>
      <x:c r="I63" s="20" t="str">
        <x:f>IF(F63="","",IF(AND(F63&lt;=0.1,G63=0),"Strong",IF(AND(F63&lt;=0.25,G63&lt;=1),"Moderate","Weak")))</x:f>
      </x:c>
      <x:c r="J63" s="20"/>
      <x:c r="K63" s="20"/>
    </x:row>
    <x:row r="64">
      <x:c r="A64" s="20"/>
      <x:c r="B64" s="20"/>
      <x:c r="C64" s="20"/>
      <x:c r="D64" s="20"/>
      <x:c r="E64" s="20"/>
      <x:c r="F64" s="26" t="str">
        <x:f>IF((D64+E64)=0,"",E64/(D64+E64))</x:f>
      </x:c>
      <x:c r="G64" s="20"/>
      <x:c r="H64" s="20"/>
      <x:c r="I64" s="20" t="str">
        <x:f>IF(F64="","",IF(AND(F64&lt;=0.1,G64=0),"Strong",IF(AND(F64&lt;=0.25,G64&lt;=1),"Moderate","Weak")))</x:f>
      </x:c>
      <x:c r="J64" s="20"/>
      <x:c r="K64" s="20"/>
    </x:row>
    <x:row r="65">
      <x:c r="A65" s="20"/>
      <x:c r="B65" s="20"/>
      <x:c r="C65" s="20"/>
      <x:c r="D65" s="20"/>
      <x:c r="E65" s="20"/>
      <x:c r="F65" s="26" t="str">
        <x:f>IF((D65+E65)=0,"",E65/(D65+E65))</x:f>
      </x:c>
      <x:c r="G65" s="20"/>
      <x:c r="H65" s="20"/>
      <x:c r="I65" s="20" t="str">
        <x:f>IF(F65="","",IF(AND(F65&lt;=0.1,G65=0),"Strong",IF(AND(F65&lt;=0.25,G65&lt;=1),"Moderate","Weak")))</x:f>
      </x:c>
      <x:c r="J65" s="20"/>
      <x:c r="K65" s="20"/>
    </x:row>
    <x:row r="66">
      <x:c r="A66" s="20"/>
      <x:c r="B66" s="20"/>
      <x:c r="C66" s="20"/>
      <x:c r="D66" s="20"/>
      <x:c r="E66" s="20"/>
      <x:c r="F66" s="26" t="str">
        <x:f>IF((D66+E66)=0,"",E66/(D66+E66))</x:f>
      </x:c>
      <x:c r="G66" s="20"/>
      <x:c r="H66" s="20"/>
      <x:c r="I66" s="20" t="str">
        <x:f>IF(F66="","",IF(AND(F66&lt;=0.1,G66=0),"Strong",IF(AND(F66&lt;=0.25,G66&lt;=1),"Moderate","Weak")))</x:f>
      </x:c>
      <x:c r="J66" s="20"/>
      <x:c r="K66" s="20"/>
    </x:row>
    <x:row r="67">
      <x:c r="A67" s="20"/>
      <x:c r="B67" s="20"/>
      <x:c r="C67" s="20"/>
      <x:c r="D67" s="20"/>
      <x:c r="E67" s="20"/>
      <x:c r="F67" s="26" t="str">
        <x:f>IF((D67+E67)=0,"",E67/(D67+E67))</x:f>
      </x:c>
      <x:c r="G67" s="20"/>
      <x:c r="H67" s="20"/>
      <x:c r="I67" s="20" t="str">
        <x:f>IF(F67="","",IF(AND(F67&lt;=0.1,G67=0),"Strong",IF(AND(F67&lt;=0.25,G67&lt;=1),"Moderate","Weak")))</x:f>
      </x:c>
      <x:c r="J67" s="20"/>
      <x:c r="K67" s="20"/>
    </x:row>
    <x:row r="68">
      <x:c r="A68" s="20"/>
      <x:c r="B68" s="20"/>
      <x:c r="C68" s="20"/>
      <x:c r="D68" s="20"/>
      <x:c r="E68" s="20"/>
      <x:c r="F68" s="26" t="str">
        <x:f>IF((D68+E68)=0,"",E68/(D68+E68))</x:f>
      </x:c>
      <x:c r="G68" s="20"/>
      <x:c r="H68" s="20"/>
      <x:c r="I68" s="20" t="str">
        <x:f>IF(F68="","",IF(AND(F68&lt;=0.1,G68=0),"Strong",IF(AND(F68&lt;=0.25,G68&lt;=1),"Moderate","Weak")))</x:f>
      </x:c>
      <x:c r="J68" s="20"/>
      <x:c r="K68" s="20"/>
    </x:row>
    <x:row r="69">
      <x:c r="A69" s="20"/>
      <x:c r="B69" s="20"/>
      <x:c r="C69" s="20"/>
      <x:c r="D69" s="20"/>
      <x:c r="E69" s="20"/>
      <x:c r="F69" s="26" t="str">
        <x:f>IF((D69+E69)=0,"",E69/(D69+E69))</x:f>
      </x:c>
      <x:c r="G69" s="20"/>
      <x:c r="H69" s="20"/>
      <x:c r="I69" s="20" t="str">
        <x:f>IF(F69="","",IF(AND(F69&lt;=0.1,G69=0),"Strong",IF(AND(F69&lt;=0.25,G69&lt;=1),"Moderate","Weak")))</x:f>
      </x:c>
      <x:c r="J69" s="20"/>
      <x:c r="K69" s="20"/>
    </x:row>
    <x:row r="70">
      <x:c r="A70" s="20"/>
      <x:c r="B70" s="20"/>
      <x:c r="C70" s="20"/>
      <x:c r="D70" s="20"/>
      <x:c r="E70" s="20"/>
      <x:c r="F70" s="26" t="str">
        <x:f>IF((D70+E70)=0,"",E70/(D70+E70))</x:f>
      </x:c>
      <x:c r="G70" s="20"/>
      <x:c r="H70" s="20"/>
      <x:c r="I70" s="20" t="str">
        <x:f>IF(F70="","",IF(AND(F70&lt;=0.1,G70=0),"Strong",IF(AND(F70&lt;=0.25,G70&lt;=1),"Moderate","Weak")))</x:f>
      </x:c>
      <x:c r="J70" s="20"/>
      <x:c r="K70" s="20"/>
    </x:row>
    <x:row r="71">
      <x:c r="A71" s="20"/>
      <x:c r="B71" s="20"/>
      <x:c r="C71" s="20"/>
      <x:c r="D71" s="20"/>
      <x:c r="E71" s="20"/>
      <x:c r="F71" s="26" t="str">
        <x:f>IF((D71+E71)=0,"",E71/(D71+E71))</x:f>
      </x:c>
      <x:c r="G71" s="20"/>
      <x:c r="H71" s="20"/>
      <x:c r="I71" s="20" t="str">
        <x:f>IF(F71="","",IF(AND(F71&lt;=0.1,G71=0),"Strong",IF(AND(F71&lt;=0.25,G71&lt;=1),"Moderate","Weak")))</x:f>
      </x:c>
      <x:c r="J71" s="20"/>
      <x:c r="K71" s="20"/>
    </x:row>
    <x:row r="72">
      <x:c r="A72" s="20"/>
      <x:c r="B72" s="20"/>
      <x:c r="C72" s="20"/>
      <x:c r="D72" s="20"/>
      <x:c r="E72" s="20"/>
      <x:c r="F72" s="26" t="str">
        <x:f>IF((D72+E72)=0,"",E72/(D72+E72))</x:f>
      </x:c>
      <x:c r="G72" s="20"/>
      <x:c r="H72" s="20"/>
      <x:c r="I72" s="20" t="str">
        <x:f>IF(F72="","",IF(AND(F72&lt;=0.1,G72=0),"Strong",IF(AND(F72&lt;=0.25,G72&lt;=1),"Moderate","Weak")))</x:f>
      </x:c>
      <x:c r="J72" s="20"/>
      <x:c r="K72" s="20"/>
    </x:row>
    <x:row r="73">
      <x:c r="A73" s="20"/>
      <x:c r="B73" s="20"/>
      <x:c r="C73" s="20"/>
      <x:c r="D73" s="20"/>
      <x:c r="E73" s="20"/>
      <x:c r="F73" s="26" t="str">
        <x:f>IF((D73+E73)=0,"",E73/(D73+E73))</x:f>
      </x:c>
      <x:c r="G73" s="20"/>
      <x:c r="H73" s="20"/>
      <x:c r="I73" s="20" t="str">
        <x:f>IF(F73="","",IF(AND(F73&lt;=0.1,G73=0),"Strong",IF(AND(F73&lt;=0.25,G73&lt;=1),"Moderate","Weak")))</x:f>
      </x:c>
      <x:c r="J73" s="20"/>
      <x:c r="K73" s="20"/>
    </x:row>
    <x:row r="74">
      <x:c r="A74" s="20"/>
      <x:c r="B74" s="20"/>
      <x:c r="C74" s="20"/>
      <x:c r="D74" s="20"/>
      <x:c r="E74" s="20"/>
      <x:c r="F74" s="26" t="str">
        <x:f>IF((D74+E74)=0,"",E74/(D74+E74))</x:f>
      </x:c>
      <x:c r="G74" s="20"/>
      <x:c r="H74" s="20"/>
      <x:c r="I74" s="20" t="str">
        <x:f>IF(F74="","",IF(AND(F74&lt;=0.1,G74=0),"Strong",IF(AND(F74&lt;=0.25,G74&lt;=1),"Moderate","Weak")))</x:f>
      </x:c>
      <x:c r="J74" s="20"/>
      <x:c r="K74" s="20"/>
    </x:row>
    <x:row r="75">
      <x:c r="A75" s="20"/>
      <x:c r="B75" s="20"/>
      <x:c r="C75" s="20"/>
      <x:c r="D75" s="20"/>
      <x:c r="E75" s="20"/>
      <x:c r="F75" s="26" t="str">
        <x:f>IF((D75+E75)=0,"",E75/(D75+E75))</x:f>
      </x:c>
      <x:c r="G75" s="20"/>
      <x:c r="H75" s="20"/>
      <x:c r="I75" s="20" t="str">
        <x:f>IF(F75="","",IF(AND(F75&lt;=0.1,G75=0),"Strong",IF(AND(F75&lt;=0.25,G75&lt;=1),"Moderate","Weak")))</x:f>
      </x:c>
      <x:c r="J75" s="20"/>
      <x:c r="K75" s="20"/>
    </x:row>
    <x:row r="76">
      <x:c r="A76" s="20"/>
      <x:c r="B76" s="20"/>
      <x:c r="C76" s="20"/>
      <x:c r="D76" s="20"/>
      <x:c r="E76" s="20"/>
      <x:c r="F76" s="26" t="str">
        <x:f>IF((D76+E76)=0,"",E76/(D76+E76))</x:f>
      </x:c>
      <x:c r="G76" s="20"/>
      <x:c r="H76" s="20"/>
      <x:c r="I76" s="20" t="str">
        <x:f>IF(F76="","",IF(AND(F76&lt;=0.1,G76=0),"Strong",IF(AND(F76&lt;=0.25,G76&lt;=1),"Moderate","Weak")))</x:f>
      </x:c>
      <x:c r="J76" s="20"/>
      <x:c r="K76" s="20"/>
    </x:row>
    <x:row r="77">
      <x:c r="A77" s="20"/>
      <x:c r="B77" s="20"/>
      <x:c r="C77" s="20"/>
      <x:c r="D77" s="20"/>
      <x:c r="E77" s="20"/>
      <x:c r="F77" s="26" t="str">
        <x:f>IF((D77+E77)=0,"",E77/(D77+E77))</x:f>
      </x:c>
      <x:c r="G77" s="20"/>
      <x:c r="H77" s="20"/>
      <x:c r="I77" s="20" t="str">
        <x:f>IF(F77="","",IF(AND(F77&lt;=0.1,G77=0),"Strong",IF(AND(F77&lt;=0.25,G77&lt;=1),"Moderate","Weak")))</x:f>
      </x:c>
      <x:c r="J77" s="20"/>
      <x:c r="K77" s="20"/>
    </x:row>
    <x:row r="78">
      <x:c r="A78" s="20"/>
      <x:c r="B78" s="20"/>
      <x:c r="C78" s="20"/>
      <x:c r="D78" s="20"/>
      <x:c r="E78" s="20"/>
      <x:c r="F78" s="26" t="str">
        <x:f>IF((D78+E78)=0,"",E78/(D78+E78))</x:f>
      </x:c>
      <x:c r="G78" s="20"/>
      <x:c r="H78" s="20"/>
      <x:c r="I78" s="20" t="str">
        <x:f>IF(F78="","",IF(AND(F78&lt;=0.1,G78=0),"Strong",IF(AND(F78&lt;=0.25,G78&lt;=1),"Moderate","Weak")))</x:f>
      </x:c>
      <x:c r="J78" s="20"/>
      <x:c r="K78" s="20"/>
    </x:row>
    <x:row r="79">
      <x:c r="A79" s="20"/>
      <x:c r="B79" s="20"/>
      <x:c r="C79" s="20"/>
      <x:c r="D79" s="20"/>
      <x:c r="E79" s="20"/>
      <x:c r="F79" s="26" t="str">
        <x:f>IF((D79+E79)=0,"",E79/(D79+E79))</x:f>
      </x:c>
      <x:c r="G79" s="20"/>
      <x:c r="H79" s="20"/>
      <x:c r="I79" s="20" t="str">
        <x:f>IF(F79="","",IF(AND(F79&lt;=0.1,G79=0),"Strong",IF(AND(F79&lt;=0.25,G79&lt;=1),"Moderate","Weak")))</x:f>
      </x:c>
      <x:c r="J79" s="20"/>
      <x:c r="K79" s="20"/>
    </x:row>
    <x:row r="80">
      <x:c r="A80" s="20"/>
      <x:c r="B80" s="20"/>
      <x:c r="C80" s="20"/>
      <x:c r="D80" s="20"/>
      <x:c r="E80" s="20"/>
      <x:c r="F80" s="26" t="str">
        <x:f>IF((D80+E80)=0,"",E80/(D80+E80))</x:f>
      </x:c>
      <x:c r="G80" s="20"/>
      <x:c r="H80" s="20"/>
      <x:c r="I80" s="20" t="str">
        <x:f>IF(F80="","",IF(AND(F80&lt;=0.1,G80=0),"Strong",IF(AND(F80&lt;=0.25,G80&lt;=1),"Moderate","Weak")))</x:f>
      </x:c>
      <x:c r="J80" s="20"/>
      <x:c r="K80" s="20"/>
    </x:row>
    <x:row r="81">
      <x:c r="A81" s="20"/>
      <x:c r="B81" s="20"/>
      <x:c r="C81" s="20"/>
      <x:c r="D81" s="20"/>
      <x:c r="E81" s="20"/>
      <x:c r="F81" s="26" t="str">
        <x:f>IF((D81+E81)=0,"",E81/(D81+E81))</x:f>
      </x:c>
      <x:c r="G81" s="20"/>
      <x:c r="H81" s="20"/>
      <x:c r="I81" s="20" t="str">
        <x:f>IF(F81="","",IF(AND(F81&lt;=0.1,G81=0),"Strong",IF(AND(F81&lt;=0.25,G81&lt;=1),"Moderate","Weak")))</x:f>
      </x:c>
      <x:c r="J81" s="20"/>
      <x:c r="K81" s="20"/>
    </x:row>
    <x:row r="82">
      <x:c r="A82" s="20"/>
      <x:c r="B82" s="20"/>
      <x:c r="C82" s="20"/>
      <x:c r="D82" s="20"/>
      <x:c r="E82" s="20"/>
      <x:c r="F82" s="26" t="str">
        <x:f>IF((D82+E82)=0,"",E82/(D82+E82))</x:f>
      </x:c>
      <x:c r="G82" s="20"/>
      <x:c r="H82" s="20"/>
      <x:c r="I82" s="20" t="str">
        <x:f>IF(F82="","",IF(AND(F82&lt;=0.1,G82=0),"Strong",IF(AND(F82&lt;=0.25,G82&lt;=1),"Moderate","Weak")))</x:f>
      </x:c>
      <x:c r="J82" s="20"/>
      <x:c r="K82" s="20"/>
    </x:row>
    <x:row r="83">
      <x:c r="A83" s="20"/>
      <x:c r="B83" s="20"/>
      <x:c r="C83" s="20"/>
      <x:c r="D83" s="20"/>
      <x:c r="E83" s="20"/>
      <x:c r="F83" s="26" t="str">
        <x:f>IF((D83+E83)=0,"",E83/(D83+E83))</x:f>
      </x:c>
      <x:c r="G83" s="20"/>
      <x:c r="H83" s="20"/>
      <x:c r="I83" s="20" t="str">
        <x:f>IF(F83="","",IF(AND(F83&lt;=0.1,G83=0),"Strong",IF(AND(F83&lt;=0.25,G83&lt;=1),"Moderate","Weak")))</x:f>
      </x:c>
      <x:c r="J83" s="20"/>
      <x:c r="K83" s="20"/>
    </x:row>
    <x:row r="84">
      <x:c r="A84" s="20"/>
      <x:c r="B84" s="20"/>
      <x:c r="C84" s="20"/>
      <x:c r="D84" s="20"/>
      <x:c r="E84" s="20"/>
      <x:c r="F84" s="26" t="str">
        <x:f>IF((D84+E84)=0,"",E84/(D84+E84))</x:f>
      </x:c>
      <x:c r="G84" s="20"/>
      <x:c r="H84" s="20"/>
      <x:c r="I84" s="20" t="str">
        <x:f>IF(F84="","",IF(AND(F84&lt;=0.1,G84=0),"Strong",IF(AND(F84&lt;=0.25,G84&lt;=1),"Moderate","Weak")))</x:f>
      </x:c>
      <x:c r="J84" s="20"/>
      <x:c r="K84" s="20"/>
    </x:row>
    <x:row r="85">
      <x:c r="A85" s="20"/>
      <x:c r="B85" s="20"/>
      <x:c r="C85" s="20"/>
      <x:c r="D85" s="20"/>
      <x:c r="E85" s="20"/>
      <x:c r="F85" s="26" t="str">
        <x:f>IF((D85+E85)=0,"",E85/(D85+E85))</x:f>
      </x:c>
      <x:c r="G85" s="20"/>
      <x:c r="H85" s="20"/>
      <x:c r="I85" s="20" t="str">
        <x:f>IF(F85="","",IF(AND(F85&lt;=0.1,G85=0),"Strong",IF(AND(F85&lt;=0.25,G85&lt;=1),"Moderate","Weak")))</x:f>
      </x:c>
      <x:c r="J85" s="20"/>
      <x:c r="K85" s="20"/>
    </x:row>
    <x:row r="86">
      <x:c r="A86" s="20"/>
      <x:c r="B86" s="20"/>
      <x:c r="C86" s="20"/>
      <x:c r="D86" s="20"/>
      <x:c r="E86" s="20"/>
      <x:c r="F86" s="26" t="str">
        <x:f>IF((D86+E86)=0,"",E86/(D86+E86))</x:f>
      </x:c>
      <x:c r="G86" s="20"/>
      <x:c r="H86" s="20"/>
      <x:c r="I86" s="20" t="str">
        <x:f>IF(F86="","",IF(AND(F86&lt;=0.1,G86=0),"Strong",IF(AND(F86&lt;=0.25,G86&lt;=1),"Moderate","Weak")))</x:f>
      </x:c>
      <x:c r="J86" s="20"/>
      <x:c r="K86" s="20"/>
    </x:row>
    <x:row r="87">
      <x:c r="A87" s="20"/>
      <x:c r="B87" s="20"/>
      <x:c r="C87" s="20"/>
      <x:c r="D87" s="20"/>
      <x:c r="E87" s="20"/>
      <x:c r="F87" s="26" t="str">
        <x:f>IF((D87+E87)=0,"",E87/(D87+E87))</x:f>
      </x:c>
      <x:c r="G87" s="20"/>
      <x:c r="H87" s="20"/>
      <x:c r="I87" s="20" t="str">
        <x:f>IF(F87="","",IF(AND(F87&lt;=0.1,G87=0),"Strong",IF(AND(F87&lt;=0.25,G87&lt;=1),"Moderate","Weak")))</x:f>
      </x:c>
      <x:c r="J87" s="20"/>
      <x:c r="K87" s="20"/>
    </x:row>
    <x:row r="88">
      <x:c r="A88" s="20"/>
      <x:c r="B88" s="20"/>
      <x:c r="C88" s="20"/>
      <x:c r="D88" s="20"/>
      <x:c r="E88" s="20"/>
      <x:c r="F88" s="26" t="str">
        <x:f>IF((D88+E88)=0,"",E88/(D88+E88))</x:f>
      </x:c>
      <x:c r="G88" s="20"/>
      <x:c r="H88" s="20"/>
      <x:c r="I88" s="20" t="str">
        <x:f>IF(F88="","",IF(AND(F88&lt;=0.1,G88=0),"Strong",IF(AND(F88&lt;=0.25,G88&lt;=1),"Moderate","Weak")))</x:f>
      </x:c>
      <x:c r="J88" s="20"/>
      <x:c r="K88" s="20"/>
    </x:row>
    <x:row r="89">
      <x:c r="A89" s="20"/>
      <x:c r="B89" s="20"/>
      <x:c r="C89" s="20"/>
      <x:c r="D89" s="20"/>
      <x:c r="E89" s="20"/>
      <x:c r="F89" s="26" t="str">
        <x:f>IF((D89+E89)=0,"",E89/(D89+E89))</x:f>
      </x:c>
      <x:c r="G89" s="20"/>
      <x:c r="H89" s="20"/>
      <x:c r="I89" s="20" t="str">
        <x:f>IF(F89="","",IF(AND(F89&lt;=0.1,G89=0),"Strong",IF(AND(F89&lt;=0.25,G89&lt;=1),"Moderate","Weak")))</x:f>
      </x:c>
      <x:c r="J89" s="20"/>
      <x:c r="K89" s="20"/>
    </x:row>
    <x:row r="90">
      <x:c r="A90" s="20"/>
      <x:c r="B90" s="20"/>
      <x:c r="C90" s="20"/>
      <x:c r="D90" s="20"/>
      <x:c r="E90" s="20"/>
      <x:c r="F90" s="26" t="str">
        <x:f>IF((D90+E90)=0,"",E90/(D90+E90))</x:f>
      </x:c>
      <x:c r="G90" s="20"/>
      <x:c r="H90" s="20"/>
      <x:c r="I90" s="20" t="str">
        <x:f>IF(F90="","",IF(AND(F90&lt;=0.1,G90=0),"Strong",IF(AND(F90&lt;=0.25,G90&lt;=1),"Moderate","Weak")))</x:f>
      </x:c>
      <x:c r="J90" s="20"/>
      <x:c r="K90" s="20"/>
    </x:row>
    <x:row r="91">
      <x:c r="A91" s="20"/>
      <x:c r="B91" s="20"/>
      <x:c r="C91" s="20"/>
      <x:c r="D91" s="20"/>
      <x:c r="E91" s="20"/>
      <x:c r="F91" s="26" t="str">
        <x:f>IF((D91+E91)=0,"",E91/(D91+E91))</x:f>
      </x:c>
      <x:c r="G91" s="20"/>
      <x:c r="H91" s="20"/>
      <x:c r="I91" s="20" t="str">
        <x:f>IF(F91="","",IF(AND(F91&lt;=0.1,G91=0),"Strong",IF(AND(F91&lt;=0.25,G91&lt;=1),"Moderate","Weak")))</x:f>
      </x:c>
      <x:c r="J91" s="20"/>
      <x:c r="K91" s="20"/>
    </x:row>
    <x:row r="92">
      <x:c r="A92" s="20"/>
      <x:c r="B92" s="20"/>
      <x:c r="C92" s="20"/>
      <x:c r="D92" s="20"/>
      <x:c r="E92" s="20"/>
      <x:c r="F92" s="26" t="str">
        <x:f>IF((D92+E92)=0,"",E92/(D92+E92))</x:f>
      </x:c>
      <x:c r="G92" s="20"/>
      <x:c r="H92" s="20"/>
      <x:c r="I92" s="20" t="str">
        <x:f>IF(F92="","",IF(AND(F92&lt;=0.1,G92=0),"Strong",IF(AND(F92&lt;=0.25,G92&lt;=1),"Moderate","Weak")))</x:f>
      </x:c>
      <x:c r="J92" s="20"/>
      <x:c r="K92" s="20"/>
    </x:row>
    <x:row r="93">
      <x:c r="A93" s="20"/>
      <x:c r="B93" s="20"/>
      <x:c r="C93" s="20"/>
      <x:c r="D93" s="20"/>
      <x:c r="E93" s="20"/>
      <x:c r="F93" s="26" t="str">
        <x:f>IF((D93+E93)=0,"",E93/(D93+E93))</x:f>
      </x:c>
      <x:c r="G93" s="20"/>
      <x:c r="H93" s="20"/>
      <x:c r="I93" s="20" t="str">
        <x:f>IF(F93="","",IF(AND(F93&lt;=0.1,G93=0),"Strong",IF(AND(F93&lt;=0.25,G93&lt;=1),"Moderate","Weak")))</x:f>
      </x:c>
      <x:c r="J93" s="20"/>
      <x:c r="K93" s="20"/>
    </x:row>
    <x:row r="94">
      <x:c r="A94" s="20"/>
      <x:c r="B94" s="20"/>
      <x:c r="C94" s="20"/>
      <x:c r="D94" s="20"/>
      <x:c r="E94" s="20"/>
      <x:c r="F94" s="26" t="str">
        <x:f>IF((D94+E94)=0,"",E94/(D94+E94))</x:f>
      </x:c>
      <x:c r="G94" s="20"/>
      <x:c r="H94" s="20"/>
      <x:c r="I94" s="20" t="str">
        <x:f>IF(F94="","",IF(AND(F94&lt;=0.1,G94=0),"Strong",IF(AND(F94&lt;=0.25,G94&lt;=1),"Moderate","Weak")))</x:f>
      </x:c>
      <x:c r="J94" s="20"/>
      <x:c r="K94" s="20"/>
    </x:row>
    <x:row r="95">
      <x:c r="A95" s="20"/>
      <x:c r="B95" s="20"/>
      <x:c r="C95" s="20"/>
      <x:c r="D95" s="20"/>
      <x:c r="E95" s="20"/>
      <x:c r="F95" s="26" t="str">
        <x:f>IF((D95+E95)=0,"",E95/(D95+E95))</x:f>
      </x:c>
      <x:c r="G95" s="20"/>
      <x:c r="H95" s="20"/>
      <x:c r="I95" s="20" t="str">
        <x:f>IF(F95="","",IF(AND(F95&lt;=0.1,G95=0),"Strong",IF(AND(F95&lt;=0.25,G95&lt;=1),"Moderate","Weak")))</x:f>
      </x:c>
      <x:c r="J95" s="20"/>
      <x:c r="K95" s="20"/>
    </x:row>
    <x:row r="96">
      <x:c r="A96" s="20"/>
      <x:c r="B96" s="20"/>
      <x:c r="C96" s="20"/>
      <x:c r="D96" s="20"/>
      <x:c r="E96" s="20"/>
      <x:c r="F96" s="26" t="str">
        <x:f>IF((D96+E96)=0,"",E96/(D96+E96))</x:f>
      </x:c>
      <x:c r="G96" s="20"/>
      <x:c r="H96" s="20"/>
      <x:c r="I96" s="20" t="str">
        <x:f>IF(F96="","",IF(AND(F96&lt;=0.1,G96=0),"Strong",IF(AND(F96&lt;=0.25,G96&lt;=1),"Moderate","Weak")))</x:f>
      </x:c>
      <x:c r="J96" s="20"/>
      <x:c r="K96" s="20"/>
    </x:row>
    <x:row r="97">
      <x:c r="A97" s="20"/>
      <x:c r="B97" s="20"/>
      <x:c r="C97" s="20"/>
      <x:c r="D97" s="20"/>
      <x:c r="E97" s="20"/>
      <x:c r="F97" s="26" t="str">
        <x:f>IF((D97+E97)=0,"",E97/(D97+E97))</x:f>
      </x:c>
      <x:c r="G97" s="20"/>
      <x:c r="H97" s="20"/>
      <x:c r="I97" s="20" t="str">
        <x:f>IF(F97="","",IF(AND(F97&lt;=0.1,G97=0),"Strong",IF(AND(F97&lt;=0.25,G97&lt;=1),"Moderate","Weak")))</x:f>
      </x:c>
      <x:c r="J97" s="20"/>
      <x:c r="K97" s="20"/>
    </x:row>
    <x:row r="98">
      <x:c r="A98" s="20"/>
      <x:c r="B98" s="20"/>
      <x:c r="C98" s="20"/>
      <x:c r="D98" s="20"/>
      <x:c r="E98" s="20"/>
      <x:c r="F98" s="26" t="str">
        <x:f>IF((D98+E98)=0,"",E98/(D98+E98))</x:f>
      </x:c>
      <x:c r="G98" s="20"/>
      <x:c r="H98" s="20"/>
      <x:c r="I98" s="20" t="str">
        <x:f>IF(F98="","",IF(AND(F98&lt;=0.1,G98=0),"Strong",IF(AND(F98&lt;=0.25,G98&lt;=1),"Moderate","Weak")))</x:f>
      </x:c>
      <x:c r="J98" s="20"/>
      <x:c r="K98" s="20"/>
    </x:row>
    <x:row r="99">
      <x:c r="A99" s="20"/>
      <x:c r="B99" s="20"/>
      <x:c r="C99" s="20"/>
      <x:c r="D99" s="20"/>
      <x:c r="E99" s="20"/>
      <x:c r="F99" s="26" t="str">
        <x:f>IF((D99+E99)=0,"",E99/(D99+E99))</x:f>
      </x:c>
      <x:c r="G99" s="20"/>
      <x:c r="H99" s="20"/>
      <x:c r="I99" s="20" t="str">
        <x:f>IF(F99="","",IF(AND(F99&lt;=0.1,G99=0),"Strong",IF(AND(F99&lt;=0.25,G99&lt;=1),"Moderate","Weak")))</x:f>
      </x:c>
      <x:c r="J99" s="20"/>
      <x:c r="K99" s="20"/>
    </x:row>
    <x:row r="100">
      <x:c r="A100" s="20"/>
      <x:c r="B100" s="20"/>
      <x:c r="C100" s="20"/>
      <x:c r="D100" s="20"/>
      <x:c r="E100" s="20"/>
      <x:c r="F100" s="26" t="str">
        <x:f>IF((D100+E100)=0,"",E100/(D100+E100))</x:f>
      </x:c>
      <x:c r="G100" s="20"/>
      <x:c r="H100" s="20"/>
      <x:c r="I100" s="20" t="str">
        <x:f>IF(F100="","",IF(AND(F100&lt;=0.1,G100=0),"Strong",IF(AND(F100&lt;=0.25,G100&lt;=1),"Moderate","Weak")))</x:f>
      </x:c>
      <x:c r="J100" s="20"/>
      <x:c r="K100" s="20"/>
    </x:row>
    <x:row r="101">
      <x:c r="A101" s="20"/>
      <x:c r="B101" s="20"/>
      <x:c r="C101" s="20"/>
      <x:c r="D101" s="20"/>
      <x:c r="E101" s="20"/>
      <x:c r="F101" s="26" t="str">
        <x:f>IF((D101+E101)=0,"",E101/(D101+E101))</x:f>
      </x:c>
      <x:c r="G101" s="20"/>
      <x:c r="H101" s="20"/>
      <x:c r="I101" s="20" t="str">
        <x:f>IF(F101="","",IF(AND(F101&lt;=0.1,G101=0),"Strong",IF(AND(F101&lt;=0.25,G101&lt;=1),"Moderate","Weak")))</x:f>
      </x:c>
      <x:c r="J101" s="20"/>
      <x:c r="K101" s="20"/>
    </x:row>
    <x:row r="102">
      <x:c r="A102" s="20"/>
      <x:c r="B102" s="20"/>
      <x:c r="C102" s="20"/>
      <x:c r="D102" s="20"/>
      <x:c r="E102" s="20"/>
      <x:c r="F102" s="26" t="str">
        <x:f>IF((D102+E102)=0,"",E102/(D102+E102))</x:f>
      </x:c>
      <x:c r="G102" s="20"/>
      <x:c r="H102" s="20"/>
      <x:c r="I102" s="20" t="str">
        <x:f>IF(F102="","",IF(AND(F102&lt;=0.1,G102=0),"Strong",IF(AND(F102&lt;=0.25,G102&lt;=1),"Moderate","Weak")))</x:f>
      </x:c>
      <x:c r="J102" s="20"/>
      <x:c r="K102" s="20"/>
    </x:row>
    <x:row r="103">
      <x:c r="A103" s="20"/>
      <x:c r="B103" s="20"/>
      <x:c r="C103" s="20"/>
      <x:c r="D103" s="20"/>
      <x:c r="E103" s="20"/>
      <x:c r="F103" s="26" t="str">
        <x:f>IF((D103+E103)=0,"",E103/(D103+E103))</x:f>
      </x:c>
      <x:c r="G103" s="20"/>
      <x:c r="H103" s="20"/>
      <x:c r="I103" s="20" t="str">
        <x:f>IF(F103="","",IF(AND(F103&lt;=0.1,G103=0),"Strong",IF(AND(F103&lt;=0.25,G103&lt;=1),"Moderate","Weak")))</x:f>
      </x:c>
      <x:c r="J103" s="20"/>
      <x:c r="K103" s="20"/>
    </x:row>
    <x:row r="104">
      <x:c r="A104" s="20"/>
      <x:c r="B104" s="20"/>
      <x:c r="C104" s="20"/>
      <x:c r="D104" s="20"/>
      <x:c r="E104" s="20"/>
      <x:c r="F104" s="26" t="str">
        <x:f>IF((D104+E104)=0,"",E104/(D104+E104))</x:f>
      </x:c>
      <x:c r="G104" s="20"/>
      <x:c r="H104" s="20"/>
      <x:c r="I104" s="20" t="str">
        <x:f>IF(F104="","",IF(AND(F104&lt;=0.1,G104=0),"Strong",IF(AND(F104&lt;=0.25,G104&lt;=1),"Moderate","Weak")))</x:f>
      </x:c>
      <x:c r="J104" s="20"/>
      <x:c r="K104" s="20"/>
    </x:row>
    <x:row r="105">
      <x:c r="A105" s="20"/>
      <x:c r="B105" s="20"/>
      <x:c r="C105" s="20"/>
      <x:c r="D105" s="20"/>
      <x:c r="E105" s="20"/>
      <x:c r="F105" s="26" t="str">
        <x:f>IF((D105+E105)=0,"",E105/(D105+E105))</x:f>
      </x:c>
      <x:c r="G105" s="20"/>
      <x:c r="H105" s="20"/>
      <x:c r="I105" s="20" t="str">
        <x:f>IF(F105="","",IF(AND(F105&lt;=0.1,G105=0),"Strong",IF(AND(F105&lt;=0.25,G105&lt;=1),"Moderate","Weak")))</x:f>
      </x:c>
      <x:c r="J105" s="20"/>
      <x:c r="K105" s="20"/>
    </x:row>
    <x:row r="106">
      <x:c r="A106" s="20"/>
      <x:c r="B106" s="20"/>
      <x:c r="C106" s="20"/>
      <x:c r="D106" s="20"/>
      <x:c r="E106" s="20"/>
      <x:c r="F106" s="26" t="str">
        <x:f>IF((D106+E106)=0,"",E106/(D106+E106))</x:f>
      </x:c>
      <x:c r="G106" s="20"/>
      <x:c r="H106" s="20"/>
      <x:c r="I106" s="20" t="str">
        <x:f>IF(F106="","",IF(AND(F106&lt;=0.1,G106=0),"Strong",IF(AND(F106&lt;=0.25,G106&lt;=1),"Moderate","Weak")))</x:f>
      </x:c>
      <x:c r="J106" s="20"/>
      <x:c r="K106" s="20"/>
    </x:row>
    <x:row r="107">
      <x:c r="A107" s="20"/>
      <x:c r="B107" s="20"/>
      <x:c r="C107" s="20"/>
      <x:c r="D107" s="20"/>
      <x:c r="E107" s="20"/>
      <x:c r="F107" s="26" t="str">
        <x:f>IF((D107+E107)=0,"",E107/(D107+E107))</x:f>
      </x:c>
      <x:c r="G107" s="20"/>
      <x:c r="H107" s="20"/>
      <x:c r="I107" s="20" t="str">
        <x:f>IF(F107="","",IF(AND(F107&lt;=0.1,G107=0),"Strong",IF(AND(F107&lt;=0.25,G107&lt;=1),"Moderate","Weak")))</x:f>
      </x:c>
      <x:c r="J107" s="20"/>
      <x:c r="K107" s="20"/>
    </x:row>
    <x:row r="108">
      <x:c r="A108" s="20"/>
      <x:c r="B108" s="20"/>
      <x:c r="C108" s="20"/>
      <x:c r="D108" s="20"/>
      <x:c r="E108" s="20"/>
      <x:c r="F108" s="26" t="str">
        <x:f>IF((D108+E108)=0,"",E108/(D108+E108))</x:f>
      </x:c>
      <x:c r="G108" s="20"/>
      <x:c r="H108" s="20"/>
      <x:c r="I108" s="20" t="str">
        <x:f>IF(F108="","",IF(AND(F108&lt;=0.1,G108=0),"Strong",IF(AND(F108&lt;=0.25,G108&lt;=1),"Moderate","Weak")))</x:f>
      </x:c>
      <x:c r="J108" s="20"/>
      <x:c r="K108" s="20"/>
    </x:row>
    <x:row r="109">
      <x:c r="A109" s="20"/>
      <x:c r="B109" s="20"/>
      <x:c r="C109" s="20"/>
      <x:c r="D109" s="20"/>
      <x:c r="E109" s="20"/>
      <x:c r="F109" s="26" t="str">
        <x:f>IF((D109+E109)=0,"",E109/(D109+E109))</x:f>
      </x:c>
      <x:c r="G109" s="20"/>
      <x:c r="H109" s="20"/>
      <x:c r="I109" s="20" t="str">
        <x:f>IF(F109="","",IF(AND(F109&lt;=0.1,G109=0),"Strong",IF(AND(F109&lt;=0.25,G109&lt;=1),"Moderate","Weak")))</x:f>
      </x:c>
      <x:c r="J109" s="20"/>
      <x:c r="K109" s="20"/>
    </x:row>
    <x:row r="110">
      <x:c r="A110" s="20"/>
      <x:c r="B110" s="20"/>
      <x:c r="C110" s="20"/>
      <x:c r="D110" s="20"/>
      <x:c r="E110" s="20"/>
      <x:c r="F110" s="26" t="str">
        <x:f>IF((D110+E110)=0,"",E110/(D110+E110))</x:f>
      </x:c>
      <x:c r="G110" s="20"/>
      <x:c r="H110" s="20"/>
      <x:c r="I110" s="20" t="str">
        <x:f>IF(F110="","",IF(AND(F110&lt;=0.1,G110=0),"Strong",IF(AND(F110&lt;=0.25,G110&lt;=1),"Moderate","Weak")))</x:f>
      </x:c>
      <x:c r="J110" s="20"/>
      <x:c r="K110" s="20"/>
    </x:row>
    <x:row r="111">
      <x:c r="A111" s="20"/>
      <x:c r="B111" s="20"/>
      <x:c r="C111" s="20"/>
      <x:c r="D111" s="20"/>
      <x:c r="E111" s="20"/>
      <x:c r="F111" s="26" t="str">
        <x:f>IF((D111+E111)=0,"",E111/(D111+E111))</x:f>
      </x:c>
      <x:c r="G111" s="20"/>
      <x:c r="H111" s="20"/>
      <x:c r="I111" s="20" t="str">
        <x:f>IF(F111="","",IF(AND(F111&lt;=0.1,G111=0),"Strong",IF(AND(F111&lt;=0.25,G111&lt;=1),"Moderate","Weak")))</x:f>
      </x:c>
      <x:c r="J111" s="20"/>
      <x:c r="K111" s="20"/>
    </x:row>
    <x:row r="112">
      <x:c r="A112" s="20"/>
      <x:c r="B112" s="20"/>
      <x:c r="C112" s="20"/>
      <x:c r="D112" s="20"/>
      <x:c r="E112" s="20"/>
      <x:c r="F112" s="26" t="str">
        <x:f>IF((D112+E112)=0,"",E112/(D112+E112))</x:f>
      </x:c>
      <x:c r="G112" s="20"/>
      <x:c r="H112" s="20"/>
      <x:c r="I112" s="20" t="str">
        <x:f>IF(F112="","",IF(AND(F112&lt;=0.1,G112=0),"Strong",IF(AND(F112&lt;=0.25,G112&lt;=1),"Moderate","Weak")))</x:f>
      </x:c>
      <x:c r="J112" s="20"/>
      <x:c r="K112" s="20"/>
    </x:row>
    <x:row r="113">
      <x:c r="A113" s="20"/>
      <x:c r="B113" s="20"/>
      <x:c r="C113" s="20"/>
      <x:c r="D113" s="20"/>
      <x:c r="E113" s="20"/>
      <x:c r="F113" s="26" t="str">
        <x:f>IF((D113+E113)=0,"",E113/(D113+E113))</x:f>
      </x:c>
      <x:c r="G113" s="20"/>
      <x:c r="H113" s="20"/>
      <x:c r="I113" s="20" t="str">
        <x:f>IF(F113="","",IF(AND(F113&lt;=0.1,G113=0),"Strong",IF(AND(F113&lt;=0.25,G113&lt;=1),"Moderate","Weak")))</x:f>
      </x:c>
      <x:c r="J113" s="20"/>
      <x:c r="K113" s="20"/>
    </x:row>
    <x:row r="114">
      <x:c r="A114" s="20"/>
      <x:c r="B114" s="20"/>
      <x:c r="C114" s="20"/>
      <x:c r="D114" s="20"/>
      <x:c r="E114" s="20"/>
      <x:c r="F114" s="26" t="str">
        <x:f>IF((D114+E114)=0,"",E114/(D114+E114))</x:f>
      </x:c>
      <x:c r="G114" s="20"/>
      <x:c r="H114" s="20"/>
      <x:c r="I114" s="20" t="str">
        <x:f>IF(F114="","",IF(AND(F114&lt;=0.1,G114=0),"Strong",IF(AND(F114&lt;=0.25,G114&lt;=1),"Moderate","Weak")))</x:f>
      </x:c>
      <x:c r="J114" s="20"/>
      <x:c r="K114" s="20"/>
    </x:row>
    <x:row r="115">
      <x:c r="A115" s="20"/>
      <x:c r="B115" s="20"/>
      <x:c r="C115" s="20"/>
      <x:c r="D115" s="20"/>
      <x:c r="E115" s="20"/>
      <x:c r="F115" s="26" t="str">
        <x:f>IF((D115+E115)=0,"",E115/(D115+E115))</x:f>
      </x:c>
      <x:c r="G115" s="20"/>
      <x:c r="H115" s="20"/>
      <x:c r="I115" s="20" t="str">
        <x:f>IF(F115="","",IF(AND(F115&lt;=0.1,G115=0),"Strong",IF(AND(F115&lt;=0.25,G115&lt;=1),"Moderate","Weak")))</x:f>
      </x:c>
      <x:c r="J115" s="20"/>
      <x:c r="K115" s="20"/>
    </x:row>
    <x:row r="116">
      <x:c r="A116" s="20"/>
      <x:c r="B116" s="20"/>
      <x:c r="C116" s="20"/>
      <x:c r="D116" s="20"/>
      <x:c r="E116" s="20"/>
      <x:c r="F116" s="26" t="str">
        <x:f>IF((D116+E116)=0,"",E116/(D116+E116))</x:f>
      </x:c>
      <x:c r="G116" s="20"/>
      <x:c r="H116" s="20"/>
      <x:c r="I116" s="20" t="str">
        <x:f>IF(F116="","",IF(AND(F116&lt;=0.1,G116=0),"Strong",IF(AND(F116&lt;=0.25,G116&lt;=1),"Moderate","Weak")))</x:f>
      </x:c>
      <x:c r="J116" s="20"/>
      <x:c r="K116" s="20"/>
    </x:row>
    <x:row r="117">
      <x:c r="A117" s="20"/>
      <x:c r="B117" s="20"/>
      <x:c r="C117" s="20"/>
      <x:c r="D117" s="20"/>
      <x:c r="E117" s="20"/>
      <x:c r="F117" s="26" t="str">
        <x:f>IF((D117+E117)=0,"",E117/(D117+E117))</x:f>
      </x:c>
      <x:c r="G117" s="20"/>
      <x:c r="H117" s="20"/>
      <x:c r="I117" s="20" t="str">
        <x:f>IF(F117="","",IF(AND(F117&lt;=0.1,G117=0),"Strong",IF(AND(F117&lt;=0.25,G117&lt;=1),"Moderate","Weak")))</x:f>
      </x:c>
      <x:c r="J117" s="20"/>
      <x:c r="K117" s="20"/>
    </x:row>
    <x:row r="118">
      <x:c r="A118" s="20"/>
      <x:c r="B118" s="20"/>
      <x:c r="C118" s="20"/>
      <x:c r="D118" s="20"/>
      <x:c r="E118" s="20"/>
      <x:c r="F118" s="26" t="str">
        <x:f>IF((D118+E118)=0,"",E118/(D118+E118))</x:f>
      </x:c>
      <x:c r="G118" s="20"/>
      <x:c r="H118" s="20"/>
      <x:c r="I118" s="20" t="str">
        <x:f>IF(F118="","",IF(AND(F118&lt;=0.1,G118=0),"Strong",IF(AND(F118&lt;=0.25,G118&lt;=1),"Moderate","Weak")))</x:f>
      </x:c>
      <x:c r="J118" s="20"/>
      <x:c r="K118" s="20"/>
    </x:row>
    <x:row r="119">
      <x:c r="A119" s="20"/>
      <x:c r="B119" s="20"/>
      <x:c r="C119" s="20"/>
      <x:c r="D119" s="20"/>
      <x:c r="E119" s="20"/>
      <x:c r="F119" s="26" t="str">
        <x:f>IF((D119+E119)=0,"",E119/(D119+E119))</x:f>
      </x:c>
      <x:c r="G119" s="20"/>
      <x:c r="H119" s="20"/>
      <x:c r="I119" s="20" t="str">
        <x:f>IF(F119="","",IF(AND(F119&lt;=0.1,G119=0),"Strong",IF(AND(F119&lt;=0.25,G119&lt;=1),"Moderate","Weak")))</x:f>
      </x:c>
      <x:c r="J119" s="20"/>
      <x:c r="K119" s="20"/>
    </x:row>
    <x:row r="120">
      <x:c r="A120" s="20"/>
      <x:c r="B120" s="20"/>
      <x:c r="C120" s="20"/>
      <x:c r="D120" s="20"/>
      <x:c r="E120" s="20"/>
      <x:c r="F120" s="26" t="str">
        <x:f>IF((D120+E120)=0,"",E120/(D120+E120))</x:f>
      </x:c>
      <x:c r="G120" s="20"/>
      <x:c r="H120" s="20"/>
      <x:c r="I120" s="20" t="str">
        <x:f>IF(F120="","",IF(AND(F120&lt;=0.1,G120=0),"Strong",IF(AND(F120&lt;=0.25,G120&lt;=1),"Moderate","Weak")))</x:f>
      </x:c>
      <x:c r="J120" s="20"/>
      <x:c r="K120" s="20"/>
    </x:row>
    <x:row r="121">
      <x:c r="A121" s="20"/>
      <x:c r="B121" s="20"/>
      <x:c r="C121" s="20"/>
      <x:c r="D121" s="20"/>
      <x:c r="E121" s="20"/>
      <x:c r="F121" s="26" t="str">
        <x:f>IF((D121+E121)=0,"",E121/(D121+E121))</x:f>
      </x:c>
      <x:c r="G121" s="20"/>
      <x:c r="H121" s="20"/>
      <x:c r="I121" s="20" t="str">
        <x:f>IF(F121="","",IF(AND(F121&lt;=0.1,G121=0),"Strong",IF(AND(F121&lt;=0.25,G121&lt;=1),"Moderate","Weak")))</x:f>
      </x:c>
      <x:c r="J121" s="20"/>
      <x:c r="K121" s="20"/>
    </x:row>
    <x:row r="122">
      <x:c r="A122" s="20"/>
      <x:c r="B122" s="20"/>
      <x:c r="C122" s="20"/>
      <x:c r="D122" s="20"/>
      <x:c r="E122" s="20"/>
      <x:c r="F122" s="26" t="str">
        <x:f>IF((D122+E122)=0,"",E122/(D122+E122))</x:f>
      </x:c>
      <x:c r="G122" s="20"/>
      <x:c r="H122" s="20"/>
      <x:c r="I122" s="20" t="str">
        <x:f>IF(F122="","",IF(AND(F122&lt;=0.1,G122=0),"Strong",IF(AND(F122&lt;=0.25,G122&lt;=1),"Moderate","Weak")))</x:f>
      </x:c>
      <x:c r="J122" s="20"/>
      <x:c r="K122" s="20"/>
    </x:row>
    <x:row r="123">
      <x:c r="A123" s="20"/>
      <x:c r="B123" s="20"/>
      <x:c r="C123" s="20"/>
      <x:c r="D123" s="20"/>
      <x:c r="E123" s="20"/>
      <x:c r="F123" s="26" t="str">
        <x:f>IF((D123+E123)=0,"",E123/(D123+E123))</x:f>
      </x:c>
      <x:c r="G123" s="20"/>
      <x:c r="H123" s="20"/>
      <x:c r="I123" s="20" t="str">
        <x:f>IF(F123="","",IF(AND(F123&lt;=0.1,G123=0),"Strong",IF(AND(F123&lt;=0.25,G123&lt;=1),"Moderate","Weak")))</x:f>
      </x:c>
      <x:c r="J123" s="20"/>
      <x:c r="K123" s="20"/>
    </x:row>
    <x:row r="124">
      <x:c r="A124" s="20"/>
      <x:c r="B124" s="20"/>
      <x:c r="C124" s="20"/>
      <x:c r="D124" s="20"/>
      <x:c r="E124" s="20"/>
      <x:c r="F124" s="26" t="str">
        <x:f>IF((D124+E124)=0,"",E124/(D124+E124))</x:f>
      </x:c>
      <x:c r="G124" s="20"/>
      <x:c r="H124" s="20"/>
      <x:c r="I124" s="20" t="str">
        <x:f>IF(F124="","",IF(AND(F124&lt;=0.1,G124=0),"Strong",IF(AND(F124&lt;=0.25,G124&lt;=1),"Moderate","Weak")))</x:f>
      </x:c>
      <x:c r="J124" s="20"/>
      <x:c r="K124" s="20"/>
    </x:row>
    <x:row r="125">
      <x:c r="A125" s="20"/>
      <x:c r="B125" s="20"/>
      <x:c r="C125" s="20"/>
      <x:c r="D125" s="20"/>
      <x:c r="E125" s="20"/>
      <x:c r="F125" s="26" t="str">
        <x:f>IF((D125+E125)=0,"",E125/(D125+E125))</x:f>
      </x:c>
      <x:c r="G125" s="20"/>
      <x:c r="H125" s="20"/>
      <x:c r="I125" s="20" t="str">
        <x:f>IF(F125="","",IF(AND(F125&lt;=0.1,G125=0),"Strong",IF(AND(F125&lt;=0.25,G125&lt;=1),"Moderate","Weak")))</x:f>
      </x:c>
      <x:c r="J125" s="20"/>
      <x:c r="K125" s="20"/>
    </x:row>
    <x:row r="126">
      <x:c r="A126" s="20"/>
      <x:c r="B126" s="20"/>
      <x:c r="C126" s="20"/>
      <x:c r="D126" s="20"/>
      <x:c r="E126" s="20"/>
      <x:c r="F126" s="26" t="str">
        <x:f>IF((D126+E126)=0,"",E126/(D126+E126))</x:f>
      </x:c>
      <x:c r="G126" s="20"/>
      <x:c r="H126" s="20"/>
      <x:c r="I126" s="20" t="str">
        <x:f>IF(F126="","",IF(AND(F126&lt;=0.1,G126=0),"Strong",IF(AND(F126&lt;=0.25,G126&lt;=1),"Moderate","Weak")))</x:f>
      </x:c>
      <x:c r="J126" s="20"/>
      <x:c r="K126" s="20"/>
    </x:row>
    <x:row r="127">
      <x:c r="A127" s="20"/>
      <x:c r="B127" s="20"/>
      <x:c r="C127" s="20"/>
      <x:c r="D127" s="20"/>
      <x:c r="E127" s="20"/>
      <x:c r="F127" s="26" t="str">
        <x:f>IF((D127+E127)=0,"",E127/(D127+E127))</x:f>
      </x:c>
      <x:c r="G127" s="20"/>
      <x:c r="H127" s="20"/>
      <x:c r="I127" s="20" t="str">
        <x:f>IF(F127="","",IF(AND(F127&lt;=0.1,G127=0),"Strong",IF(AND(F127&lt;=0.25,G127&lt;=1),"Moderate","Weak")))</x:f>
      </x:c>
      <x:c r="J127" s="20"/>
      <x:c r="K127" s="20"/>
    </x:row>
    <x:row r="128">
      <x:c r="A128" s="20"/>
      <x:c r="B128" s="20"/>
      <x:c r="C128" s="20"/>
      <x:c r="D128" s="20"/>
      <x:c r="E128" s="20"/>
      <x:c r="F128" s="26" t="str">
        <x:f>IF((D128+E128)=0,"",E128/(D128+E128))</x:f>
      </x:c>
      <x:c r="G128" s="20"/>
      <x:c r="H128" s="20"/>
      <x:c r="I128" s="20" t="str">
        <x:f>IF(F128="","",IF(AND(F128&lt;=0.1,G128=0),"Strong",IF(AND(F128&lt;=0.25,G128&lt;=1),"Moderate","Weak")))</x:f>
      </x:c>
      <x:c r="J128" s="20"/>
      <x:c r="K128" s="20"/>
    </x:row>
    <x:row r="129">
      <x:c r="A129" s="20"/>
      <x:c r="B129" s="20"/>
      <x:c r="C129" s="20"/>
      <x:c r="D129" s="20"/>
      <x:c r="E129" s="20"/>
      <x:c r="F129" s="26" t="str">
        <x:f>IF((D129+E129)=0,"",E129/(D129+E129))</x:f>
      </x:c>
      <x:c r="G129" s="20"/>
      <x:c r="H129" s="20"/>
      <x:c r="I129" s="20" t="str">
        <x:f>IF(F129="","",IF(AND(F129&lt;=0.1,G129=0),"Strong",IF(AND(F129&lt;=0.25,G129&lt;=1),"Moderate","Weak")))</x:f>
      </x:c>
      <x:c r="J129" s="20"/>
      <x:c r="K129" s="20"/>
    </x:row>
    <x:row r="130">
      <x:c r="A130" s="20"/>
      <x:c r="B130" s="20"/>
      <x:c r="C130" s="20"/>
      <x:c r="D130" s="20"/>
      <x:c r="E130" s="20"/>
      <x:c r="F130" s="26" t="str">
        <x:f>IF((D130+E130)=0,"",E130/(D130+E130))</x:f>
      </x:c>
      <x:c r="G130" s="20"/>
      <x:c r="H130" s="20"/>
      <x:c r="I130" s="20" t="str">
        <x:f>IF(F130="","",IF(AND(F130&lt;=0.1,G130=0),"Strong",IF(AND(F130&lt;=0.25,G130&lt;=1),"Moderate","Weak")))</x:f>
      </x:c>
      <x:c r="J130" s="20"/>
      <x:c r="K130" s="20"/>
    </x:row>
    <x:row r="131">
      <x:c r="A131" s="20"/>
      <x:c r="B131" s="20"/>
      <x:c r="C131" s="20"/>
      <x:c r="D131" s="20"/>
      <x:c r="E131" s="20"/>
      <x:c r="F131" s="26" t="str">
        <x:f>IF((D131+E131)=0,"",E131/(D131+E131))</x:f>
      </x:c>
      <x:c r="G131" s="20"/>
      <x:c r="H131" s="20"/>
      <x:c r="I131" s="20" t="str">
        <x:f>IF(F131="","",IF(AND(F131&lt;=0.1,G131=0),"Strong",IF(AND(F131&lt;=0.25,G131&lt;=1),"Moderate","Weak")))</x:f>
      </x:c>
      <x:c r="J131" s="20"/>
      <x:c r="K131" s="20"/>
    </x:row>
    <x:row r="132">
      <x:c r="A132" s="20"/>
      <x:c r="B132" s="20"/>
      <x:c r="C132" s="20"/>
      <x:c r="D132" s="20"/>
      <x:c r="E132" s="20"/>
      <x:c r="F132" s="26" t="str">
        <x:f>IF((D132+E132)=0,"",E132/(D132+E132))</x:f>
      </x:c>
      <x:c r="G132" s="20"/>
      <x:c r="H132" s="20"/>
      <x:c r="I132" s="20" t="str">
        <x:f>IF(F132="","",IF(AND(F132&lt;=0.1,G132=0),"Strong",IF(AND(F132&lt;=0.25,G132&lt;=1),"Moderate","Weak")))</x:f>
      </x:c>
      <x:c r="J132" s="20"/>
      <x:c r="K132" s="20"/>
    </x:row>
    <x:row r="133">
      <x:c r="A133" s="20"/>
      <x:c r="B133" s="20"/>
      <x:c r="C133" s="20"/>
      <x:c r="D133" s="20"/>
      <x:c r="E133" s="20"/>
      <x:c r="F133" s="26" t="str">
        <x:f>IF((D133+E133)=0,"",E133/(D133+E133))</x:f>
      </x:c>
      <x:c r="G133" s="20"/>
      <x:c r="H133" s="20"/>
      <x:c r="I133" s="20" t="str">
        <x:f>IF(F133="","",IF(AND(F133&lt;=0.1,G133=0),"Strong",IF(AND(F133&lt;=0.25,G133&lt;=1),"Moderate","Weak")))</x:f>
      </x:c>
      <x:c r="J133" s="20"/>
      <x:c r="K133" s="20"/>
    </x:row>
    <x:row r="134">
      <x:c r="A134" s="20"/>
      <x:c r="B134" s="20"/>
      <x:c r="C134" s="20"/>
      <x:c r="D134" s="20"/>
      <x:c r="E134" s="20"/>
      <x:c r="F134" s="26" t="str">
        <x:f>IF((D134+E134)=0,"",E134/(D134+E134))</x:f>
      </x:c>
      <x:c r="G134" s="20"/>
      <x:c r="H134" s="20"/>
      <x:c r="I134" s="20" t="str">
        <x:f>IF(F134="","",IF(AND(F134&lt;=0.1,G134=0),"Strong",IF(AND(F134&lt;=0.25,G134&lt;=1),"Moderate","Weak")))</x:f>
      </x:c>
      <x:c r="J134" s="20"/>
      <x:c r="K134" s="20"/>
    </x:row>
    <x:row r="135">
      <x:c r="A135" s="20"/>
      <x:c r="B135" s="20"/>
      <x:c r="C135" s="20"/>
      <x:c r="D135" s="20"/>
      <x:c r="E135" s="20"/>
      <x:c r="F135" s="26" t="str">
        <x:f>IF((D135+E135)=0,"",E135/(D135+E135))</x:f>
      </x:c>
      <x:c r="G135" s="20"/>
      <x:c r="H135" s="20"/>
      <x:c r="I135" s="20" t="str">
        <x:f>IF(F135="","",IF(AND(F135&lt;=0.1,G135=0),"Strong",IF(AND(F135&lt;=0.25,G135&lt;=1),"Moderate","Weak")))</x:f>
      </x:c>
      <x:c r="J135" s="20"/>
      <x:c r="K135" s="20"/>
    </x:row>
    <x:row r="136">
      <x:c r="A136" s="20"/>
      <x:c r="B136" s="20"/>
      <x:c r="C136" s="20"/>
      <x:c r="D136" s="20"/>
      <x:c r="E136" s="20"/>
      <x:c r="F136" s="26" t="str">
        <x:f>IF((D136+E136)=0,"",E136/(D136+E136))</x:f>
      </x:c>
      <x:c r="G136" s="20"/>
      <x:c r="H136" s="20"/>
      <x:c r="I136" s="20" t="str">
        <x:f>IF(F136="","",IF(AND(F136&lt;=0.1,G136=0),"Strong",IF(AND(F136&lt;=0.25,G136&lt;=1),"Moderate","Weak")))</x:f>
      </x:c>
      <x:c r="J136" s="20"/>
      <x:c r="K136" s="20"/>
    </x:row>
    <x:row r="137">
      <x:c r="A137" s="20"/>
      <x:c r="B137" s="20"/>
      <x:c r="C137" s="20"/>
      <x:c r="D137" s="20"/>
      <x:c r="E137" s="20"/>
      <x:c r="F137" s="26" t="str">
        <x:f>IF((D137+E137)=0,"",E137/(D137+E137))</x:f>
      </x:c>
      <x:c r="G137" s="20"/>
      <x:c r="H137" s="20"/>
      <x:c r="I137" s="20" t="str">
        <x:f>IF(F137="","",IF(AND(F137&lt;=0.1,G137=0),"Strong",IF(AND(F137&lt;=0.25,G137&lt;=1),"Moderate","Weak")))</x:f>
      </x:c>
      <x:c r="J137" s="20"/>
      <x:c r="K137" s="20"/>
    </x:row>
    <x:row r="138">
      <x:c r="A138" s="20"/>
      <x:c r="B138" s="20"/>
      <x:c r="C138" s="20"/>
      <x:c r="D138" s="20"/>
      <x:c r="E138" s="20"/>
      <x:c r="F138" s="26" t="str">
        <x:f>IF((D138+E138)=0,"",E138/(D138+E138))</x:f>
      </x:c>
      <x:c r="G138" s="20"/>
      <x:c r="H138" s="20"/>
      <x:c r="I138" s="20" t="str">
        <x:f>IF(F138="","",IF(AND(F138&lt;=0.1,G138=0),"Strong",IF(AND(F138&lt;=0.25,G138&lt;=1),"Moderate","Weak")))</x:f>
      </x:c>
      <x:c r="J138" s="20"/>
      <x:c r="K138" s="20"/>
    </x:row>
    <x:row r="139">
      <x:c r="A139" s="20"/>
      <x:c r="B139" s="20"/>
      <x:c r="C139" s="20"/>
      <x:c r="D139" s="20"/>
      <x:c r="E139" s="20"/>
      <x:c r="F139" s="26" t="str">
        <x:f>IF((D139+E139)=0,"",E139/(D139+E139))</x:f>
      </x:c>
      <x:c r="G139" s="20"/>
      <x:c r="H139" s="20"/>
      <x:c r="I139" s="20" t="str">
        <x:f>IF(F139="","",IF(AND(F139&lt;=0.1,G139=0),"Strong",IF(AND(F139&lt;=0.25,G139&lt;=1),"Moderate","Weak")))</x:f>
      </x:c>
      <x:c r="J139" s="20"/>
      <x:c r="K139" s="20"/>
    </x:row>
    <x:row r="140">
      <x:c r="A140" s="20"/>
      <x:c r="B140" s="20"/>
      <x:c r="C140" s="20"/>
      <x:c r="D140" s="20"/>
      <x:c r="E140" s="20"/>
      <x:c r="F140" s="26" t="str">
        <x:f>IF((D140+E140)=0,"",E140/(D140+E140))</x:f>
      </x:c>
      <x:c r="G140" s="20"/>
      <x:c r="H140" s="20"/>
      <x:c r="I140" s="20" t="str">
        <x:f>IF(F140="","",IF(AND(F140&lt;=0.1,G140=0),"Strong",IF(AND(F140&lt;=0.25,G140&lt;=1),"Moderate","Weak")))</x:f>
      </x:c>
      <x:c r="J140" s="20"/>
      <x:c r="K140" s="20"/>
    </x:row>
    <x:row r="141">
      <x:c r="A141" s="20"/>
      <x:c r="B141" s="20"/>
      <x:c r="C141" s="20"/>
      <x:c r="D141" s="20"/>
      <x:c r="E141" s="20"/>
      <x:c r="F141" s="26" t="str">
        <x:f>IF((D141+E141)=0,"",E141/(D141+E141))</x:f>
      </x:c>
      <x:c r="G141" s="20"/>
      <x:c r="H141" s="20"/>
      <x:c r="I141" s="20" t="str">
        <x:f>IF(F141="","",IF(AND(F141&lt;=0.1,G141=0),"Strong",IF(AND(F141&lt;=0.25,G141&lt;=1),"Moderate","Weak")))</x:f>
      </x:c>
      <x:c r="J141" s="20"/>
      <x:c r="K141" s="20"/>
    </x:row>
    <x:row r="142">
      <x:c r="A142" s="20"/>
      <x:c r="B142" s="20"/>
      <x:c r="C142" s="20"/>
      <x:c r="D142" s="20"/>
      <x:c r="E142" s="20"/>
      <x:c r="F142" s="26" t="str">
        <x:f>IF((D142+E142)=0,"",E142/(D142+E142))</x:f>
      </x:c>
      <x:c r="G142" s="20"/>
      <x:c r="H142" s="20"/>
      <x:c r="I142" s="20" t="str">
        <x:f>IF(F142="","",IF(AND(F142&lt;=0.1,G142=0),"Strong",IF(AND(F142&lt;=0.25,G142&lt;=1),"Moderate","Weak")))</x:f>
      </x:c>
      <x:c r="J142" s="20"/>
      <x:c r="K142" s="20"/>
    </x:row>
    <x:row r="143">
      <x:c r="A143" s="20"/>
      <x:c r="B143" s="20"/>
      <x:c r="C143" s="20"/>
      <x:c r="D143" s="20"/>
      <x:c r="E143" s="20"/>
      <x:c r="F143" s="26" t="str">
        <x:f>IF((D143+E143)=0,"",E143/(D143+E143))</x:f>
      </x:c>
      <x:c r="G143" s="20"/>
      <x:c r="H143" s="20"/>
      <x:c r="I143" s="20" t="str">
        <x:f>IF(F143="","",IF(AND(F143&lt;=0.1,G143=0),"Strong",IF(AND(F143&lt;=0.25,G143&lt;=1),"Moderate","Weak")))</x:f>
      </x:c>
      <x:c r="J143" s="20"/>
      <x:c r="K143" s="20"/>
    </x:row>
    <x:row r="144">
      <x:c r="A144" s="20"/>
      <x:c r="B144" s="20"/>
      <x:c r="C144" s="20"/>
      <x:c r="D144" s="20"/>
      <x:c r="E144" s="20"/>
      <x:c r="F144" s="26" t="str">
        <x:f>IF((D144+E144)=0,"",E144/(D144+E144))</x:f>
      </x:c>
      <x:c r="G144" s="20"/>
      <x:c r="H144" s="20"/>
      <x:c r="I144" s="20" t="str">
        <x:f>IF(F144="","",IF(AND(F144&lt;=0.1,G144=0),"Strong",IF(AND(F144&lt;=0.25,G144&lt;=1),"Moderate","Weak")))</x:f>
      </x:c>
      <x:c r="J144" s="20"/>
      <x:c r="K144" s="20"/>
    </x:row>
    <x:row r="145">
      <x:c r="A145" s="20"/>
      <x:c r="B145" s="20"/>
      <x:c r="C145" s="20"/>
      <x:c r="D145" s="20"/>
      <x:c r="E145" s="20"/>
      <x:c r="F145" s="26" t="str">
        <x:f>IF((D145+E145)=0,"",E145/(D145+E145))</x:f>
      </x:c>
      <x:c r="G145" s="20"/>
      <x:c r="H145" s="20"/>
      <x:c r="I145" s="20" t="str">
        <x:f>IF(F145="","",IF(AND(F145&lt;=0.1,G145=0),"Strong",IF(AND(F145&lt;=0.25,G145&lt;=1),"Moderate","Weak")))</x:f>
      </x:c>
      <x:c r="J145" s="20"/>
      <x:c r="K145" s="20"/>
    </x:row>
    <x:row r="146">
      <x:c r="A146" s="20"/>
      <x:c r="B146" s="20"/>
      <x:c r="C146" s="20"/>
      <x:c r="D146" s="20"/>
      <x:c r="E146" s="20"/>
      <x:c r="F146" s="26" t="str">
        <x:f>IF((D146+E146)=0,"",E146/(D146+E146))</x:f>
      </x:c>
      <x:c r="G146" s="20"/>
      <x:c r="H146" s="20"/>
      <x:c r="I146" s="20" t="str">
        <x:f>IF(F146="","",IF(AND(F146&lt;=0.1,G146=0),"Strong",IF(AND(F146&lt;=0.25,G146&lt;=1),"Moderate","Weak")))</x:f>
      </x:c>
      <x:c r="J146" s="20"/>
      <x:c r="K146" s="20"/>
    </x:row>
    <x:row r="147">
      <x:c r="A147" s="20"/>
      <x:c r="B147" s="20"/>
      <x:c r="C147" s="20"/>
      <x:c r="D147" s="20"/>
      <x:c r="E147" s="20"/>
      <x:c r="F147" s="26" t="str">
        <x:f>IF((D147+E147)=0,"",E147/(D147+E147))</x:f>
      </x:c>
      <x:c r="G147" s="20"/>
      <x:c r="H147" s="20"/>
      <x:c r="I147" s="20" t="str">
        <x:f>IF(F147="","",IF(AND(F147&lt;=0.1,G147=0),"Strong",IF(AND(F147&lt;=0.25,G147&lt;=1),"Moderate","Weak")))</x:f>
      </x:c>
      <x:c r="J147" s="20"/>
      <x:c r="K147" s="20"/>
    </x:row>
    <x:row r="148">
      <x:c r="A148" s="20"/>
      <x:c r="B148" s="20"/>
      <x:c r="C148" s="20"/>
      <x:c r="D148" s="20"/>
      <x:c r="E148" s="20"/>
      <x:c r="F148" s="26" t="str">
        <x:f>IF((D148+E148)=0,"",E148/(D148+E148))</x:f>
      </x:c>
      <x:c r="G148" s="20"/>
      <x:c r="H148" s="20"/>
      <x:c r="I148" s="20" t="str">
        <x:f>IF(F148="","",IF(AND(F148&lt;=0.1,G148=0),"Strong",IF(AND(F148&lt;=0.25,G148&lt;=1),"Moderate","Weak")))</x:f>
      </x:c>
      <x:c r="J148" s="20"/>
      <x:c r="K148" s="20"/>
    </x:row>
    <x:row r="149">
      <x:c r="A149" s="20"/>
      <x:c r="B149" s="20"/>
      <x:c r="C149" s="20"/>
      <x:c r="D149" s="20"/>
      <x:c r="E149" s="20"/>
      <x:c r="F149" s="26" t="str">
        <x:f>IF((D149+E149)=0,"",E149/(D149+E149))</x:f>
      </x:c>
      <x:c r="G149" s="20"/>
      <x:c r="H149" s="20"/>
      <x:c r="I149" s="20" t="str">
        <x:f>IF(F149="","",IF(AND(F149&lt;=0.1,G149=0),"Strong",IF(AND(F149&lt;=0.25,G149&lt;=1),"Moderate","Weak")))</x:f>
      </x:c>
      <x:c r="J149" s="20"/>
      <x:c r="K149" s="20"/>
    </x:row>
    <x:row r="150">
      <x:c r="A150" s="20"/>
      <x:c r="B150" s="20"/>
      <x:c r="C150" s="20"/>
      <x:c r="D150" s="20"/>
      <x:c r="E150" s="20"/>
      <x:c r="F150" s="26" t="str">
        <x:f>IF((D150+E150)=0,"",E150/(D150+E150))</x:f>
      </x:c>
      <x:c r="G150" s="20"/>
      <x:c r="H150" s="20"/>
      <x:c r="I150" s="20" t="str">
        <x:f>IF(F150="","",IF(AND(F150&lt;=0.1,G150=0),"Strong",IF(AND(F150&lt;=0.25,G150&lt;=1),"Moderate","Weak")))</x:f>
      </x:c>
      <x:c r="J150" s="20"/>
      <x:c r="K150" s="20"/>
    </x:row>
    <x:row r="151">
      <x:c r="A151" s="20"/>
      <x:c r="B151" s="20"/>
      <x:c r="C151" s="20"/>
      <x:c r="D151" s="20"/>
      <x:c r="E151" s="20"/>
      <x:c r="F151" s="26" t="str">
        <x:f>IF((D151+E151)=0,"",E151/(D151+E151))</x:f>
      </x:c>
      <x:c r="G151" s="20"/>
      <x:c r="H151" s="20"/>
      <x:c r="I151" s="20" t="str">
        <x:f>IF(F151="","",IF(AND(F151&lt;=0.1,G151=0),"Strong",IF(AND(F151&lt;=0.25,G151&lt;=1),"Moderate","Weak")))</x:f>
      </x:c>
      <x:c r="J151" s="20"/>
      <x:c r="K151" s="20"/>
    </x:row>
    <x:row r="152">
      <x:c r="A152" s="20"/>
      <x:c r="B152" s="20"/>
      <x:c r="C152" s="20"/>
      <x:c r="D152" s="20"/>
      <x:c r="E152" s="20"/>
      <x:c r="F152" s="26" t="str">
        <x:f>IF((D152+E152)=0,"",E152/(D152+E152))</x:f>
      </x:c>
      <x:c r="G152" s="20"/>
      <x:c r="H152" s="20"/>
      <x:c r="I152" s="20" t="str">
        <x:f>IF(F152="","",IF(AND(F152&lt;=0.1,G152=0),"Strong",IF(AND(F152&lt;=0.25,G152&lt;=1),"Moderate","Weak")))</x:f>
      </x:c>
      <x:c r="J152" s="20"/>
      <x:c r="K152" s="20"/>
    </x:row>
    <x:row r="153">
      <x:c r="A153" s="20"/>
      <x:c r="B153" s="20"/>
      <x:c r="C153" s="20"/>
      <x:c r="D153" s="20"/>
      <x:c r="E153" s="20"/>
      <x:c r="F153" s="26" t="str">
        <x:f>IF((D153+E153)=0,"",E153/(D153+E153))</x:f>
      </x:c>
      <x:c r="G153" s="20"/>
      <x:c r="H153" s="20"/>
      <x:c r="I153" s="20" t="str">
        <x:f>IF(F153="","",IF(AND(F153&lt;=0.1,G153=0),"Strong",IF(AND(F153&lt;=0.25,G153&lt;=1),"Moderate","Weak")))</x:f>
      </x:c>
      <x:c r="J153" s="20"/>
      <x:c r="K153" s="20"/>
    </x:row>
    <x:row r="154">
      <x:c r="A154" s="20"/>
      <x:c r="B154" s="20"/>
      <x:c r="C154" s="20"/>
      <x:c r="D154" s="20"/>
      <x:c r="E154" s="20"/>
      <x:c r="F154" s="26" t="str">
        <x:f>IF((D154+E154)=0,"",E154/(D154+E154))</x:f>
      </x:c>
      <x:c r="G154" s="20"/>
      <x:c r="H154" s="20"/>
      <x:c r="I154" s="20" t="str">
        <x:f>IF(F154="","",IF(AND(F154&lt;=0.1,G154=0),"Strong",IF(AND(F154&lt;=0.25,G154&lt;=1),"Moderate","Weak")))</x:f>
      </x:c>
      <x:c r="J154" s="20"/>
      <x:c r="K154" s="20"/>
    </x:row>
    <x:row r="155">
      <x:c r="A155" s="20"/>
      <x:c r="B155" s="20"/>
      <x:c r="C155" s="20"/>
      <x:c r="D155" s="20"/>
      <x:c r="E155" s="20"/>
      <x:c r="F155" s="26" t="str">
        <x:f>IF((D155+E155)=0,"",E155/(D155+E155))</x:f>
      </x:c>
      <x:c r="G155" s="20"/>
      <x:c r="H155" s="20"/>
      <x:c r="I155" s="20" t="str">
        <x:f>IF(F155="","",IF(AND(F155&lt;=0.1,G155=0),"Strong",IF(AND(F155&lt;=0.25,G155&lt;=1),"Moderate","Weak")))</x:f>
      </x:c>
      <x:c r="J155" s="20"/>
      <x:c r="K155" s="20"/>
    </x:row>
    <x:row r="156">
      <x:c r="A156" s="20"/>
      <x:c r="B156" s="20"/>
      <x:c r="C156" s="20"/>
      <x:c r="D156" s="20"/>
      <x:c r="E156" s="20"/>
      <x:c r="F156" s="26" t="str">
        <x:f>IF((D156+E156)=0,"",E156/(D156+E156))</x:f>
      </x:c>
      <x:c r="G156" s="20"/>
      <x:c r="H156" s="20"/>
      <x:c r="I156" s="20" t="str">
        <x:f>IF(F156="","",IF(AND(F156&lt;=0.1,G156=0),"Strong",IF(AND(F156&lt;=0.25,G156&lt;=1),"Moderate","Weak")))</x:f>
      </x:c>
      <x:c r="J156" s="20"/>
      <x:c r="K156" s="20"/>
    </x:row>
    <x:row r="157">
      <x:c r="A157" s="20"/>
      <x:c r="B157" s="20"/>
      <x:c r="C157" s="20"/>
      <x:c r="D157" s="20"/>
      <x:c r="E157" s="20"/>
      <x:c r="F157" s="26" t="str">
        <x:f>IF((D157+E157)=0,"",E157/(D157+E157))</x:f>
      </x:c>
      <x:c r="G157" s="20"/>
      <x:c r="H157" s="20"/>
      <x:c r="I157" s="20" t="str">
        <x:f>IF(F157="","",IF(AND(F157&lt;=0.1,G157=0),"Strong",IF(AND(F157&lt;=0.25,G157&lt;=1),"Moderate","Weak")))</x:f>
      </x:c>
      <x:c r="J157" s="20"/>
      <x:c r="K157" s="20"/>
    </x:row>
    <x:row r="158">
      <x:c r="A158" s="20"/>
      <x:c r="B158" s="20"/>
      <x:c r="C158" s="20"/>
      <x:c r="D158" s="20"/>
      <x:c r="E158" s="20"/>
      <x:c r="F158" s="26" t="str">
        <x:f>IF((D158+E158)=0,"",E158/(D158+E158))</x:f>
      </x:c>
      <x:c r="G158" s="20"/>
      <x:c r="H158" s="20"/>
      <x:c r="I158" s="20" t="str">
        <x:f>IF(F158="","",IF(AND(F158&lt;=0.1,G158=0),"Strong",IF(AND(F158&lt;=0.25,G158&lt;=1),"Moderate","Weak")))</x:f>
      </x:c>
      <x:c r="J158" s="20"/>
      <x:c r="K158" s="20"/>
    </x:row>
    <x:row r="159">
      <x:c r="A159" s="20"/>
      <x:c r="B159" s="20"/>
      <x:c r="C159" s="20"/>
      <x:c r="D159" s="20"/>
      <x:c r="E159" s="20"/>
      <x:c r="F159" s="26" t="str">
        <x:f>IF((D159+E159)=0,"",E159/(D159+E159))</x:f>
      </x:c>
      <x:c r="G159" s="20"/>
      <x:c r="H159" s="20"/>
      <x:c r="I159" s="20" t="str">
        <x:f>IF(F159="","",IF(AND(F159&lt;=0.1,G159=0),"Strong",IF(AND(F159&lt;=0.25,G159&lt;=1),"Moderate","Weak")))</x:f>
      </x:c>
      <x:c r="J159" s="20"/>
      <x:c r="K159" s="20"/>
    </x:row>
    <x:row r="160">
      <x:c r="A160" s="20"/>
      <x:c r="B160" s="20"/>
      <x:c r="C160" s="20"/>
      <x:c r="D160" s="20"/>
      <x:c r="E160" s="20"/>
      <x:c r="F160" s="26" t="str">
        <x:f>IF((D160+E160)=0,"",E160/(D160+E160))</x:f>
      </x:c>
      <x:c r="G160" s="20"/>
      <x:c r="H160" s="20"/>
      <x:c r="I160" s="20" t="str">
        <x:f>IF(F160="","",IF(AND(F160&lt;=0.1,G160=0),"Strong",IF(AND(F160&lt;=0.25,G160&lt;=1),"Moderate","Weak")))</x:f>
      </x:c>
      <x:c r="J160" s="20"/>
      <x:c r="K160" s="20"/>
    </x:row>
    <x:row r="161">
      <x:c r="A161" s="20"/>
      <x:c r="B161" s="20"/>
      <x:c r="C161" s="20"/>
      <x:c r="D161" s="20"/>
      <x:c r="E161" s="20"/>
      <x:c r="F161" s="26" t="str">
        <x:f>IF((D161+E161)=0,"",E161/(D161+E161))</x:f>
      </x:c>
      <x:c r="G161" s="20"/>
      <x:c r="H161" s="20"/>
      <x:c r="I161" s="20" t="str">
        <x:f>IF(F161="","",IF(AND(F161&lt;=0.1,G161=0),"Strong",IF(AND(F161&lt;=0.25,G161&lt;=1),"Moderate","Weak")))</x:f>
      </x:c>
      <x:c r="J161" s="20"/>
      <x:c r="K161" s="20"/>
    </x:row>
    <x:row r="162">
      <x:c r="A162" s="20"/>
      <x:c r="B162" s="20"/>
      <x:c r="C162" s="20"/>
      <x:c r="D162" s="20"/>
      <x:c r="E162" s="20"/>
      <x:c r="F162" s="26" t="str">
        <x:f>IF((D162+E162)=0,"",E162/(D162+E162))</x:f>
      </x:c>
      <x:c r="G162" s="20"/>
      <x:c r="H162" s="20"/>
      <x:c r="I162" s="20" t="str">
        <x:f>IF(F162="","",IF(AND(F162&lt;=0.1,G162=0),"Strong",IF(AND(F162&lt;=0.25,G162&lt;=1),"Moderate","Weak")))</x:f>
      </x:c>
      <x:c r="J162" s="20"/>
      <x:c r="K162" s="20"/>
    </x:row>
    <x:row r="163">
      <x:c r="A163" s="20"/>
      <x:c r="B163" s="20"/>
      <x:c r="C163" s="20"/>
      <x:c r="D163" s="20"/>
      <x:c r="E163" s="20"/>
      <x:c r="F163" s="26" t="str">
        <x:f>IF((D163+E163)=0,"",E163/(D163+E163))</x:f>
      </x:c>
      <x:c r="G163" s="20"/>
      <x:c r="H163" s="20"/>
      <x:c r="I163" s="20" t="str">
        <x:f>IF(F163="","",IF(AND(F163&lt;=0.1,G163=0),"Strong",IF(AND(F163&lt;=0.25,G163&lt;=1),"Moderate","Weak")))</x:f>
      </x:c>
      <x:c r="J163" s="20"/>
      <x:c r="K163" s="20"/>
    </x:row>
    <x:row r="164">
      <x:c r="A164" s="20"/>
      <x:c r="B164" s="20"/>
      <x:c r="C164" s="20"/>
      <x:c r="D164" s="20"/>
      <x:c r="E164" s="20"/>
      <x:c r="F164" s="26" t="str">
        <x:f>IF((D164+E164)=0,"",E164/(D164+E164))</x:f>
      </x:c>
      <x:c r="G164" s="20"/>
      <x:c r="H164" s="20"/>
      <x:c r="I164" s="20" t="str">
        <x:f>IF(F164="","",IF(AND(F164&lt;=0.1,G164=0),"Strong",IF(AND(F164&lt;=0.25,G164&lt;=1),"Moderate","Weak")))</x:f>
      </x:c>
      <x:c r="J164" s="20"/>
      <x:c r="K164" s="20"/>
    </x:row>
    <x:row r="165">
      <x:c r="A165" s="20"/>
      <x:c r="B165" s="20"/>
      <x:c r="C165" s="20"/>
      <x:c r="D165" s="20"/>
      <x:c r="E165" s="20"/>
      <x:c r="F165" s="26" t="str">
        <x:f>IF((D165+E165)=0,"",E165/(D165+E165))</x:f>
      </x:c>
      <x:c r="G165" s="20"/>
      <x:c r="H165" s="20"/>
      <x:c r="I165" s="20" t="str">
        <x:f>IF(F165="","",IF(AND(F165&lt;=0.1,G165=0),"Strong",IF(AND(F165&lt;=0.25,G165&lt;=1),"Moderate","Weak")))</x:f>
      </x:c>
      <x:c r="J165" s="20"/>
      <x:c r="K165" s="20"/>
    </x:row>
    <x:row r="166">
      <x:c r="A166" s="20"/>
      <x:c r="B166" s="20"/>
      <x:c r="C166" s="20"/>
      <x:c r="D166" s="20"/>
      <x:c r="E166" s="20"/>
      <x:c r="F166" s="26" t="str">
        <x:f>IF((D166+E166)=0,"",E166/(D166+E166))</x:f>
      </x:c>
      <x:c r="G166" s="20"/>
      <x:c r="H166" s="20"/>
      <x:c r="I166" s="20" t="str">
        <x:f>IF(F166="","",IF(AND(F166&lt;=0.1,G166=0),"Strong",IF(AND(F166&lt;=0.25,G166&lt;=1),"Moderate","Weak")))</x:f>
      </x:c>
      <x:c r="J166" s="20"/>
      <x:c r="K166" s="20"/>
    </x:row>
    <x:row r="167">
      <x:c r="A167" s="20"/>
      <x:c r="B167" s="20"/>
      <x:c r="C167" s="20"/>
      <x:c r="D167" s="20"/>
      <x:c r="E167" s="20"/>
      <x:c r="F167" s="26" t="str">
        <x:f>IF((D167+E167)=0,"",E167/(D167+E167))</x:f>
      </x:c>
      <x:c r="G167" s="20"/>
      <x:c r="H167" s="20"/>
      <x:c r="I167" s="20" t="str">
        <x:f>IF(F167="","",IF(AND(F167&lt;=0.1,G167=0),"Strong",IF(AND(F167&lt;=0.25,G167&lt;=1),"Moderate","Weak")))</x:f>
      </x:c>
      <x:c r="J167" s="20"/>
      <x:c r="K167" s="20"/>
    </x:row>
    <x:row r="168">
      <x:c r="A168" s="20"/>
      <x:c r="B168" s="20"/>
      <x:c r="C168" s="20"/>
      <x:c r="D168" s="20"/>
      <x:c r="E168" s="20"/>
      <x:c r="F168" s="26" t="str">
        <x:f>IF((D168+E168)=0,"",E168/(D168+E168))</x:f>
      </x:c>
      <x:c r="G168" s="20"/>
      <x:c r="H168" s="20"/>
      <x:c r="I168" s="20" t="str">
        <x:f>IF(F168="","",IF(AND(F168&lt;=0.1,G168=0),"Strong",IF(AND(F168&lt;=0.25,G168&lt;=1),"Moderate","Weak")))</x:f>
      </x:c>
      <x:c r="J168" s="20"/>
      <x:c r="K168" s="20"/>
    </x:row>
    <x:row r="169">
      <x:c r="A169" s="20"/>
      <x:c r="B169" s="20"/>
      <x:c r="C169" s="20"/>
      <x:c r="D169" s="20"/>
      <x:c r="E169" s="20"/>
      <x:c r="F169" s="26" t="str">
        <x:f>IF((D169+E169)=0,"",E169/(D169+E169))</x:f>
      </x:c>
      <x:c r="G169" s="20"/>
      <x:c r="H169" s="20"/>
      <x:c r="I169" s="20" t="str">
        <x:f>IF(F169="","",IF(AND(F169&lt;=0.1,G169=0),"Strong",IF(AND(F169&lt;=0.25,G169&lt;=1),"Moderate","Weak")))</x:f>
      </x:c>
      <x:c r="J169" s="20"/>
      <x:c r="K169" s="20"/>
    </x:row>
    <x:row r="170">
      <x:c r="A170" s="20"/>
      <x:c r="B170" s="20"/>
      <x:c r="C170" s="20"/>
      <x:c r="D170" s="20"/>
      <x:c r="E170" s="20"/>
      <x:c r="F170" s="26" t="str">
        <x:f>IF((D170+E170)=0,"",E170/(D170+E170))</x:f>
      </x:c>
      <x:c r="G170" s="20"/>
      <x:c r="H170" s="20"/>
      <x:c r="I170" s="20" t="str">
        <x:f>IF(F170="","",IF(AND(F170&lt;=0.1,G170=0),"Strong",IF(AND(F170&lt;=0.25,G170&lt;=1),"Moderate","Weak")))</x:f>
      </x:c>
      <x:c r="J170" s="20"/>
      <x:c r="K170" s="20"/>
    </x:row>
    <x:row r="171">
      <x:c r="A171" s="20"/>
      <x:c r="B171" s="20"/>
      <x:c r="C171" s="20"/>
      <x:c r="D171" s="20"/>
      <x:c r="E171" s="20"/>
      <x:c r="F171" s="26" t="str">
        <x:f>IF((D171+E171)=0,"",E171/(D171+E171))</x:f>
      </x:c>
      <x:c r="G171" s="20"/>
      <x:c r="H171" s="20"/>
      <x:c r="I171" s="20" t="str">
        <x:f>IF(F171="","",IF(AND(F171&lt;=0.1,G171=0),"Strong",IF(AND(F171&lt;=0.25,G171&lt;=1),"Moderate","Weak")))</x:f>
      </x:c>
      <x:c r="J171" s="20"/>
      <x:c r="K171" s="20"/>
    </x:row>
    <x:row r="172">
      <x:c r="A172" s="20"/>
      <x:c r="B172" s="20"/>
      <x:c r="C172" s="20"/>
      <x:c r="D172" s="20"/>
      <x:c r="E172" s="20"/>
      <x:c r="F172" s="26" t="str">
        <x:f>IF((D172+E172)=0,"",E172/(D172+E172))</x:f>
      </x:c>
      <x:c r="G172" s="20"/>
      <x:c r="H172" s="20"/>
      <x:c r="I172" s="20" t="str">
        <x:f>IF(F172="","",IF(AND(F172&lt;=0.1,G172=0),"Strong",IF(AND(F172&lt;=0.25,G172&lt;=1),"Moderate","Weak")))</x:f>
      </x:c>
      <x:c r="J172" s="20"/>
      <x:c r="K172" s="20"/>
    </x:row>
    <x:row r="173">
      <x:c r="A173" s="20"/>
      <x:c r="B173" s="20"/>
      <x:c r="C173" s="20"/>
      <x:c r="D173" s="20"/>
      <x:c r="E173" s="20"/>
      <x:c r="F173" s="26" t="str">
        <x:f>IF((D173+E173)=0,"",E173/(D173+E173))</x:f>
      </x:c>
      <x:c r="G173" s="20"/>
      <x:c r="H173" s="20"/>
      <x:c r="I173" s="20" t="str">
        <x:f>IF(F173="","",IF(AND(F173&lt;=0.1,G173=0),"Strong",IF(AND(F173&lt;=0.25,G173&lt;=1),"Moderate","Weak")))</x:f>
      </x:c>
      <x:c r="J173" s="20"/>
      <x:c r="K173" s="20"/>
    </x:row>
    <x:row r="174">
      <x:c r="A174" s="20"/>
      <x:c r="B174" s="20"/>
      <x:c r="C174" s="20"/>
      <x:c r="D174" s="20"/>
      <x:c r="E174" s="20"/>
      <x:c r="F174" s="26" t="str">
        <x:f>IF((D174+E174)=0,"",E174/(D174+E174))</x:f>
      </x:c>
      <x:c r="G174" s="20"/>
      <x:c r="H174" s="20"/>
      <x:c r="I174" s="20" t="str">
        <x:f>IF(F174="","",IF(AND(F174&lt;=0.1,G174=0),"Strong",IF(AND(F174&lt;=0.25,G174&lt;=1),"Moderate","Weak")))</x:f>
      </x:c>
      <x:c r="J174" s="20"/>
      <x:c r="K174" s="20"/>
    </x:row>
    <x:row r="175">
      <x:c r="A175" s="20"/>
      <x:c r="B175" s="20"/>
      <x:c r="C175" s="20"/>
      <x:c r="D175" s="20"/>
      <x:c r="E175" s="20"/>
      <x:c r="F175" s="26" t="str">
        <x:f>IF((D175+E175)=0,"",E175/(D175+E175))</x:f>
      </x:c>
      <x:c r="G175" s="20"/>
      <x:c r="H175" s="20"/>
      <x:c r="I175" s="20" t="str">
        <x:f>IF(F175="","",IF(AND(F175&lt;=0.1,G175=0),"Strong",IF(AND(F175&lt;=0.25,G175&lt;=1),"Moderate","Weak")))</x:f>
      </x:c>
      <x:c r="J175" s="20"/>
      <x:c r="K175" s="20"/>
    </x:row>
    <x:row r="176">
      <x:c r="A176" s="20"/>
      <x:c r="B176" s="20"/>
      <x:c r="C176" s="20"/>
      <x:c r="D176" s="20"/>
      <x:c r="E176" s="20"/>
      <x:c r="F176" s="26" t="str">
        <x:f>IF((D176+E176)=0,"",E176/(D176+E176))</x:f>
      </x:c>
      <x:c r="G176" s="20"/>
      <x:c r="H176" s="20"/>
      <x:c r="I176" s="20" t="str">
        <x:f>IF(F176="","",IF(AND(F176&lt;=0.1,G176=0),"Strong",IF(AND(F176&lt;=0.25,G176&lt;=1),"Moderate","Weak")))</x:f>
      </x:c>
      <x:c r="J176" s="20"/>
      <x:c r="K176" s="20"/>
    </x:row>
    <x:row r="177">
      <x:c r="A177" s="20"/>
      <x:c r="B177" s="20"/>
      <x:c r="C177" s="20"/>
      <x:c r="D177" s="20"/>
      <x:c r="E177" s="20"/>
      <x:c r="F177" s="26" t="str">
        <x:f>IF((D177+E177)=0,"",E177/(D177+E177))</x:f>
      </x:c>
      <x:c r="G177" s="20"/>
      <x:c r="H177" s="20"/>
      <x:c r="I177" s="20" t="str">
        <x:f>IF(F177="","",IF(AND(F177&lt;=0.1,G177=0),"Strong",IF(AND(F177&lt;=0.25,G177&lt;=1),"Moderate","Weak")))</x:f>
      </x:c>
      <x:c r="J177" s="20"/>
      <x:c r="K177" s="20"/>
    </x:row>
    <x:row r="178">
      <x:c r="A178" s="20"/>
      <x:c r="B178" s="20"/>
      <x:c r="C178" s="20"/>
      <x:c r="D178" s="20"/>
      <x:c r="E178" s="20"/>
      <x:c r="F178" s="26" t="str">
        <x:f>IF((D178+E178)=0,"",E178/(D178+E178))</x:f>
      </x:c>
      <x:c r="G178" s="20"/>
      <x:c r="H178" s="20"/>
      <x:c r="I178" s="20" t="str">
        <x:f>IF(F178="","",IF(AND(F178&lt;=0.1,G178=0),"Strong",IF(AND(F178&lt;=0.25,G178&lt;=1),"Moderate","Weak")))</x:f>
      </x:c>
      <x:c r="J178" s="20"/>
      <x:c r="K178" s="20"/>
    </x:row>
    <x:row r="179">
      <x:c r="A179" s="20"/>
      <x:c r="B179" s="20"/>
      <x:c r="C179" s="20"/>
      <x:c r="D179" s="20"/>
      <x:c r="E179" s="20"/>
      <x:c r="F179" s="26" t="str">
        <x:f>IF((D179+E179)=0,"",E179/(D179+E179))</x:f>
      </x:c>
      <x:c r="G179" s="20"/>
      <x:c r="H179" s="20"/>
      <x:c r="I179" s="20" t="str">
        <x:f>IF(F179="","",IF(AND(F179&lt;=0.1,G179=0),"Strong",IF(AND(F179&lt;=0.25,G179&lt;=1),"Moderate","Weak")))</x:f>
      </x:c>
      <x:c r="J179" s="20"/>
      <x:c r="K179" s="20"/>
    </x:row>
    <x:row r="180">
      <x:c r="A180" s="20"/>
      <x:c r="B180" s="20"/>
      <x:c r="C180" s="20"/>
      <x:c r="D180" s="20"/>
      <x:c r="E180" s="20"/>
      <x:c r="F180" s="26" t="str">
        <x:f>IF((D180+E180)=0,"",E180/(D180+E180))</x:f>
      </x:c>
      <x:c r="G180" s="20"/>
      <x:c r="H180" s="20"/>
      <x:c r="I180" s="20" t="str">
        <x:f>IF(F180="","",IF(AND(F180&lt;=0.1,G180=0),"Strong",IF(AND(F180&lt;=0.25,G180&lt;=1),"Moderate","Weak")))</x:f>
      </x:c>
      <x:c r="J180" s="20"/>
      <x:c r="K180" s="20"/>
    </x:row>
    <x:row r="181">
      <x:c r="A181" s="20"/>
      <x:c r="B181" s="20"/>
      <x:c r="C181" s="20"/>
      <x:c r="D181" s="20"/>
      <x:c r="E181" s="20"/>
      <x:c r="F181" s="26" t="str">
        <x:f>IF((D181+E181)=0,"",E181/(D181+E181))</x:f>
      </x:c>
      <x:c r="G181" s="20"/>
      <x:c r="H181" s="20"/>
      <x:c r="I181" s="20" t="str">
        <x:f>IF(F181="","",IF(AND(F181&lt;=0.1,G181=0),"Strong",IF(AND(F181&lt;=0.25,G181&lt;=1),"Moderate","Weak")))</x:f>
      </x:c>
      <x:c r="J181" s="20"/>
      <x:c r="K181" s="20"/>
    </x:row>
    <x:row r="182">
      <x:c r="A182" s="20"/>
      <x:c r="B182" s="20"/>
      <x:c r="C182" s="20"/>
      <x:c r="D182" s="20"/>
      <x:c r="E182" s="20"/>
      <x:c r="F182" s="26" t="str">
        <x:f>IF((D182+E182)=0,"",E182/(D182+E182))</x:f>
      </x:c>
      <x:c r="G182" s="20"/>
      <x:c r="H182" s="20"/>
      <x:c r="I182" s="20" t="str">
        <x:f>IF(F182="","",IF(AND(F182&lt;=0.1,G182=0),"Strong",IF(AND(F182&lt;=0.25,G182&lt;=1),"Moderate","Weak")))</x:f>
      </x:c>
      <x:c r="J182" s="20"/>
      <x:c r="K182" s="20"/>
    </x:row>
    <x:row r="183">
      <x:c r="A183" s="20"/>
      <x:c r="B183" s="20"/>
      <x:c r="C183" s="20"/>
      <x:c r="D183" s="20"/>
      <x:c r="E183" s="20"/>
      <x:c r="F183" s="26" t="str">
        <x:f>IF((D183+E183)=0,"",E183/(D183+E183))</x:f>
      </x:c>
      <x:c r="G183" s="20"/>
      <x:c r="H183" s="20"/>
      <x:c r="I183" s="20" t="str">
        <x:f>IF(F183="","",IF(AND(F183&lt;=0.1,G183=0),"Strong",IF(AND(F183&lt;=0.25,G183&lt;=1),"Moderate","Weak")))</x:f>
      </x:c>
      <x:c r="J183" s="20"/>
      <x:c r="K183" s="20"/>
    </x:row>
    <x:row r="184">
      <x:c r="A184" s="20"/>
      <x:c r="B184" s="20"/>
      <x:c r="C184" s="20"/>
      <x:c r="D184" s="20"/>
      <x:c r="E184" s="20"/>
      <x:c r="F184" s="26" t="str">
        <x:f>IF((D184+E184)=0,"",E184/(D184+E184))</x:f>
      </x:c>
      <x:c r="G184" s="20"/>
      <x:c r="H184" s="20"/>
      <x:c r="I184" s="20" t="str">
        <x:f>IF(F184="","",IF(AND(F184&lt;=0.1,G184=0),"Strong",IF(AND(F184&lt;=0.25,G184&lt;=1),"Moderate","Weak")))</x:f>
      </x:c>
      <x:c r="J184" s="20"/>
      <x:c r="K184" s="20"/>
    </x:row>
    <x:row r="185">
      <x:c r="A185" s="20"/>
      <x:c r="B185" s="20"/>
      <x:c r="C185" s="20"/>
      <x:c r="D185" s="20"/>
      <x:c r="E185" s="20"/>
      <x:c r="F185" s="26" t="str">
        <x:f>IF((D185+E185)=0,"",E185/(D185+E185))</x:f>
      </x:c>
      <x:c r="G185" s="20"/>
      <x:c r="H185" s="20"/>
      <x:c r="I185" s="20" t="str">
        <x:f>IF(F185="","",IF(AND(F185&lt;=0.1,G185=0),"Strong",IF(AND(F185&lt;=0.25,G185&lt;=1),"Moderate","Weak")))</x:f>
      </x:c>
      <x:c r="J185" s="20"/>
      <x:c r="K185" s="20"/>
    </x:row>
    <x:row r="186">
      <x:c r="A186" s="20"/>
      <x:c r="B186" s="20"/>
      <x:c r="C186" s="20"/>
      <x:c r="D186" s="20"/>
      <x:c r="E186" s="20"/>
      <x:c r="F186" s="26" t="str">
        <x:f>IF((D186+E186)=0,"",E186/(D186+E186))</x:f>
      </x:c>
      <x:c r="G186" s="20"/>
      <x:c r="H186" s="20"/>
      <x:c r="I186" s="20" t="str">
        <x:f>IF(F186="","",IF(AND(F186&lt;=0.1,G186=0),"Strong",IF(AND(F186&lt;=0.25,G186&lt;=1),"Moderate","Weak")))</x:f>
      </x:c>
      <x:c r="J186" s="20"/>
      <x:c r="K186" s="20"/>
    </x:row>
    <x:row r="187">
      <x:c r="A187" s="20"/>
      <x:c r="B187" s="20"/>
      <x:c r="C187" s="20"/>
      <x:c r="D187" s="20"/>
      <x:c r="E187" s="20"/>
      <x:c r="F187" s="26" t="str">
        <x:f>IF((D187+E187)=0,"",E187/(D187+E187))</x:f>
      </x:c>
      <x:c r="G187" s="20"/>
      <x:c r="H187" s="20"/>
      <x:c r="I187" s="20" t="str">
        <x:f>IF(F187="","",IF(AND(F187&lt;=0.1,G187=0),"Strong",IF(AND(F187&lt;=0.25,G187&lt;=1),"Moderate","Weak")))</x:f>
      </x:c>
      <x:c r="J187" s="20"/>
      <x:c r="K187" s="20"/>
    </x:row>
    <x:row r="188">
      <x:c r="A188" s="20"/>
      <x:c r="B188" s="20"/>
      <x:c r="C188" s="20"/>
      <x:c r="D188" s="20"/>
      <x:c r="E188" s="20"/>
      <x:c r="F188" s="26" t="str">
        <x:f>IF((D188+E188)=0,"",E188/(D188+E188))</x:f>
      </x:c>
      <x:c r="G188" s="20"/>
      <x:c r="H188" s="20"/>
      <x:c r="I188" s="20" t="str">
        <x:f>IF(F188="","",IF(AND(F188&lt;=0.1,G188=0),"Strong",IF(AND(F188&lt;=0.25,G188&lt;=1),"Moderate","Weak")))</x:f>
      </x:c>
      <x:c r="J188" s="20"/>
      <x:c r="K188" s="20"/>
    </x:row>
    <x:row r="189">
      <x:c r="A189" s="20"/>
      <x:c r="B189" s="20"/>
      <x:c r="C189" s="20"/>
      <x:c r="D189" s="20"/>
      <x:c r="E189" s="20"/>
      <x:c r="F189" s="26" t="str">
        <x:f>IF((D189+E189)=0,"",E189/(D189+E189))</x:f>
      </x:c>
      <x:c r="G189" s="20"/>
      <x:c r="H189" s="20"/>
      <x:c r="I189" s="20" t="str">
        <x:f>IF(F189="","",IF(AND(F189&lt;=0.1,G189=0),"Strong",IF(AND(F189&lt;=0.25,G189&lt;=1),"Moderate","Weak")))</x:f>
      </x:c>
      <x:c r="J189" s="20"/>
      <x:c r="K189" s="20"/>
    </x:row>
    <x:row r="190">
      <x:c r="A190" s="20"/>
      <x:c r="B190" s="20"/>
      <x:c r="C190" s="20"/>
      <x:c r="D190" s="20"/>
      <x:c r="E190" s="20"/>
      <x:c r="F190" s="26" t="str">
        <x:f>IF((D190+E190)=0,"",E190/(D190+E190))</x:f>
      </x:c>
      <x:c r="G190" s="20"/>
      <x:c r="H190" s="20"/>
      <x:c r="I190" s="20" t="str">
        <x:f>IF(F190="","",IF(AND(F190&lt;=0.1,G190=0),"Strong",IF(AND(F190&lt;=0.25,G190&lt;=1),"Moderate","Weak")))</x:f>
      </x:c>
      <x:c r="J190" s="20"/>
      <x:c r="K190" s="20"/>
    </x:row>
    <x:row r="191">
      <x:c r="A191" s="20"/>
      <x:c r="B191" s="20"/>
      <x:c r="C191" s="20"/>
      <x:c r="D191" s="20"/>
      <x:c r="E191" s="20"/>
      <x:c r="F191" s="26" t="str">
        <x:f>IF((D191+E191)=0,"",E191/(D191+E191))</x:f>
      </x:c>
      <x:c r="G191" s="20"/>
      <x:c r="H191" s="20"/>
      <x:c r="I191" s="20" t="str">
        <x:f>IF(F191="","",IF(AND(F191&lt;=0.1,G191=0),"Strong",IF(AND(F191&lt;=0.25,G191&lt;=1),"Moderate","Weak")))</x:f>
      </x:c>
      <x:c r="J191" s="20"/>
      <x:c r="K191" s="20"/>
    </x:row>
    <x:row r="192">
      <x:c r="A192" s="20"/>
      <x:c r="B192" s="20"/>
      <x:c r="C192" s="20"/>
      <x:c r="D192" s="20"/>
      <x:c r="E192" s="20"/>
      <x:c r="F192" s="26" t="str">
        <x:f>IF((D192+E192)=0,"",E192/(D192+E192))</x:f>
      </x:c>
      <x:c r="G192" s="20"/>
      <x:c r="H192" s="20"/>
      <x:c r="I192" s="20" t="str">
        <x:f>IF(F192="","",IF(AND(F192&lt;=0.1,G192=0),"Strong",IF(AND(F192&lt;=0.25,G192&lt;=1),"Moderate","Weak")))</x:f>
      </x:c>
      <x:c r="J192" s="20"/>
      <x:c r="K192" s="20"/>
    </x:row>
    <x:row r="193">
      <x:c r="A193" s="20"/>
      <x:c r="B193" s="20"/>
      <x:c r="C193" s="20"/>
      <x:c r="D193" s="20"/>
      <x:c r="E193" s="20"/>
      <x:c r="F193" s="26" t="str">
        <x:f>IF((D193+E193)=0,"",E193/(D193+E193))</x:f>
      </x:c>
      <x:c r="G193" s="20"/>
      <x:c r="H193" s="20"/>
      <x:c r="I193" s="20" t="str">
        <x:f>IF(F193="","",IF(AND(F193&lt;=0.1,G193=0),"Strong",IF(AND(F193&lt;=0.25,G193&lt;=1),"Moderate","Weak")))</x:f>
      </x:c>
      <x:c r="J193" s="20"/>
      <x:c r="K193" s="20"/>
    </x:row>
    <x:row r="194">
      <x:c r="A194" s="20"/>
      <x:c r="B194" s="20"/>
      <x:c r="C194" s="20"/>
      <x:c r="D194" s="20"/>
      <x:c r="E194" s="20"/>
      <x:c r="F194" s="26" t="str">
        <x:f>IF((D194+E194)=0,"",E194/(D194+E194))</x:f>
      </x:c>
      <x:c r="G194" s="20"/>
      <x:c r="H194" s="20"/>
      <x:c r="I194" s="20" t="str">
        <x:f>IF(F194="","",IF(AND(F194&lt;=0.1,G194=0),"Strong",IF(AND(F194&lt;=0.25,G194&lt;=1),"Moderate","Weak")))</x:f>
      </x:c>
      <x:c r="J194" s="20"/>
      <x:c r="K194" s="20"/>
    </x:row>
    <x:row r="195">
      <x:c r="A195" s="20"/>
      <x:c r="B195" s="20"/>
      <x:c r="C195" s="20"/>
      <x:c r="D195" s="20"/>
      <x:c r="E195" s="20"/>
      <x:c r="F195" s="26" t="str">
        <x:f>IF((D195+E195)=0,"",E195/(D195+E195))</x:f>
      </x:c>
      <x:c r="G195" s="20"/>
      <x:c r="H195" s="20"/>
      <x:c r="I195" s="20" t="str">
        <x:f>IF(F195="","",IF(AND(F195&lt;=0.1,G195=0),"Strong",IF(AND(F195&lt;=0.25,G195&lt;=1),"Moderate","Weak")))</x:f>
      </x:c>
      <x:c r="J195" s="20"/>
      <x:c r="K195" s="20"/>
    </x:row>
    <x:row r="196">
      <x:c r="A196" s="20"/>
      <x:c r="B196" s="20"/>
      <x:c r="C196" s="20"/>
      <x:c r="D196" s="20"/>
      <x:c r="E196" s="20"/>
      <x:c r="F196" s="26" t="str">
        <x:f>IF((D196+E196)=0,"",E196/(D196+E196))</x:f>
      </x:c>
      <x:c r="G196" s="20"/>
      <x:c r="H196" s="20"/>
      <x:c r="I196" s="20" t="str">
        <x:f>IF(F196="","",IF(AND(F196&lt;=0.1,G196=0),"Strong",IF(AND(F196&lt;=0.25,G196&lt;=1),"Moderate","Weak")))</x:f>
      </x:c>
      <x:c r="J196" s="20"/>
      <x:c r="K196" s="20"/>
    </x:row>
    <x:row r="197">
      <x:c r="A197" s="20"/>
      <x:c r="B197" s="20"/>
      <x:c r="C197" s="20"/>
      <x:c r="D197" s="20"/>
      <x:c r="E197" s="20"/>
      <x:c r="F197" s="26" t="str">
        <x:f>IF((D197+E197)=0,"",E197/(D197+E197))</x:f>
      </x:c>
      <x:c r="G197" s="20"/>
      <x:c r="H197" s="20"/>
      <x:c r="I197" s="20" t="str">
        <x:f>IF(F197="","",IF(AND(F197&lt;=0.1,G197=0),"Strong",IF(AND(F197&lt;=0.25,G197&lt;=1),"Moderate","Weak")))</x:f>
      </x:c>
      <x:c r="J197" s="20"/>
      <x:c r="K197" s="20"/>
    </x:row>
    <x:row r="198">
      <x:c r="A198" s="20"/>
      <x:c r="B198" s="20"/>
      <x:c r="C198" s="20"/>
      <x:c r="D198" s="20"/>
      <x:c r="E198" s="20"/>
      <x:c r="F198" s="26" t="str">
        <x:f>IF((D198+E198)=0,"",E198/(D198+E198))</x:f>
      </x:c>
      <x:c r="G198" s="20"/>
      <x:c r="H198" s="20"/>
      <x:c r="I198" s="20" t="str">
        <x:f>IF(F198="","",IF(AND(F198&lt;=0.1,G198=0),"Strong",IF(AND(F198&lt;=0.25,G198&lt;=1),"Moderate","Weak")))</x:f>
      </x:c>
      <x:c r="J198" s="20"/>
      <x:c r="K198" s="20"/>
    </x:row>
    <x:row r="199">
      <x:c r="A199" s="20"/>
      <x:c r="B199" s="20"/>
      <x:c r="C199" s="20"/>
      <x:c r="D199" s="20"/>
      <x:c r="E199" s="20"/>
      <x:c r="F199" s="26" t="str">
        <x:f>IF((D199+E199)=0,"",E199/(D199+E199))</x:f>
      </x:c>
      <x:c r="G199" s="20"/>
      <x:c r="H199" s="20"/>
      <x:c r="I199" s="20" t="str">
        <x:f>IF(F199="","",IF(AND(F199&lt;=0.1,G199=0),"Strong",IF(AND(F199&lt;=0.25,G199&lt;=1),"Moderate","Weak")))</x:f>
      </x:c>
      <x:c r="J199" s="20"/>
      <x:c r="K199" s="20"/>
    </x:row>
    <x:row r="200">
      <x:c r="A200" s="20"/>
      <x:c r="B200" s="20"/>
      <x:c r="C200" s="20"/>
      <x:c r="D200" s="20"/>
      <x:c r="E200" s="20"/>
      <x:c r="F200" s="26" t="str">
        <x:f>IF((D200+E200)=0,"",E200/(D200+E200))</x:f>
      </x:c>
      <x:c r="G200" s="20"/>
      <x:c r="H200" s="20"/>
      <x:c r="I200" s="20" t="str">
        <x:f>IF(F200="","",IF(AND(F200&lt;=0.1,G200=0),"Strong",IF(AND(F200&lt;=0.25,G200&lt;=1),"Moderate","Weak")))</x:f>
      </x:c>
      <x:c r="J200" s="20"/>
      <x:c r="K200" s="20"/>
    </x:row>
    <x:row r="201">
      <x:c r="A201" s="20"/>
      <x:c r="B201" s="20"/>
      <x:c r="C201" s="20"/>
      <x:c r="D201" s="20"/>
      <x:c r="E201" s="20"/>
      <x:c r="F201" s="26" t="str">
        <x:f>IF((D201+E201)=0,"",E201/(D201+E201))</x:f>
      </x:c>
      <x:c r="G201" s="20"/>
      <x:c r="H201" s="20"/>
      <x:c r="I201" s="20" t="str">
        <x:f>IF(F201="","",IF(AND(F201&lt;=0.1,G201=0),"Strong",IF(AND(F201&lt;=0.25,G201&lt;=1),"Moderate","Weak")))</x:f>
      </x:c>
      <x:c r="J201" s="20"/>
      <x:c r="K201" s="20"/>
    </x:row>
    <x:row r="202">
      <x:c r="A202" s="20"/>
      <x:c r="B202" s="20"/>
      <x:c r="C202" s="20"/>
      <x:c r="D202" s="20"/>
      <x:c r="E202" s="20"/>
      <x:c r="F202" s="26" t="str">
        <x:f>IF((D202+E202)=0,"",E202/(D202+E202))</x:f>
      </x:c>
      <x:c r="G202" s="20"/>
      <x:c r="H202" s="20"/>
      <x:c r="I202" s="20" t="str">
        <x:f>IF(F202="","",IF(AND(F202&lt;=0.1,G202=0),"Strong",IF(AND(F202&lt;=0.25,G202&lt;=1),"Moderate","Weak")))</x:f>
      </x:c>
      <x:c r="J202" s="20"/>
      <x:c r="K202" s="20"/>
    </x:row>
    <x:row r="203">
      <x:c r="A203" s="20"/>
      <x:c r="B203" s="20"/>
      <x:c r="C203" s="20"/>
      <x:c r="D203" s="20"/>
      <x:c r="E203" s="20"/>
      <x:c r="F203" s="26" t="str">
        <x:f>IF((D203+E203)=0,"",E203/(D203+E203))</x:f>
      </x:c>
      <x:c r="G203" s="20"/>
      <x:c r="H203" s="20"/>
      <x:c r="I203" s="20" t="str">
        <x:f>IF(F203="","",IF(AND(F203&lt;=0.1,G203=0),"Strong",IF(AND(F203&lt;=0.25,G203&lt;=1),"Moderate","Weak")))</x:f>
      </x:c>
      <x:c r="J203" s="20"/>
      <x:c r="K203" s="20"/>
    </x:row>
  </x:sheetData>
  <x:mergeCells>
    <x:mergeCell ref="A1:K1"/>
  </x:mergeCells>
  <x:conditionalFormatting sqref="F4:F203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42" hidden="0" customWidth="1"/>
    <x:col min="4" max="4" width="13" hidden="0" customWidth="1"/>
    <x:col min="5" max="5" width="13" hidden="0" customWidth="1"/>
    <x:col min="6" max="6" width="20" hidden="0" customWidth="1"/>
    <x:col min="7" max="7" width="14" hidden="0" customWidth="1"/>
    <x:col min="8" max="8" width="14" hidden="0" customWidth="1"/>
    <x:col min="9" max="9" width="16" hidden="0" customWidth="1"/>
    <x:col min="10" max="10" width="26" hidden="0" customWidth="1"/>
    <x:col min="11" max="11" width="30" hidden="0" customWidth="1"/>
  </x:cols>
  <x:sheetData>
    <x:row r="1">
      <x:c r="A1" s="4" t="str">
        <x:v>Detection Coverage Improvement Roadmap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Action ID</x:v>
      </x:c>
      <x:c r="B3" s="12" t="str">
        <x:v>Coverage ID</x:v>
      </x:c>
      <x:c r="C3" s="12" t="str">
        <x:v>Improvement</x:v>
      </x:c>
      <x:c r="D3" s="12" t="str">
        <x:v>Priority</x:v>
      </x:c>
      <x:c r="E3" s="12" t="str">
        <x:v>Effort</x:v>
      </x:c>
      <x:c r="F3" s="12" t="str">
        <x:v>Owner</x:v>
      </x:c>
      <x:c r="G3" s="12" t="str">
        <x:v>Start Date</x:v>
      </x:c>
      <x:c r="H3" s="12" t="str">
        <x:v>Target Date</x:v>
      </x:c>
      <x:c r="I3" s="12" t="str">
        <x:v>Status</x:v>
      </x:c>
      <x:c r="J3" s="12" t="str">
        <x:v>Validation</x:v>
      </x:c>
      <x:c r="K3" s="12" t="str">
        <x:v>Notes</x:v>
      </x:c>
    </x:row>
    <x:row r="4">
      <x:c r="A4" s="20" t="str">
        <x:v>RM-001</x:v>
      </x:c>
      <x:c r="B4" s="20" t="str">
        <x:v>COV-003</x:v>
      </x:c>
      <x:c r="C4" s="20" t="str">
        <x:v>Add privilege-escalation analytics and supporting telemetry</x:v>
      </x:c>
      <x:c r="D4" s="20" t="str">
        <x:v>Critical</x:v>
      </x:c>
      <x:c r="E4" s="20" t="str">
        <x:v>High</x:v>
      </x:c>
      <x:c r="F4" s="20" t="str">
        <x:v>Detection Engineer</x:v>
      </x:c>
      <x:c r="G4" s="21" t="n">
        <x:v>46223</x:v>
      </x:c>
      <x:c r="H4" s="21" t="n">
        <x:v>46296</x:v>
      </x:c>
      <x:c r="I4" s="20" t="str">
        <x:v>In Progress</x:v>
      </x:c>
      <x:c r="J4" s="20" t="str">
        <x:v>Purple-team test</x:v>
      </x:c>
      <x:c r="K4" s="20" t="str"/>
    </x:row>
    <x:row r="5">
      <x:c r="A5" s="20" t="str">
        <x:v>RM-002</x:v>
      </x:c>
      <x:c r="B5" s="20" t="str">
        <x:v>COV-005</x:v>
      </x:c>
      <x:c r="C5" s="20" t="str">
        <x:v>Improve exfiltration correlation with data sensitivity and user context</x:v>
      </x:c>
      <x:c r="D5" s="20" t="str">
        <x:v>High</x:v>
      </x:c>
      <x:c r="E5" s="20" t="str">
        <x:v>High</x:v>
      </x:c>
      <x:c r="F5" s="20" t="str">
        <x:v>Data Security Lead</x:v>
      </x:c>
      <x:c r="G5" s="21" t="n">
        <x:v>46235</x:v>
      </x:c>
      <x:c r="H5" s="21" t="n">
        <x:v>46310</x:v>
      </x:c>
      <x:c r="I5" s="20" t="str">
        <x:v>Planned</x:v>
      </x:c>
      <x:c r="J5" s="20" t="str">
        <x:v>Replay dataset</x:v>
      </x:c>
      <x:c r="K5" s="20" t="str"/>
    </x:row>
    <x:row r="6">
      <x:c r="A6" s="20" t="str">
        <x:v>RM-003</x:v>
      </x:c>
      <x:c r="B6" s="20" t="str">
        <x:v>COV-007</x:v>
      </x:c>
      <x:c r="C6" s="20" t="str">
        <x:v>Add peer-group behavior and approved-query context</x:v>
      </x:c>
      <x:c r="D6" s="20" t="str">
        <x:v>High</x:v>
      </x:c>
      <x:c r="E6" s="20" t="str">
        <x:v>Moderate</x:v>
      </x:c>
      <x:c r="F6" s="20" t="str">
        <x:v>SOC Lead</x:v>
      </x:c>
      <x:c r="G6" s="21" t="n">
        <x:v>46249</x:v>
      </x:c>
      <x:c r="H6" s="21" t="n">
        <x:v>46295</x:v>
      </x:c>
      <x:c r="I6" s="20" t="str">
        <x:v>Planned</x:v>
      </x:c>
      <x:c r="J6" s="20" t="str">
        <x:v>Historical replay</x:v>
      </x:c>
      <x:c r="K6" s="20" t="str"/>
    </x:row>
    <x:row r="7">
      <x:c r="A7" s="20" t="str">
        <x:v>RM-004</x:v>
      </x:c>
      <x:c r="B7" s="20" t="str">
        <x:v>COV-008</x:v>
      </x:c>
      <x:c r="C7" s="20" t="str">
        <x:v>Baseline administrative remote services by server group</x:v>
      </x:c>
      <x:c r="D7" s="20" t="str">
        <x:v>High</x:v>
      </x:c>
      <x:c r="E7" s="20" t="str">
        <x:v>Moderate</x:v>
      </x:c>
      <x:c r="F7" s="20" t="str">
        <x:v>Detection Engineer</x:v>
      </x:c>
      <x:c r="G7" s="21" t="n">
        <x:v>46228</x:v>
      </x:c>
      <x:c r="H7" s="21" t="n">
        <x:v>46280</x:v>
      </x:c>
      <x:c r="I7" s="20" t="str">
        <x:v>In Progress</x:v>
      </x:c>
      <x:c r="J7" s="20" t="str">
        <x:v>Lab validation</x:v>
      </x:c>
      <x:c r="K7" s="20" t="str"/>
    </x:row>
    <x:row r="8">
      <x:c r="A8" s="20" t="str">
        <x:v>RM-005</x:v>
      </x:c>
      <x:c r="B8" s="20" t="str">
        <x:v>COV-002</x:v>
      </x:c>
      <x:c r="C8" s="20" t="str">
        <x:v>Add breached-password and bot-management signals</x:v>
      </x:c>
      <x:c r="D8" s="20" t="str">
        <x:v>High</x:v>
      </x:c>
      <x:c r="E8" s="20" t="str">
        <x:v>Moderate</x:v>
      </x:c>
      <x:c r="F8" s="20" t="str">
        <x:v>IAM Lead</x:v>
      </x:c>
      <x:c r="G8" s="21" t="n">
        <x:v>46235</x:v>
      </x:c>
      <x:c r="H8" s="21" t="n">
        <x:v>46280</x:v>
      </x:c>
      <x:c r="I8" s="20" t="str">
        <x:v>Planned</x:v>
      </x:c>
      <x:c r="J8" s="20" t="str">
        <x:v>Attack simulation</x:v>
      </x:c>
      <x:c r="K8" s="20" t="str"/>
    </x:row>
    <x:row r="9">
      <x:c r="A9" s="20" t="str">
        <x:v>RM-006</x:v>
      </x:c>
      <x:c r="B9" s="20" t="str">
        <x:v>Multiple</x:v>
      </x:c>
      <x:c r="C9" s="20" t="str">
        <x:v>Establish quarterly detection validation calendar</x:v>
      </x:c>
      <x:c r="D9" s="20" t="str">
        <x:v>Moderate</x:v>
      </x:c>
      <x:c r="E9" s="20" t="str">
        <x:v>Low</x:v>
      </x:c>
      <x:c r="F9" s="20" t="str">
        <x:v>Purple Team Lead</x:v>
      </x:c>
      <x:c r="G9" s="21" t="n">
        <x:v>46218</x:v>
      </x:c>
      <x:c r="H9" s="21" t="n">
        <x:v>46249</x:v>
      </x:c>
      <x:c r="I9" s="20" t="str">
        <x:v>In Progress</x:v>
      </x:c>
      <x:c r="J9" s="20" t="str">
        <x:v>Approved calendar</x:v>
      </x:c>
      <x:c r="K9" s="20" t="str"/>
    </x:row>
    <x:row r="10">
      <x:c r="A10" s="20"/>
      <x:c r="B10" s="20"/>
      <x:c r="C10" s="20"/>
      <x:c r="D10" s="20"/>
      <x:c r="E10" s="20"/>
      <x:c r="F10" s="20"/>
      <x:c r="G10" s="21"/>
      <x:c r="H10" s="21"/>
      <x:c r="I10" s="20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1"/>
      <x:c r="H11" s="21"/>
      <x:c r="I11" s="20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1"/>
      <x:c r="H12" s="21"/>
      <x:c r="I12" s="20"/>
      <x:c r="J12" s="20"/>
      <x:c r="K12" s="20"/>
    </x:row>
    <x:row r="13">
      <x:c r="A13" s="20"/>
      <x:c r="B13" s="20"/>
      <x:c r="C13" s="20"/>
      <x:c r="D13" s="20"/>
      <x:c r="E13" s="20"/>
      <x:c r="F13" s="20"/>
      <x:c r="G13" s="21"/>
      <x:c r="H13" s="21"/>
      <x:c r="I13" s="20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1"/>
      <x:c r="H14" s="21"/>
      <x:c r="I14" s="20"/>
      <x:c r="J14" s="20"/>
      <x:c r="K14" s="20"/>
    </x:row>
    <x:row r="15">
      <x:c r="A15" s="20"/>
      <x:c r="B15" s="20"/>
      <x:c r="C15" s="20"/>
      <x:c r="D15" s="20"/>
      <x:c r="E15" s="20"/>
      <x:c r="F15" s="20"/>
      <x:c r="G15" s="21"/>
      <x:c r="H15" s="21"/>
      <x:c r="I15" s="20"/>
      <x:c r="J15" s="20"/>
      <x:c r="K15" s="20"/>
    </x:row>
    <x:row r="16">
      <x:c r="A16" s="20"/>
      <x:c r="B16" s="20"/>
      <x:c r="C16" s="20"/>
      <x:c r="D16" s="20"/>
      <x:c r="E16" s="20"/>
      <x:c r="F16" s="20"/>
      <x:c r="G16" s="21"/>
      <x:c r="H16" s="21"/>
      <x:c r="I16" s="20"/>
      <x:c r="J16" s="20"/>
      <x:c r="K16" s="20"/>
    </x:row>
    <x:row r="17">
      <x:c r="A17" s="20"/>
      <x:c r="B17" s="20"/>
      <x:c r="C17" s="20"/>
      <x:c r="D17" s="20"/>
      <x:c r="E17" s="20"/>
      <x:c r="F17" s="20"/>
      <x:c r="G17" s="21"/>
      <x:c r="H17" s="21"/>
      <x:c r="I17" s="20"/>
      <x:c r="J17" s="20"/>
      <x:c r="K17" s="20"/>
    </x:row>
    <x:row r="18">
      <x:c r="A18" s="20"/>
      <x:c r="B18" s="20"/>
      <x:c r="C18" s="20"/>
      <x:c r="D18" s="20"/>
      <x:c r="E18" s="20"/>
      <x:c r="F18" s="20"/>
      <x:c r="G18" s="21"/>
      <x:c r="H18" s="21"/>
      <x:c r="I18" s="20"/>
      <x:c r="J18" s="20"/>
      <x:c r="K18" s="20"/>
    </x:row>
    <x:row r="19">
      <x:c r="A19" s="20"/>
      <x:c r="B19" s="20"/>
      <x:c r="C19" s="20"/>
      <x:c r="D19" s="20"/>
      <x:c r="E19" s="20"/>
      <x:c r="F19" s="20"/>
      <x:c r="G19" s="21"/>
      <x:c r="H19" s="21"/>
      <x:c r="I19" s="20"/>
      <x:c r="J19" s="20"/>
      <x:c r="K19" s="20"/>
    </x:row>
    <x:row r="20">
      <x:c r="A20" s="20"/>
      <x:c r="B20" s="20"/>
      <x:c r="C20" s="20"/>
      <x:c r="D20" s="20"/>
      <x:c r="E20" s="20"/>
      <x:c r="F20" s="20"/>
      <x:c r="G20" s="21"/>
      <x:c r="H20" s="21"/>
      <x:c r="I20" s="20"/>
      <x:c r="J20" s="20"/>
      <x:c r="K20" s="20"/>
    </x:row>
    <x:row r="21">
      <x:c r="A21" s="20"/>
      <x:c r="B21" s="20"/>
      <x:c r="C21" s="20"/>
      <x:c r="D21" s="20"/>
      <x:c r="E21" s="20"/>
      <x:c r="F21" s="20"/>
      <x:c r="G21" s="21"/>
      <x:c r="H21" s="21"/>
      <x:c r="I21" s="20"/>
      <x:c r="J21" s="20"/>
      <x:c r="K21" s="20"/>
    </x:row>
    <x:row r="22">
      <x:c r="A22" s="20"/>
      <x:c r="B22" s="20"/>
      <x:c r="C22" s="20"/>
      <x:c r="D22" s="20"/>
      <x:c r="E22" s="20"/>
      <x:c r="F22" s="20"/>
      <x:c r="G22" s="21"/>
      <x:c r="H22" s="21"/>
      <x:c r="I22" s="20"/>
      <x:c r="J22" s="20"/>
      <x:c r="K22" s="20"/>
    </x:row>
    <x:row r="23">
      <x:c r="A23" s="20"/>
      <x:c r="B23" s="20"/>
      <x:c r="C23" s="20"/>
      <x:c r="D23" s="20"/>
      <x:c r="E23" s="20"/>
      <x:c r="F23" s="20"/>
      <x:c r="G23" s="21"/>
      <x:c r="H23" s="21"/>
      <x:c r="I23" s="20"/>
      <x:c r="J23" s="20"/>
      <x:c r="K23" s="20"/>
    </x:row>
    <x:row r="24">
      <x:c r="A24" s="20"/>
      <x:c r="B24" s="20"/>
      <x:c r="C24" s="20"/>
      <x:c r="D24" s="20"/>
      <x:c r="E24" s="20"/>
      <x:c r="F24" s="20"/>
      <x:c r="G24" s="21"/>
      <x:c r="H24" s="21"/>
      <x:c r="I24" s="20"/>
      <x:c r="J24" s="20"/>
      <x:c r="K24" s="20"/>
    </x:row>
    <x:row r="25">
      <x:c r="A25" s="20"/>
      <x:c r="B25" s="20"/>
      <x:c r="C25" s="20"/>
      <x:c r="D25" s="20"/>
      <x:c r="E25" s="20"/>
      <x:c r="F25" s="20"/>
      <x:c r="G25" s="21"/>
      <x:c r="H25" s="21"/>
      <x:c r="I25" s="20"/>
      <x:c r="J25" s="20"/>
      <x:c r="K25" s="20"/>
    </x:row>
    <x:row r="26">
      <x:c r="A26" s="20"/>
      <x:c r="B26" s="20"/>
      <x:c r="C26" s="20"/>
      <x:c r="D26" s="20"/>
      <x:c r="E26" s="20"/>
      <x:c r="F26" s="20"/>
      <x:c r="G26" s="21"/>
      <x:c r="H26" s="21"/>
      <x:c r="I26" s="20"/>
      <x:c r="J26" s="20"/>
      <x:c r="K26" s="20"/>
    </x:row>
    <x:row r="27">
      <x:c r="A27" s="20"/>
      <x:c r="B27" s="20"/>
      <x:c r="C27" s="20"/>
      <x:c r="D27" s="20"/>
      <x:c r="E27" s="20"/>
      <x:c r="F27" s="20"/>
      <x:c r="G27" s="21"/>
      <x:c r="H27" s="21"/>
      <x:c r="I27" s="20"/>
      <x:c r="J27" s="20"/>
      <x:c r="K27" s="20"/>
    </x:row>
    <x:row r="28">
      <x:c r="A28" s="20"/>
      <x:c r="B28" s="20"/>
      <x:c r="C28" s="20"/>
      <x:c r="D28" s="20"/>
      <x:c r="E28" s="20"/>
      <x:c r="F28" s="20"/>
      <x:c r="G28" s="21"/>
      <x:c r="H28" s="21"/>
      <x:c r="I28" s="20"/>
      <x:c r="J28" s="20"/>
      <x:c r="K28" s="20"/>
    </x:row>
    <x:row r="29">
      <x:c r="A29" s="20"/>
      <x:c r="B29" s="20"/>
      <x:c r="C29" s="20"/>
      <x:c r="D29" s="20"/>
      <x:c r="E29" s="20"/>
      <x:c r="F29" s="20"/>
      <x:c r="G29" s="21"/>
      <x:c r="H29" s="21"/>
      <x:c r="I29" s="20"/>
      <x:c r="J29" s="20"/>
      <x:c r="K29" s="20"/>
    </x:row>
    <x:row r="30">
      <x:c r="A30" s="20"/>
      <x:c r="B30" s="20"/>
      <x:c r="C30" s="20"/>
      <x:c r="D30" s="20"/>
      <x:c r="E30" s="20"/>
      <x:c r="F30" s="20"/>
      <x:c r="G30" s="21"/>
      <x:c r="H30" s="21"/>
      <x:c r="I30" s="20"/>
      <x:c r="J30" s="20"/>
      <x:c r="K30" s="20"/>
    </x:row>
    <x:row r="31">
      <x:c r="A31" s="20"/>
      <x:c r="B31" s="20"/>
      <x:c r="C31" s="20"/>
      <x:c r="D31" s="20"/>
      <x:c r="E31" s="20"/>
      <x:c r="F31" s="20"/>
      <x:c r="G31" s="21"/>
      <x:c r="H31" s="21"/>
      <x:c r="I31" s="20"/>
      <x:c r="J31" s="20"/>
      <x:c r="K31" s="20"/>
    </x:row>
    <x:row r="32">
      <x:c r="A32" s="20"/>
      <x:c r="B32" s="20"/>
      <x:c r="C32" s="20"/>
      <x:c r="D32" s="20"/>
      <x:c r="E32" s="20"/>
      <x:c r="F32" s="20"/>
      <x:c r="G32" s="21"/>
      <x:c r="H32" s="21"/>
      <x:c r="I32" s="20"/>
      <x:c r="J32" s="20"/>
      <x:c r="K32" s="20"/>
    </x:row>
    <x:row r="33">
      <x:c r="A33" s="20"/>
      <x:c r="B33" s="20"/>
      <x:c r="C33" s="20"/>
      <x:c r="D33" s="20"/>
      <x:c r="E33" s="20"/>
      <x:c r="F33" s="20"/>
      <x:c r="G33" s="21"/>
      <x:c r="H33" s="21"/>
      <x:c r="I33" s="20"/>
      <x:c r="J33" s="20"/>
      <x:c r="K33" s="20"/>
    </x:row>
    <x:row r="34">
      <x:c r="A34" s="20"/>
      <x:c r="B34" s="20"/>
      <x:c r="C34" s="20"/>
      <x:c r="D34" s="20"/>
      <x:c r="E34" s="20"/>
      <x:c r="F34" s="20"/>
      <x:c r="G34" s="21"/>
      <x:c r="H34" s="21"/>
      <x:c r="I34" s="20"/>
      <x:c r="J34" s="20"/>
      <x:c r="K34" s="20"/>
    </x:row>
    <x:row r="35">
      <x:c r="A35" s="20"/>
      <x:c r="B35" s="20"/>
      <x:c r="C35" s="20"/>
      <x:c r="D35" s="20"/>
      <x:c r="E35" s="20"/>
      <x:c r="F35" s="20"/>
      <x:c r="G35" s="21"/>
      <x:c r="H35" s="21"/>
      <x:c r="I35" s="20"/>
      <x:c r="J35" s="20"/>
      <x:c r="K35" s="20"/>
    </x:row>
    <x:row r="36">
      <x:c r="A36" s="20"/>
      <x:c r="B36" s="20"/>
      <x:c r="C36" s="20"/>
      <x:c r="D36" s="20"/>
      <x:c r="E36" s="20"/>
      <x:c r="F36" s="20"/>
      <x:c r="G36" s="21"/>
      <x:c r="H36" s="21"/>
      <x:c r="I36" s="20"/>
      <x:c r="J36" s="20"/>
      <x:c r="K36" s="20"/>
    </x:row>
    <x:row r="37">
      <x:c r="A37" s="20"/>
      <x:c r="B37" s="20"/>
      <x:c r="C37" s="20"/>
      <x:c r="D37" s="20"/>
      <x:c r="E37" s="20"/>
      <x:c r="F37" s="20"/>
      <x:c r="G37" s="21"/>
      <x:c r="H37" s="21"/>
      <x:c r="I37" s="20"/>
      <x:c r="J37" s="20"/>
      <x:c r="K37" s="20"/>
    </x:row>
    <x:row r="38">
      <x:c r="A38" s="20"/>
      <x:c r="B38" s="20"/>
      <x:c r="C38" s="20"/>
      <x:c r="D38" s="20"/>
      <x:c r="E38" s="20"/>
      <x:c r="F38" s="20"/>
      <x:c r="G38" s="21"/>
      <x:c r="H38" s="21"/>
      <x:c r="I38" s="20"/>
      <x:c r="J38" s="20"/>
      <x:c r="K38" s="20"/>
    </x:row>
    <x:row r="39">
      <x:c r="A39" s="20"/>
      <x:c r="B39" s="20"/>
      <x:c r="C39" s="20"/>
      <x:c r="D39" s="20"/>
      <x:c r="E39" s="20"/>
      <x:c r="F39" s="20"/>
      <x:c r="G39" s="21"/>
      <x:c r="H39" s="21"/>
      <x:c r="I39" s="20"/>
      <x:c r="J39" s="20"/>
      <x:c r="K39" s="20"/>
    </x:row>
    <x:row r="40">
      <x:c r="A40" s="20"/>
      <x:c r="B40" s="20"/>
      <x:c r="C40" s="20"/>
      <x:c r="D40" s="20"/>
      <x:c r="E40" s="20"/>
      <x:c r="F40" s="20"/>
      <x:c r="G40" s="21"/>
      <x:c r="H40" s="21"/>
      <x:c r="I40" s="20"/>
      <x:c r="J40" s="20"/>
      <x:c r="K40" s="20"/>
    </x:row>
    <x:row r="41">
      <x:c r="A41" s="20"/>
      <x:c r="B41" s="20"/>
      <x:c r="C41" s="20"/>
      <x:c r="D41" s="20"/>
      <x:c r="E41" s="20"/>
      <x:c r="F41" s="20"/>
      <x:c r="G41" s="21"/>
      <x:c r="H41" s="21"/>
      <x:c r="I41" s="20"/>
      <x:c r="J41" s="20"/>
      <x:c r="K41" s="20"/>
    </x:row>
    <x:row r="42">
      <x:c r="A42" s="20"/>
      <x:c r="B42" s="20"/>
      <x:c r="C42" s="20"/>
      <x:c r="D42" s="20"/>
      <x:c r="E42" s="20"/>
      <x:c r="F42" s="20"/>
      <x:c r="G42" s="21"/>
      <x:c r="H42" s="21"/>
      <x:c r="I42" s="20"/>
      <x:c r="J42" s="20"/>
      <x:c r="K42" s="20"/>
    </x:row>
    <x:row r="43">
      <x:c r="A43" s="20"/>
      <x:c r="B43" s="20"/>
      <x:c r="C43" s="20"/>
      <x:c r="D43" s="20"/>
      <x:c r="E43" s="20"/>
      <x:c r="F43" s="20"/>
      <x:c r="G43" s="21"/>
      <x:c r="H43" s="21"/>
      <x:c r="I43" s="20"/>
      <x:c r="J43" s="20"/>
      <x:c r="K43" s="20"/>
    </x:row>
    <x:row r="44">
      <x:c r="A44" s="20"/>
      <x:c r="B44" s="20"/>
      <x:c r="C44" s="20"/>
      <x:c r="D44" s="20"/>
      <x:c r="E44" s="20"/>
      <x:c r="F44" s="20"/>
      <x:c r="G44" s="21"/>
      <x:c r="H44" s="21"/>
      <x:c r="I44" s="20"/>
      <x:c r="J44" s="20"/>
      <x:c r="K44" s="20"/>
    </x:row>
    <x:row r="45">
      <x:c r="A45" s="20"/>
      <x:c r="B45" s="20"/>
      <x:c r="C45" s="20"/>
      <x:c r="D45" s="20"/>
      <x:c r="E45" s="20"/>
      <x:c r="F45" s="20"/>
      <x:c r="G45" s="21"/>
      <x:c r="H45" s="21"/>
      <x:c r="I45" s="20"/>
      <x:c r="J45" s="20"/>
      <x:c r="K45" s="20"/>
    </x:row>
    <x:row r="46">
      <x:c r="A46" s="20"/>
      <x:c r="B46" s="20"/>
      <x:c r="C46" s="20"/>
      <x:c r="D46" s="20"/>
      <x:c r="E46" s="20"/>
      <x:c r="F46" s="20"/>
      <x:c r="G46" s="21"/>
      <x:c r="H46" s="21"/>
      <x:c r="I46" s="20"/>
      <x:c r="J46" s="20"/>
      <x:c r="K46" s="20"/>
    </x:row>
    <x:row r="47">
      <x:c r="A47" s="20"/>
      <x:c r="B47" s="20"/>
      <x:c r="C47" s="20"/>
      <x:c r="D47" s="20"/>
      <x:c r="E47" s="20"/>
      <x:c r="F47" s="20"/>
      <x:c r="G47" s="21"/>
      <x:c r="H47" s="21"/>
      <x:c r="I47" s="20"/>
      <x:c r="J47" s="20"/>
      <x:c r="K47" s="20"/>
    </x:row>
    <x:row r="48">
      <x:c r="A48" s="20"/>
      <x:c r="B48" s="20"/>
      <x:c r="C48" s="20"/>
      <x:c r="D48" s="20"/>
      <x:c r="E48" s="20"/>
      <x:c r="F48" s="20"/>
      <x:c r="G48" s="21"/>
      <x:c r="H48" s="21"/>
      <x:c r="I48" s="20"/>
      <x:c r="J48" s="20"/>
      <x:c r="K48" s="20"/>
    </x:row>
    <x:row r="49">
      <x:c r="A49" s="20"/>
      <x:c r="B49" s="20"/>
      <x:c r="C49" s="20"/>
      <x:c r="D49" s="20"/>
      <x:c r="E49" s="20"/>
      <x:c r="F49" s="20"/>
      <x:c r="G49" s="21"/>
      <x:c r="H49" s="21"/>
      <x:c r="I49" s="20"/>
      <x:c r="J49" s="20"/>
      <x:c r="K49" s="20"/>
    </x:row>
    <x:row r="50">
      <x:c r="A50" s="20"/>
      <x:c r="B50" s="20"/>
      <x:c r="C50" s="20"/>
      <x:c r="D50" s="20"/>
      <x:c r="E50" s="20"/>
      <x:c r="F50" s="20"/>
      <x:c r="G50" s="21"/>
      <x:c r="H50" s="21"/>
      <x:c r="I50" s="20"/>
      <x:c r="J50" s="20"/>
      <x:c r="K50" s="20"/>
    </x:row>
    <x:row r="51">
      <x:c r="A51" s="20"/>
      <x:c r="B51" s="20"/>
      <x:c r="C51" s="20"/>
      <x:c r="D51" s="20"/>
      <x:c r="E51" s="20"/>
      <x:c r="F51" s="20"/>
      <x:c r="G51" s="21"/>
      <x:c r="H51" s="21"/>
      <x:c r="I51" s="20"/>
      <x:c r="J51" s="20"/>
      <x:c r="K51" s="20"/>
    </x:row>
    <x:row r="52">
      <x:c r="A52" s="20"/>
      <x:c r="B52" s="20"/>
      <x:c r="C52" s="20"/>
      <x:c r="D52" s="20"/>
      <x:c r="E52" s="20"/>
      <x:c r="F52" s="20"/>
      <x:c r="G52" s="21"/>
      <x:c r="H52" s="21"/>
      <x:c r="I52" s="20"/>
      <x:c r="J52" s="20"/>
      <x:c r="K52" s="20"/>
    </x:row>
    <x:row r="53">
      <x:c r="A53" s="20"/>
      <x:c r="B53" s="20"/>
      <x:c r="C53" s="20"/>
      <x:c r="D53" s="20"/>
      <x:c r="E53" s="20"/>
      <x:c r="F53" s="20"/>
      <x:c r="G53" s="21"/>
      <x:c r="H53" s="21"/>
      <x:c r="I53" s="20"/>
      <x:c r="J53" s="20"/>
      <x:c r="K53" s="20"/>
    </x:row>
    <x:row r="54">
      <x:c r="A54" s="20"/>
      <x:c r="B54" s="20"/>
      <x:c r="C54" s="20"/>
      <x:c r="D54" s="20"/>
      <x:c r="E54" s="20"/>
      <x:c r="F54" s="20"/>
      <x:c r="G54" s="21"/>
      <x:c r="H54" s="21"/>
      <x:c r="I54" s="20"/>
      <x:c r="J54" s="20"/>
      <x:c r="K54" s="20"/>
    </x:row>
    <x:row r="55">
      <x:c r="A55" s="20"/>
      <x:c r="B55" s="20"/>
      <x:c r="C55" s="20"/>
      <x:c r="D55" s="20"/>
      <x:c r="E55" s="20"/>
      <x:c r="F55" s="20"/>
      <x:c r="G55" s="21"/>
      <x:c r="H55" s="21"/>
      <x:c r="I55" s="20"/>
      <x:c r="J55" s="20"/>
      <x:c r="K55" s="20"/>
    </x:row>
    <x:row r="56">
      <x:c r="A56" s="20"/>
      <x:c r="B56" s="20"/>
      <x:c r="C56" s="20"/>
      <x:c r="D56" s="20"/>
      <x:c r="E56" s="20"/>
      <x:c r="F56" s="20"/>
      <x:c r="G56" s="21"/>
      <x:c r="H56" s="21"/>
      <x:c r="I56" s="20"/>
      <x:c r="J56" s="20"/>
      <x:c r="K56" s="20"/>
    </x:row>
    <x:row r="57">
      <x:c r="A57" s="20"/>
      <x:c r="B57" s="20"/>
      <x:c r="C57" s="20"/>
      <x:c r="D57" s="20"/>
      <x:c r="E57" s="20"/>
      <x:c r="F57" s="20"/>
      <x:c r="G57" s="21"/>
      <x:c r="H57" s="21"/>
      <x:c r="I57" s="20"/>
      <x:c r="J57" s="20"/>
      <x:c r="K57" s="20"/>
    </x:row>
    <x:row r="58">
      <x:c r="A58" s="20"/>
      <x:c r="B58" s="20"/>
      <x:c r="C58" s="20"/>
      <x:c r="D58" s="20"/>
      <x:c r="E58" s="20"/>
      <x:c r="F58" s="20"/>
      <x:c r="G58" s="21"/>
      <x:c r="H58" s="21"/>
      <x:c r="I58" s="20"/>
      <x:c r="J58" s="20"/>
      <x:c r="K58" s="20"/>
    </x:row>
    <x:row r="59">
      <x:c r="A59" s="20"/>
      <x:c r="B59" s="20"/>
      <x:c r="C59" s="20"/>
      <x:c r="D59" s="20"/>
      <x:c r="E59" s="20"/>
      <x:c r="F59" s="20"/>
      <x:c r="G59" s="21"/>
      <x:c r="H59" s="21"/>
      <x:c r="I59" s="20"/>
      <x:c r="J59" s="20"/>
      <x:c r="K59" s="20"/>
    </x:row>
    <x:row r="60">
      <x:c r="A60" s="20"/>
      <x:c r="B60" s="20"/>
      <x:c r="C60" s="20"/>
      <x:c r="D60" s="20"/>
      <x:c r="E60" s="20"/>
      <x:c r="F60" s="20"/>
      <x:c r="G60" s="21"/>
      <x:c r="H60" s="21"/>
      <x:c r="I60" s="20"/>
      <x:c r="J60" s="20"/>
      <x:c r="K60" s="20"/>
    </x:row>
    <x:row r="61">
      <x:c r="A61" s="20"/>
      <x:c r="B61" s="20"/>
      <x:c r="C61" s="20"/>
      <x:c r="D61" s="20"/>
      <x:c r="E61" s="20"/>
      <x:c r="F61" s="20"/>
      <x:c r="G61" s="21"/>
      <x:c r="H61" s="21"/>
      <x:c r="I61" s="20"/>
      <x:c r="J61" s="20"/>
      <x:c r="K61" s="20"/>
    </x:row>
    <x:row r="62">
      <x:c r="A62" s="20"/>
      <x:c r="B62" s="20"/>
      <x:c r="C62" s="20"/>
      <x:c r="D62" s="20"/>
      <x:c r="E62" s="20"/>
      <x:c r="F62" s="20"/>
      <x:c r="G62" s="21"/>
      <x:c r="H62" s="21"/>
      <x:c r="I62" s="20"/>
      <x:c r="J62" s="20"/>
      <x:c r="K62" s="20"/>
    </x:row>
    <x:row r="63">
      <x:c r="A63" s="20"/>
      <x:c r="B63" s="20"/>
      <x:c r="C63" s="20"/>
      <x:c r="D63" s="20"/>
      <x:c r="E63" s="20"/>
      <x:c r="F63" s="20"/>
      <x:c r="G63" s="21"/>
      <x:c r="H63" s="21"/>
      <x:c r="I63" s="20"/>
      <x:c r="J63" s="20"/>
      <x:c r="K63" s="20"/>
    </x:row>
    <x:row r="64">
      <x:c r="A64" s="20"/>
      <x:c r="B64" s="20"/>
      <x:c r="C64" s="20"/>
      <x:c r="D64" s="20"/>
      <x:c r="E64" s="20"/>
      <x:c r="F64" s="20"/>
      <x:c r="G64" s="21"/>
      <x:c r="H64" s="21"/>
      <x:c r="I64" s="20"/>
      <x:c r="J64" s="20"/>
      <x:c r="K64" s="20"/>
    </x:row>
    <x:row r="65">
      <x:c r="A65" s="20"/>
      <x:c r="B65" s="20"/>
      <x:c r="C65" s="20"/>
      <x:c r="D65" s="20"/>
      <x:c r="E65" s="20"/>
      <x:c r="F65" s="20"/>
      <x:c r="G65" s="21"/>
      <x:c r="H65" s="21"/>
      <x:c r="I65" s="20"/>
      <x:c r="J65" s="20"/>
      <x:c r="K65" s="20"/>
    </x:row>
    <x:row r="66">
      <x:c r="A66" s="20"/>
      <x:c r="B66" s="20"/>
      <x:c r="C66" s="20"/>
      <x:c r="D66" s="20"/>
      <x:c r="E66" s="20"/>
      <x:c r="F66" s="20"/>
      <x:c r="G66" s="21"/>
      <x:c r="H66" s="21"/>
      <x:c r="I66" s="20"/>
      <x:c r="J66" s="20"/>
      <x:c r="K66" s="20"/>
    </x:row>
    <x:row r="67">
      <x:c r="A67" s="20"/>
      <x:c r="B67" s="20"/>
      <x:c r="C67" s="20"/>
      <x:c r="D67" s="20"/>
      <x:c r="E67" s="20"/>
      <x:c r="F67" s="20"/>
      <x:c r="G67" s="21"/>
      <x:c r="H67" s="21"/>
      <x:c r="I67" s="20"/>
      <x:c r="J67" s="20"/>
      <x:c r="K67" s="20"/>
    </x:row>
    <x:row r="68">
      <x:c r="A68" s="20"/>
      <x:c r="B68" s="20"/>
      <x:c r="C68" s="20"/>
      <x:c r="D68" s="20"/>
      <x:c r="E68" s="20"/>
      <x:c r="F68" s="20"/>
      <x:c r="G68" s="21"/>
      <x:c r="H68" s="21"/>
      <x:c r="I68" s="20"/>
      <x:c r="J68" s="20"/>
      <x:c r="K68" s="20"/>
    </x:row>
    <x:row r="69">
      <x:c r="A69" s="20"/>
      <x:c r="B69" s="20"/>
      <x:c r="C69" s="20"/>
      <x:c r="D69" s="20"/>
      <x:c r="E69" s="20"/>
      <x:c r="F69" s="20"/>
      <x:c r="G69" s="21"/>
      <x:c r="H69" s="21"/>
      <x:c r="I69" s="20"/>
      <x:c r="J69" s="20"/>
      <x:c r="K69" s="20"/>
    </x:row>
    <x:row r="70">
      <x:c r="A70" s="20"/>
      <x:c r="B70" s="20"/>
      <x:c r="C70" s="20"/>
      <x:c r="D70" s="20"/>
      <x:c r="E70" s="20"/>
      <x:c r="F70" s="20"/>
      <x:c r="G70" s="21"/>
      <x:c r="H70" s="21"/>
      <x:c r="I70" s="20"/>
      <x:c r="J70" s="20"/>
      <x:c r="K70" s="20"/>
    </x:row>
    <x:row r="71">
      <x:c r="A71" s="20"/>
      <x:c r="B71" s="20"/>
      <x:c r="C71" s="20"/>
      <x:c r="D71" s="20"/>
      <x:c r="E71" s="20"/>
      <x:c r="F71" s="20"/>
      <x:c r="G71" s="21"/>
      <x:c r="H71" s="21"/>
      <x:c r="I71" s="20"/>
      <x:c r="J71" s="20"/>
      <x:c r="K71" s="20"/>
    </x:row>
    <x:row r="72">
      <x:c r="A72" s="20"/>
      <x:c r="B72" s="20"/>
      <x:c r="C72" s="20"/>
      <x:c r="D72" s="20"/>
      <x:c r="E72" s="20"/>
      <x:c r="F72" s="20"/>
      <x:c r="G72" s="21"/>
      <x:c r="H72" s="21"/>
      <x:c r="I72" s="20"/>
      <x:c r="J72" s="20"/>
      <x:c r="K72" s="20"/>
    </x:row>
    <x:row r="73">
      <x:c r="A73" s="20"/>
      <x:c r="B73" s="20"/>
      <x:c r="C73" s="20"/>
      <x:c r="D73" s="20"/>
      <x:c r="E73" s="20"/>
      <x:c r="F73" s="20"/>
      <x:c r="G73" s="21"/>
      <x:c r="H73" s="21"/>
      <x:c r="I73" s="20"/>
      <x:c r="J73" s="20"/>
      <x:c r="K73" s="20"/>
    </x:row>
    <x:row r="74">
      <x:c r="A74" s="20"/>
      <x:c r="B74" s="20"/>
      <x:c r="C74" s="20"/>
      <x:c r="D74" s="20"/>
      <x:c r="E74" s="20"/>
      <x:c r="F74" s="20"/>
      <x:c r="G74" s="21"/>
      <x:c r="H74" s="21"/>
      <x:c r="I74" s="20"/>
      <x:c r="J74" s="20"/>
      <x:c r="K74" s="20"/>
    </x:row>
    <x:row r="75">
      <x:c r="A75" s="20"/>
      <x:c r="B75" s="20"/>
      <x:c r="C75" s="20"/>
      <x:c r="D75" s="20"/>
      <x:c r="E75" s="20"/>
      <x:c r="F75" s="20"/>
      <x:c r="G75" s="21"/>
      <x:c r="H75" s="21"/>
      <x:c r="I75" s="20"/>
      <x:c r="J75" s="20"/>
      <x:c r="K75" s="20"/>
    </x:row>
    <x:row r="76">
      <x:c r="A76" s="20"/>
      <x:c r="B76" s="20"/>
      <x:c r="C76" s="20"/>
      <x:c r="D76" s="20"/>
      <x:c r="E76" s="20"/>
      <x:c r="F76" s="20"/>
      <x:c r="G76" s="21"/>
      <x:c r="H76" s="21"/>
      <x:c r="I76" s="20"/>
      <x:c r="J76" s="20"/>
      <x:c r="K76" s="20"/>
    </x:row>
    <x:row r="77">
      <x:c r="A77" s="20"/>
      <x:c r="B77" s="20"/>
      <x:c r="C77" s="20"/>
      <x:c r="D77" s="20"/>
      <x:c r="E77" s="20"/>
      <x:c r="F77" s="20"/>
      <x:c r="G77" s="21"/>
      <x:c r="H77" s="21"/>
      <x:c r="I77" s="20"/>
      <x:c r="J77" s="20"/>
      <x:c r="K77" s="20"/>
    </x:row>
    <x:row r="78">
      <x:c r="A78" s="20"/>
      <x:c r="B78" s="20"/>
      <x:c r="C78" s="20"/>
      <x:c r="D78" s="20"/>
      <x:c r="E78" s="20"/>
      <x:c r="F78" s="20"/>
      <x:c r="G78" s="21"/>
      <x:c r="H78" s="21"/>
      <x:c r="I78" s="20"/>
      <x:c r="J78" s="20"/>
      <x:c r="K78" s="20"/>
    </x:row>
    <x:row r="79">
      <x:c r="A79" s="20"/>
      <x:c r="B79" s="20"/>
      <x:c r="C79" s="20"/>
      <x:c r="D79" s="20"/>
      <x:c r="E79" s="20"/>
      <x:c r="F79" s="20"/>
      <x:c r="G79" s="21"/>
      <x:c r="H79" s="21"/>
      <x:c r="I79" s="20"/>
      <x:c r="J79" s="20"/>
      <x:c r="K79" s="20"/>
    </x:row>
    <x:row r="80">
      <x:c r="A80" s="20"/>
      <x:c r="B80" s="20"/>
      <x:c r="C80" s="20"/>
      <x:c r="D80" s="20"/>
      <x:c r="E80" s="20"/>
      <x:c r="F80" s="20"/>
      <x:c r="G80" s="21"/>
      <x:c r="H80" s="21"/>
      <x:c r="I80" s="20"/>
      <x:c r="J80" s="20"/>
      <x:c r="K80" s="20"/>
    </x:row>
    <x:row r="81">
      <x:c r="A81" s="20"/>
      <x:c r="B81" s="20"/>
      <x:c r="C81" s="20"/>
      <x:c r="D81" s="20"/>
      <x:c r="E81" s="20"/>
      <x:c r="F81" s="20"/>
      <x:c r="G81" s="21"/>
      <x:c r="H81" s="21"/>
      <x:c r="I81" s="20"/>
      <x:c r="J81" s="20"/>
      <x:c r="K81" s="20"/>
    </x:row>
    <x:row r="82">
      <x:c r="A82" s="20"/>
      <x:c r="B82" s="20"/>
      <x:c r="C82" s="20"/>
      <x:c r="D82" s="20"/>
      <x:c r="E82" s="20"/>
      <x:c r="F82" s="20"/>
      <x:c r="G82" s="21"/>
      <x:c r="H82" s="21"/>
      <x:c r="I82" s="20"/>
      <x:c r="J82" s="20"/>
      <x:c r="K82" s="20"/>
    </x:row>
    <x:row r="83">
      <x:c r="A83" s="20"/>
      <x:c r="B83" s="20"/>
      <x:c r="C83" s="20"/>
      <x:c r="D83" s="20"/>
      <x:c r="E83" s="20"/>
      <x:c r="F83" s="20"/>
      <x:c r="G83" s="21"/>
      <x:c r="H83" s="21"/>
      <x:c r="I83" s="20"/>
      <x:c r="J83" s="20"/>
      <x:c r="K83" s="20"/>
    </x:row>
    <x:row r="84">
      <x:c r="A84" s="20"/>
      <x:c r="B84" s="20"/>
      <x:c r="C84" s="20"/>
      <x:c r="D84" s="20"/>
      <x:c r="E84" s="20"/>
      <x:c r="F84" s="20"/>
      <x:c r="G84" s="21"/>
      <x:c r="H84" s="21"/>
      <x:c r="I84" s="20"/>
      <x:c r="J84" s="20"/>
      <x:c r="K84" s="20"/>
    </x:row>
    <x:row r="85">
      <x:c r="A85" s="20"/>
      <x:c r="B85" s="20"/>
      <x:c r="C85" s="20"/>
      <x:c r="D85" s="20"/>
      <x:c r="E85" s="20"/>
      <x:c r="F85" s="20"/>
      <x:c r="G85" s="21"/>
      <x:c r="H85" s="21"/>
      <x:c r="I85" s="20"/>
      <x:c r="J85" s="20"/>
      <x:c r="K85" s="20"/>
    </x:row>
    <x:row r="86">
      <x:c r="A86" s="20"/>
      <x:c r="B86" s="20"/>
      <x:c r="C86" s="20"/>
      <x:c r="D86" s="20"/>
      <x:c r="E86" s="20"/>
      <x:c r="F86" s="20"/>
      <x:c r="G86" s="21"/>
      <x:c r="H86" s="21"/>
      <x:c r="I86" s="20"/>
      <x:c r="J86" s="20"/>
      <x:c r="K86" s="20"/>
    </x:row>
    <x:row r="87">
      <x:c r="A87" s="20"/>
      <x:c r="B87" s="20"/>
      <x:c r="C87" s="20"/>
      <x:c r="D87" s="20"/>
      <x:c r="E87" s="20"/>
      <x:c r="F87" s="20"/>
      <x:c r="G87" s="21"/>
      <x:c r="H87" s="21"/>
      <x:c r="I87" s="20"/>
      <x:c r="J87" s="20"/>
      <x:c r="K87" s="20"/>
    </x:row>
    <x:row r="88">
      <x:c r="A88" s="20"/>
      <x:c r="B88" s="20"/>
      <x:c r="C88" s="20"/>
      <x:c r="D88" s="20"/>
      <x:c r="E88" s="20"/>
      <x:c r="F88" s="20"/>
      <x:c r="G88" s="21"/>
      <x:c r="H88" s="21"/>
      <x:c r="I88" s="20"/>
      <x:c r="J88" s="20"/>
      <x:c r="K88" s="20"/>
    </x:row>
    <x:row r="89">
      <x:c r="A89" s="20"/>
      <x:c r="B89" s="20"/>
      <x:c r="C89" s="20"/>
      <x:c r="D89" s="20"/>
      <x:c r="E89" s="20"/>
      <x:c r="F89" s="20"/>
      <x:c r="G89" s="21"/>
      <x:c r="H89" s="21"/>
      <x:c r="I89" s="20"/>
      <x:c r="J89" s="20"/>
      <x:c r="K89" s="20"/>
    </x:row>
    <x:row r="90">
      <x:c r="A90" s="20"/>
      <x:c r="B90" s="20"/>
      <x:c r="C90" s="20"/>
      <x:c r="D90" s="20"/>
      <x:c r="E90" s="20"/>
      <x:c r="F90" s="20"/>
      <x:c r="G90" s="21"/>
      <x:c r="H90" s="21"/>
      <x:c r="I90" s="20"/>
      <x:c r="J90" s="20"/>
      <x:c r="K90" s="20"/>
    </x:row>
    <x:row r="91">
      <x:c r="A91" s="20"/>
      <x:c r="B91" s="20"/>
      <x:c r="C91" s="20"/>
      <x:c r="D91" s="20"/>
      <x:c r="E91" s="20"/>
      <x:c r="F91" s="20"/>
      <x:c r="G91" s="21"/>
      <x:c r="H91" s="21"/>
      <x:c r="I91" s="20"/>
      <x:c r="J91" s="20"/>
      <x:c r="K91" s="20"/>
    </x:row>
    <x:row r="92">
      <x:c r="A92" s="20"/>
      <x:c r="B92" s="20"/>
      <x:c r="C92" s="20"/>
      <x:c r="D92" s="20"/>
      <x:c r="E92" s="20"/>
      <x:c r="F92" s="20"/>
      <x:c r="G92" s="21"/>
      <x:c r="H92" s="21"/>
      <x:c r="I92" s="20"/>
      <x:c r="J92" s="20"/>
      <x:c r="K92" s="20"/>
    </x:row>
    <x:row r="93">
      <x:c r="A93" s="20"/>
      <x:c r="B93" s="20"/>
      <x:c r="C93" s="20"/>
      <x:c r="D93" s="20"/>
      <x:c r="E93" s="20"/>
      <x:c r="F93" s="20"/>
      <x:c r="G93" s="21"/>
      <x:c r="H93" s="21"/>
      <x:c r="I93" s="20"/>
      <x:c r="J93" s="20"/>
      <x:c r="K93" s="20"/>
    </x:row>
    <x:row r="94">
      <x:c r="A94" s="20"/>
      <x:c r="B94" s="20"/>
      <x:c r="C94" s="20"/>
      <x:c r="D94" s="20"/>
      <x:c r="E94" s="20"/>
      <x:c r="F94" s="20"/>
      <x:c r="G94" s="21"/>
      <x:c r="H94" s="21"/>
      <x:c r="I94" s="20"/>
      <x:c r="J94" s="20"/>
      <x:c r="K94" s="20"/>
    </x:row>
    <x:row r="95">
      <x:c r="A95" s="20"/>
      <x:c r="B95" s="20"/>
      <x:c r="C95" s="20"/>
      <x:c r="D95" s="20"/>
      <x:c r="E95" s="20"/>
      <x:c r="F95" s="20"/>
      <x:c r="G95" s="21"/>
      <x:c r="H95" s="21"/>
      <x:c r="I95" s="20"/>
      <x:c r="J95" s="20"/>
      <x:c r="K95" s="20"/>
    </x:row>
    <x:row r="96">
      <x:c r="A96" s="20"/>
      <x:c r="B96" s="20"/>
      <x:c r="C96" s="20"/>
      <x:c r="D96" s="20"/>
      <x:c r="E96" s="20"/>
      <x:c r="F96" s="20"/>
      <x:c r="G96" s="21"/>
      <x:c r="H96" s="21"/>
      <x:c r="I96" s="20"/>
      <x:c r="J96" s="20"/>
      <x:c r="K96" s="20"/>
    </x:row>
    <x:row r="97">
      <x:c r="A97" s="20"/>
      <x:c r="B97" s="20"/>
      <x:c r="C97" s="20"/>
      <x:c r="D97" s="20"/>
      <x:c r="E97" s="20"/>
      <x:c r="F97" s="20"/>
      <x:c r="G97" s="21"/>
      <x:c r="H97" s="21"/>
      <x:c r="I97" s="20"/>
      <x:c r="J97" s="20"/>
      <x:c r="K97" s="20"/>
    </x:row>
    <x:row r="98">
      <x:c r="A98" s="20"/>
      <x:c r="B98" s="20"/>
      <x:c r="C98" s="20"/>
      <x:c r="D98" s="20"/>
      <x:c r="E98" s="20"/>
      <x:c r="F98" s="20"/>
      <x:c r="G98" s="21"/>
      <x:c r="H98" s="21"/>
      <x:c r="I98" s="20"/>
      <x:c r="J98" s="20"/>
      <x:c r="K98" s="20"/>
    </x:row>
    <x:row r="99">
      <x:c r="A99" s="20"/>
      <x:c r="B99" s="20"/>
      <x:c r="C99" s="20"/>
      <x:c r="D99" s="20"/>
      <x:c r="E99" s="20"/>
      <x:c r="F99" s="20"/>
      <x:c r="G99" s="21"/>
      <x:c r="H99" s="21"/>
      <x:c r="I99" s="20"/>
      <x:c r="J99" s="20"/>
      <x:c r="K99" s="20"/>
    </x:row>
    <x:row r="100">
      <x:c r="A100" s="20"/>
      <x:c r="B100" s="20"/>
      <x:c r="C100" s="20"/>
      <x:c r="D100" s="20"/>
      <x:c r="E100" s="20"/>
      <x:c r="F100" s="20"/>
      <x:c r="G100" s="21"/>
      <x:c r="H100" s="21"/>
      <x:c r="I100" s="20"/>
      <x:c r="J100" s="20"/>
      <x:c r="K100" s="20"/>
    </x:row>
    <x:row r="101">
      <x:c r="A101" s="20"/>
      <x:c r="B101" s="20"/>
      <x:c r="C101" s="20"/>
      <x:c r="D101" s="20"/>
      <x:c r="E101" s="20"/>
      <x:c r="F101" s="20"/>
      <x:c r="G101" s="21"/>
      <x:c r="H101" s="21"/>
      <x:c r="I101" s="20"/>
      <x:c r="J101" s="20"/>
      <x:c r="K101" s="20"/>
    </x:row>
    <x:row r="102">
      <x:c r="A102" s="20"/>
      <x:c r="B102" s="20"/>
      <x:c r="C102" s="20"/>
      <x:c r="D102" s="20"/>
      <x:c r="E102" s="20"/>
      <x:c r="F102" s="20"/>
      <x:c r="G102" s="21"/>
      <x:c r="H102" s="21"/>
      <x:c r="I102" s="20"/>
      <x:c r="J102" s="20"/>
      <x:c r="K102" s="20"/>
    </x:row>
    <x:row r="103">
      <x:c r="A103" s="20"/>
      <x:c r="B103" s="20"/>
      <x:c r="C103" s="20"/>
      <x:c r="D103" s="20"/>
      <x:c r="E103" s="20"/>
      <x:c r="F103" s="20"/>
      <x:c r="G103" s="21"/>
      <x:c r="H103" s="21"/>
      <x:c r="I103" s="20"/>
      <x:c r="J103" s="20"/>
      <x:c r="K103" s="20"/>
    </x:row>
    <x:row r="104">
      <x:c r="A104" s="20"/>
      <x:c r="B104" s="20"/>
      <x:c r="C104" s="20"/>
      <x:c r="D104" s="20"/>
      <x:c r="E104" s="20"/>
      <x:c r="F104" s="20"/>
      <x:c r="G104" s="21"/>
      <x:c r="H104" s="21"/>
      <x:c r="I104" s="20"/>
      <x:c r="J104" s="20"/>
      <x:c r="K104" s="20"/>
    </x:row>
    <x:row r="105">
      <x:c r="A105" s="20"/>
      <x:c r="B105" s="20"/>
      <x:c r="C105" s="20"/>
      <x:c r="D105" s="20"/>
      <x:c r="E105" s="20"/>
      <x:c r="F105" s="20"/>
      <x:c r="G105" s="21"/>
      <x:c r="H105" s="21"/>
      <x:c r="I105" s="20"/>
      <x:c r="J105" s="20"/>
      <x:c r="K105" s="20"/>
    </x:row>
    <x:row r="106">
      <x:c r="A106" s="20"/>
      <x:c r="B106" s="20"/>
      <x:c r="C106" s="20"/>
      <x:c r="D106" s="20"/>
      <x:c r="E106" s="20"/>
      <x:c r="F106" s="20"/>
      <x:c r="G106" s="21"/>
      <x:c r="H106" s="21"/>
      <x:c r="I106" s="20"/>
      <x:c r="J106" s="20"/>
      <x:c r="K106" s="20"/>
    </x:row>
    <x:row r="107">
      <x:c r="A107" s="20"/>
      <x:c r="B107" s="20"/>
      <x:c r="C107" s="20"/>
      <x:c r="D107" s="20"/>
      <x:c r="E107" s="20"/>
      <x:c r="F107" s="20"/>
      <x:c r="G107" s="21"/>
      <x:c r="H107" s="21"/>
      <x:c r="I107" s="20"/>
      <x:c r="J107" s="20"/>
      <x:c r="K107" s="20"/>
    </x:row>
    <x:row r="108">
      <x:c r="A108" s="20"/>
      <x:c r="B108" s="20"/>
      <x:c r="C108" s="20"/>
      <x:c r="D108" s="20"/>
      <x:c r="E108" s="20"/>
      <x:c r="F108" s="20"/>
      <x:c r="G108" s="21"/>
      <x:c r="H108" s="21"/>
      <x:c r="I108" s="20"/>
      <x:c r="J108" s="20"/>
      <x:c r="K108" s="20"/>
    </x:row>
    <x:row r="109">
      <x:c r="A109" s="20"/>
      <x:c r="B109" s="20"/>
      <x:c r="C109" s="20"/>
      <x:c r="D109" s="20"/>
      <x:c r="E109" s="20"/>
      <x:c r="F109" s="20"/>
      <x:c r="G109" s="21"/>
      <x:c r="H109" s="21"/>
      <x:c r="I109" s="20"/>
      <x:c r="J109" s="20"/>
      <x:c r="K109" s="20"/>
    </x:row>
    <x:row r="110">
      <x:c r="A110" s="20"/>
      <x:c r="B110" s="20"/>
      <x:c r="C110" s="20"/>
      <x:c r="D110" s="20"/>
      <x:c r="E110" s="20"/>
      <x:c r="F110" s="20"/>
      <x:c r="G110" s="21"/>
      <x:c r="H110" s="21"/>
      <x:c r="I110" s="20"/>
      <x:c r="J110" s="20"/>
      <x:c r="K110" s="20"/>
    </x:row>
    <x:row r="111">
      <x:c r="A111" s="20"/>
      <x:c r="B111" s="20"/>
      <x:c r="C111" s="20"/>
      <x:c r="D111" s="20"/>
      <x:c r="E111" s="20"/>
      <x:c r="F111" s="20"/>
      <x:c r="G111" s="21"/>
      <x:c r="H111" s="21"/>
      <x:c r="I111" s="20"/>
      <x:c r="J111" s="20"/>
      <x:c r="K111" s="20"/>
    </x:row>
    <x:row r="112">
      <x:c r="A112" s="20"/>
      <x:c r="B112" s="20"/>
      <x:c r="C112" s="20"/>
      <x:c r="D112" s="20"/>
      <x:c r="E112" s="20"/>
      <x:c r="F112" s="20"/>
      <x:c r="G112" s="21"/>
      <x:c r="H112" s="21"/>
      <x:c r="I112" s="20"/>
      <x:c r="J112" s="20"/>
      <x:c r="K112" s="20"/>
    </x:row>
    <x:row r="113">
      <x:c r="A113" s="20"/>
      <x:c r="B113" s="20"/>
      <x:c r="C113" s="20"/>
      <x:c r="D113" s="20"/>
      <x:c r="E113" s="20"/>
      <x:c r="F113" s="20"/>
      <x:c r="G113" s="21"/>
      <x:c r="H113" s="21"/>
      <x:c r="I113" s="20"/>
      <x:c r="J113" s="20"/>
      <x:c r="K113" s="20"/>
    </x:row>
    <x:row r="114">
      <x:c r="A114" s="20"/>
      <x:c r="B114" s="20"/>
      <x:c r="C114" s="20"/>
      <x:c r="D114" s="20"/>
      <x:c r="E114" s="20"/>
      <x:c r="F114" s="20"/>
      <x:c r="G114" s="21"/>
      <x:c r="H114" s="21"/>
      <x:c r="I114" s="20"/>
      <x:c r="J114" s="20"/>
      <x:c r="K114" s="20"/>
    </x:row>
    <x:row r="115">
      <x:c r="A115" s="20"/>
      <x:c r="B115" s="20"/>
      <x:c r="C115" s="20"/>
      <x:c r="D115" s="20"/>
      <x:c r="E115" s="20"/>
      <x:c r="F115" s="20"/>
      <x:c r="G115" s="21"/>
      <x:c r="H115" s="21"/>
      <x:c r="I115" s="20"/>
      <x:c r="J115" s="20"/>
      <x:c r="K115" s="20"/>
    </x:row>
    <x:row r="116">
      <x:c r="A116" s="20"/>
      <x:c r="B116" s="20"/>
      <x:c r="C116" s="20"/>
      <x:c r="D116" s="20"/>
      <x:c r="E116" s="20"/>
      <x:c r="F116" s="20"/>
      <x:c r="G116" s="21"/>
      <x:c r="H116" s="21"/>
      <x:c r="I116" s="20"/>
      <x:c r="J116" s="20"/>
      <x:c r="K116" s="20"/>
    </x:row>
    <x:row r="117">
      <x:c r="A117" s="20"/>
      <x:c r="B117" s="20"/>
      <x:c r="C117" s="20"/>
      <x:c r="D117" s="20"/>
      <x:c r="E117" s="20"/>
      <x:c r="F117" s="20"/>
      <x:c r="G117" s="21"/>
      <x:c r="H117" s="21"/>
      <x:c r="I117" s="20"/>
      <x:c r="J117" s="20"/>
      <x:c r="K117" s="20"/>
    </x:row>
    <x:row r="118">
      <x:c r="A118" s="20"/>
      <x:c r="B118" s="20"/>
      <x:c r="C118" s="20"/>
      <x:c r="D118" s="20"/>
      <x:c r="E118" s="20"/>
      <x:c r="F118" s="20"/>
      <x:c r="G118" s="21"/>
      <x:c r="H118" s="21"/>
      <x:c r="I118" s="20"/>
      <x:c r="J118" s="20"/>
      <x:c r="K118" s="20"/>
    </x:row>
    <x:row r="119">
      <x:c r="A119" s="20"/>
      <x:c r="B119" s="20"/>
      <x:c r="C119" s="20"/>
      <x:c r="D119" s="20"/>
      <x:c r="E119" s="20"/>
      <x:c r="F119" s="20"/>
      <x:c r="G119" s="21"/>
      <x:c r="H119" s="21"/>
      <x:c r="I119" s="20"/>
      <x:c r="J119" s="20"/>
      <x:c r="K119" s="20"/>
    </x:row>
    <x:row r="120">
      <x:c r="A120" s="20"/>
      <x:c r="B120" s="20"/>
      <x:c r="C120" s="20"/>
      <x:c r="D120" s="20"/>
      <x:c r="E120" s="20"/>
      <x:c r="F120" s="20"/>
      <x:c r="G120" s="21"/>
      <x:c r="H120" s="21"/>
      <x:c r="I120" s="20"/>
      <x:c r="J120" s="20"/>
      <x:c r="K120" s="20"/>
    </x:row>
    <x:row r="121">
      <x:c r="A121" s="20"/>
      <x:c r="B121" s="20"/>
      <x:c r="C121" s="20"/>
      <x:c r="D121" s="20"/>
      <x:c r="E121" s="20"/>
      <x:c r="F121" s="20"/>
      <x:c r="G121" s="21"/>
      <x:c r="H121" s="21"/>
      <x:c r="I121" s="20"/>
      <x:c r="J121" s="20"/>
      <x:c r="K121" s="20"/>
    </x:row>
    <x:row r="122">
      <x:c r="A122" s="20"/>
      <x:c r="B122" s="20"/>
      <x:c r="C122" s="20"/>
      <x:c r="D122" s="20"/>
      <x:c r="E122" s="20"/>
      <x:c r="F122" s="20"/>
      <x:c r="G122" s="21"/>
      <x:c r="H122" s="21"/>
      <x:c r="I122" s="20"/>
      <x:c r="J122" s="20"/>
      <x:c r="K122" s="20"/>
    </x:row>
    <x:row r="123">
      <x:c r="A123" s="20"/>
      <x:c r="B123" s="20"/>
      <x:c r="C123" s="20"/>
      <x:c r="D123" s="20"/>
      <x:c r="E123" s="20"/>
      <x:c r="F123" s="20"/>
      <x:c r="G123" s="21"/>
      <x:c r="H123" s="21"/>
      <x:c r="I123" s="20"/>
      <x:c r="J123" s="20"/>
      <x:c r="K123" s="20"/>
    </x:row>
    <x:row r="124">
      <x:c r="A124" s="20"/>
      <x:c r="B124" s="20"/>
      <x:c r="C124" s="20"/>
      <x:c r="D124" s="20"/>
      <x:c r="E124" s="20"/>
      <x:c r="F124" s="20"/>
      <x:c r="G124" s="21"/>
      <x:c r="H124" s="21"/>
      <x:c r="I124" s="20"/>
      <x:c r="J124" s="20"/>
      <x:c r="K124" s="20"/>
    </x:row>
    <x:row r="125">
      <x:c r="A125" s="20"/>
      <x:c r="B125" s="20"/>
      <x:c r="C125" s="20"/>
      <x:c r="D125" s="20"/>
      <x:c r="E125" s="20"/>
      <x:c r="F125" s="20"/>
      <x:c r="G125" s="21"/>
      <x:c r="H125" s="21"/>
      <x:c r="I125" s="20"/>
      <x:c r="J125" s="20"/>
      <x:c r="K125" s="20"/>
    </x:row>
    <x:row r="126">
      <x:c r="A126" s="20"/>
      <x:c r="B126" s="20"/>
      <x:c r="C126" s="20"/>
      <x:c r="D126" s="20"/>
      <x:c r="E126" s="20"/>
      <x:c r="F126" s="20"/>
      <x:c r="G126" s="21"/>
      <x:c r="H126" s="21"/>
      <x:c r="I126" s="20"/>
      <x:c r="J126" s="20"/>
      <x:c r="K126" s="20"/>
    </x:row>
    <x:row r="127">
      <x:c r="A127" s="20"/>
      <x:c r="B127" s="20"/>
      <x:c r="C127" s="20"/>
      <x:c r="D127" s="20"/>
      <x:c r="E127" s="20"/>
      <x:c r="F127" s="20"/>
      <x:c r="G127" s="21"/>
      <x:c r="H127" s="21"/>
      <x:c r="I127" s="20"/>
      <x:c r="J127" s="20"/>
      <x:c r="K127" s="20"/>
    </x:row>
    <x:row r="128">
      <x:c r="A128" s="20"/>
      <x:c r="B128" s="20"/>
      <x:c r="C128" s="20"/>
      <x:c r="D128" s="20"/>
      <x:c r="E128" s="20"/>
      <x:c r="F128" s="20"/>
      <x:c r="G128" s="21"/>
      <x:c r="H128" s="21"/>
      <x:c r="I128" s="20"/>
      <x:c r="J128" s="20"/>
      <x:c r="K128" s="20"/>
    </x:row>
    <x:row r="129">
      <x:c r="A129" s="20"/>
      <x:c r="B129" s="20"/>
      <x:c r="C129" s="20"/>
      <x:c r="D129" s="20"/>
      <x:c r="E129" s="20"/>
      <x:c r="F129" s="20"/>
      <x:c r="G129" s="21"/>
      <x:c r="H129" s="21"/>
      <x:c r="I129" s="20"/>
      <x:c r="J129" s="20"/>
      <x:c r="K129" s="20"/>
    </x:row>
    <x:row r="130">
      <x:c r="A130" s="20"/>
      <x:c r="B130" s="20"/>
      <x:c r="C130" s="20"/>
      <x:c r="D130" s="20"/>
      <x:c r="E130" s="20"/>
      <x:c r="F130" s="20"/>
      <x:c r="G130" s="21"/>
      <x:c r="H130" s="21"/>
      <x:c r="I130" s="20"/>
      <x:c r="J130" s="20"/>
      <x:c r="K130" s="20"/>
    </x:row>
    <x:row r="131">
      <x:c r="A131" s="20"/>
      <x:c r="B131" s="20"/>
      <x:c r="C131" s="20"/>
      <x:c r="D131" s="20"/>
      <x:c r="E131" s="20"/>
      <x:c r="F131" s="20"/>
      <x:c r="G131" s="21"/>
      <x:c r="H131" s="21"/>
      <x:c r="I131" s="20"/>
      <x:c r="J131" s="20"/>
      <x:c r="K131" s="20"/>
    </x:row>
    <x:row r="132">
      <x:c r="A132" s="20"/>
      <x:c r="B132" s="20"/>
      <x:c r="C132" s="20"/>
      <x:c r="D132" s="20"/>
      <x:c r="E132" s="20"/>
      <x:c r="F132" s="20"/>
      <x:c r="G132" s="21"/>
      <x:c r="H132" s="21"/>
      <x:c r="I132" s="20"/>
      <x:c r="J132" s="20"/>
      <x:c r="K132" s="20"/>
    </x:row>
    <x:row r="133">
      <x:c r="A133" s="20"/>
      <x:c r="B133" s="20"/>
      <x:c r="C133" s="20"/>
      <x:c r="D133" s="20"/>
      <x:c r="E133" s="20"/>
      <x:c r="F133" s="20"/>
      <x:c r="G133" s="21"/>
      <x:c r="H133" s="21"/>
      <x:c r="I133" s="20"/>
      <x:c r="J133" s="20"/>
      <x:c r="K133" s="20"/>
    </x:row>
    <x:row r="134">
      <x:c r="A134" s="20"/>
      <x:c r="B134" s="20"/>
      <x:c r="C134" s="20"/>
      <x:c r="D134" s="20"/>
      <x:c r="E134" s="20"/>
      <x:c r="F134" s="20"/>
      <x:c r="G134" s="21"/>
      <x:c r="H134" s="21"/>
      <x:c r="I134" s="20"/>
      <x:c r="J134" s="20"/>
      <x:c r="K134" s="20"/>
    </x:row>
    <x:row r="135">
      <x:c r="A135" s="20"/>
      <x:c r="B135" s="20"/>
      <x:c r="C135" s="20"/>
      <x:c r="D135" s="20"/>
      <x:c r="E135" s="20"/>
      <x:c r="F135" s="20"/>
      <x:c r="G135" s="21"/>
      <x:c r="H135" s="21"/>
      <x:c r="I135" s="20"/>
      <x:c r="J135" s="20"/>
      <x:c r="K135" s="20"/>
    </x:row>
    <x:row r="136">
      <x:c r="A136" s="20"/>
      <x:c r="B136" s="20"/>
      <x:c r="C136" s="20"/>
      <x:c r="D136" s="20"/>
      <x:c r="E136" s="20"/>
      <x:c r="F136" s="20"/>
      <x:c r="G136" s="21"/>
      <x:c r="H136" s="21"/>
      <x:c r="I136" s="20"/>
      <x:c r="J136" s="20"/>
      <x:c r="K136" s="20"/>
    </x:row>
    <x:row r="137">
      <x:c r="A137" s="20"/>
      <x:c r="B137" s="20"/>
      <x:c r="C137" s="20"/>
      <x:c r="D137" s="20"/>
      <x:c r="E137" s="20"/>
      <x:c r="F137" s="20"/>
      <x:c r="G137" s="21"/>
      <x:c r="H137" s="21"/>
      <x:c r="I137" s="20"/>
      <x:c r="J137" s="20"/>
      <x:c r="K137" s="20"/>
    </x:row>
    <x:row r="138">
      <x:c r="A138" s="20"/>
      <x:c r="B138" s="20"/>
      <x:c r="C138" s="20"/>
      <x:c r="D138" s="20"/>
      <x:c r="E138" s="20"/>
      <x:c r="F138" s="20"/>
      <x:c r="G138" s="21"/>
      <x:c r="H138" s="21"/>
      <x:c r="I138" s="20"/>
      <x:c r="J138" s="20"/>
      <x:c r="K138" s="20"/>
    </x:row>
    <x:row r="139">
      <x:c r="A139" s="20"/>
      <x:c r="B139" s="20"/>
      <x:c r="C139" s="20"/>
      <x:c r="D139" s="20"/>
      <x:c r="E139" s="20"/>
      <x:c r="F139" s="20"/>
      <x:c r="G139" s="21"/>
      <x:c r="H139" s="21"/>
      <x:c r="I139" s="20"/>
      <x:c r="J139" s="20"/>
      <x:c r="K139" s="20"/>
    </x:row>
    <x:row r="140">
      <x:c r="A140" s="20"/>
      <x:c r="B140" s="20"/>
      <x:c r="C140" s="20"/>
      <x:c r="D140" s="20"/>
      <x:c r="E140" s="20"/>
      <x:c r="F140" s="20"/>
      <x:c r="G140" s="21"/>
      <x:c r="H140" s="21"/>
      <x:c r="I140" s="20"/>
      <x:c r="J140" s="20"/>
      <x:c r="K140" s="20"/>
    </x:row>
    <x:row r="141">
      <x:c r="A141" s="20"/>
      <x:c r="B141" s="20"/>
      <x:c r="C141" s="20"/>
      <x:c r="D141" s="20"/>
      <x:c r="E141" s="20"/>
      <x:c r="F141" s="20"/>
      <x:c r="G141" s="21"/>
      <x:c r="H141" s="21"/>
      <x:c r="I141" s="20"/>
      <x:c r="J141" s="20"/>
      <x:c r="K141" s="20"/>
    </x:row>
    <x:row r="142">
      <x:c r="A142" s="20"/>
      <x:c r="B142" s="20"/>
      <x:c r="C142" s="20"/>
      <x:c r="D142" s="20"/>
      <x:c r="E142" s="20"/>
      <x:c r="F142" s="20"/>
      <x:c r="G142" s="21"/>
      <x:c r="H142" s="21"/>
      <x:c r="I142" s="20"/>
      <x:c r="J142" s="20"/>
      <x:c r="K142" s="20"/>
    </x:row>
    <x:row r="143">
      <x:c r="A143" s="20"/>
      <x:c r="B143" s="20"/>
      <x:c r="C143" s="20"/>
      <x:c r="D143" s="20"/>
      <x:c r="E143" s="20"/>
      <x:c r="F143" s="20"/>
      <x:c r="G143" s="21"/>
      <x:c r="H143" s="21"/>
      <x:c r="I143" s="20"/>
      <x:c r="J143" s="20"/>
      <x:c r="K143" s="20"/>
    </x:row>
    <x:row r="144">
      <x:c r="A144" s="20"/>
      <x:c r="B144" s="20"/>
      <x:c r="C144" s="20"/>
      <x:c r="D144" s="20"/>
      <x:c r="E144" s="20"/>
      <x:c r="F144" s="20"/>
      <x:c r="G144" s="21"/>
      <x:c r="H144" s="21"/>
      <x:c r="I144" s="20"/>
      <x:c r="J144" s="20"/>
      <x:c r="K144" s="20"/>
    </x:row>
    <x:row r="145">
      <x:c r="A145" s="20"/>
      <x:c r="B145" s="20"/>
      <x:c r="C145" s="20"/>
      <x:c r="D145" s="20"/>
      <x:c r="E145" s="20"/>
      <x:c r="F145" s="20"/>
      <x:c r="G145" s="21"/>
      <x:c r="H145" s="21"/>
      <x:c r="I145" s="20"/>
      <x:c r="J145" s="20"/>
      <x:c r="K145" s="20"/>
    </x:row>
    <x:row r="146">
      <x:c r="A146" s="20"/>
      <x:c r="B146" s="20"/>
      <x:c r="C146" s="20"/>
      <x:c r="D146" s="20"/>
      <x:c r="E146" s="20"/>
      <x:c r="F146" s="20"/>
      <x:c r="G146" s="21"/>
      <x:c r="H146" s="21"/>
      <x:c r="I146" s="20"/>
      <x:c r="J146" s="20"/>
      <x:c r="K146" s="20"/>
    </x:row>
    <x:row r="147">
      <x:c r="A147" s="20"/>
      <x:c r="B147" s="20"/>
      <x:c r="C147" s="20"/>
      <x:c r="D147" s="20"/>
      <x:c r="E147" s="20"/>
      <x:c r="F147" s="20"/>
      <x:c r="G147" s="21"/>
      <x:c r="H147" s="21"/>
      <x:c r="I147" s="20"/>
      <x:c r="J147" s="20"/>
      <x:c r="K147" s="20"/>
    </x:row>
    <x:row r="148">
      <x:c r="A148" s="20"/>
      <x:c r="B148" s="20"/>
      <x:c r="C148" s="20"/>
      <x:c r="D148" s="20"/>
      <x:c r="E148" s="20"/>
      <x:c r="F148" s="20"/>
      <x:c r="G148" s="21"/>
      <x:c r="H148" s="21"/>
      <x:c r="I148" s="20"/>
      <x:c r="J148" s="20"/>
      <x:c r="K148" s="20"/>
    </x:row>
    <x:row r="149">
      <x:c r="A149" s="20"/>
      <x:c r="B149" s="20"/>
      <x:c r="C149" s="20"/>
      <x:c r="D149" s="20"/>
      <x:c r="E149" s="20"/>
      <x:c r="F149" s="20"/>
      <x:c r="G149" s="21"/>
      <x:c r="H149" s="21"/>
      <x:c r="I149" s="20"/>
      <x:c r="J149" s="20"/>
      <x:c r="K149" s="20"/>
    </x:row>
    <x:row r="150">
      <x:c r="A150" s="20"/>
      <x:c r="B150" s="20"/>
      <x:c r="C150" s="20"/>
      <x:c r="D150" s="20"/>
      <x:c r="E150" s="20"/>
      <x:c r="F150" s="20"/>
      <x:c r="G150" s="21"/>
      <x:c r="H150" s="21"/>
      <x:c r="I150" s="20"/>
      <x:c r="J150" s="20"/>
      <x:c r="K150" s="20"/>
    </x:row>
    <x:row r="151">
      <x:c r="A151" s="20"/>
      <x:c r="B151" s="20"/>
      <x:c r="C151" s="20"/>
      <x:c r="D151" s="20"/>
      <x:c r="E151" s="20"/>
      <x:c r="F151" s="20"/>
      <x:c r="G151" s="21"/>
      <x:c r="H151" s="21"/>
      <x:c r="I151" s="20"/>
      <x:c r="J151" s="20"/>
      <x:c r="K151" s="20"/>
    </x:row>
    <x:row r="152">
      <x:c r="A152" s="20"/>
      <x:c r="B152" s="20"/>
      <x:c r="C152" s="20"/>
      <x:c r="D152" s="20"/>
      <x:c r="E152" s="20"/>
      <x:c r="F152" s="20"/>
      <x:c r="G152" s="21"/>
      <x:c r="H152" s="21"/>
      <x:c r="I152" s="20"/>
      <x:c r="J152" s="20"/>
      <x:c r="K152" s="20"/>
    </x:row>
    <x:row r="153">
      <x:c r="A153" s="20"/>
      <x:c r="B153" s="20"/>
      <x:c r="C153" s="20"/>
      <x:c r="D153" s="20"/>
      <x:c r="E153" s="20"/>
      <x:c r="F153" s="20"/>
      <x:c r="G153" s="21"/>
      <x:c r="H153" s="21"/>
      <x:c r="I153" s="20"/>
      <x:c r="J153" s="20"/>
      <x:c r="K153" s="20"/>
    </x:row>
    <x:row r="154">
      <x:c r="A154" s="20"/>
      <x:c r="B154" s="20"/>
      <x:c r="C154" s="20"/>
      <x:c r="D154" s="20"/>
      <x:c r="E154" s="20"/>
      <x:c r="F154" s="20"/>
      <x:c r="G154" s="21"/>
      <x:c r="H154" s="21"/>
      <x:c r="I154" s="20"/>
      <x:c r="J154" s="20"/>
      <x:c r="K154" s="20"/>
    </x:row>
    <x:row r="155">
      <x:c r="A155" s="20"/>
      <x:c r="B155" s="20"/>
      <x:c r="C155" s="20"/>
      <x:c r="D155" s="20"/>
      <x:c r="E155" s="20"/>
      <x:c r="F155" s="20"/>
      <x:c r="G155" s="21"/>
      <x:c r="H155" s="21"/>
      <x:c r="I155" s="20"/>
      <x:c r="J155" s="20"/>
      <x:c r="K155" s="20"/>
    </x:row>
    <x:row r="156">
      <x:c r="A156" s="20"/>
      <x:c r="B156" s="20"/>
      <x:c r="C156" s="20"/>
      <x:c r="D156" s="20"/>
      <x:c r="E156" s="20"/>
      <x:c r="F156" s="20"/>
      <x:c r="G156" s="21"/>
      <x:c r="H156" s="21"/>
      <x:c r="I156" s="20"/>
      <x:c r="J156" s="20"/>
      <x:c r="K156" s="20"/>
    </x:row>
    <x:row r="157">
      <x:c r="A157" s="20"/>
      <x:c r="B157" s="20"/>
      <x:c r="C157" s="20"/>
      <x:c r="D157" s="20"/>
      <x:c r="E157" s="20"/>
      <x:c r="F157" s="20"/>
      <x:c r="G157" s="21"/>
      <x:c r="H157" s="21"/>
      <x:c r="I157" s="20"/>
      <x:c r="J157" s="20"/>
      <x:c r="K157" s="20"/>
    </x:row>
    <x:row r="158">
      <x:c r="A158" s="20"/>
      <x:c r="B158" s="20"/>
      <x:c r="C158" s="20"/>
      <x:c r="D158" s="20"/>
      <x:c r="E158" s="20"/>
      <x:c r="F158" s="20"/>
      <x:c r="G158" s="21"/>
      <x:c r="H158" s="21"/>
      <x:c r="I158" s="20"/>
      <x:c r="J158" s="20"/>
      <x:c r="K158" s="20"/>
    </x:row>
    <x:row r="159">
      <x:c r="A159" s="20"/>
      <x:c r="B159" s="20"/>
      <x:c r="C159" s="20"/>
      <x:c r="D159" s="20"/>
      <x:c r="E159" s="20"/>
      <x:c r="F159" s="20"/>
      <x:c r="G159" s="21"/>
      <x:c r="H159" s="21"/>
      <x:c r="I159" s="20"/>
      <x:c r="J159" s="20"/>
      <x:c r="K159" s="20"/>
    </x:row>
    <x:row r="160">
      <x:c r="A160" s="20"/>
      <x:c r="B160" s="20"/>
      <x:c r="C160" s="20"/>
      <x:c r="D160" s="20"/>
      <x:c r="E160" s="20"/>
      <x:c r="F160" s="20"/>
      <x:c r="G160" s="21"/>
      <x:c r="H160" s="21"/>
      <x:c r="I160" s="20"/>
      <x:c r="J160" s="20"/>
      <x:c r="K160" s="20"/>
    </x:row>
    <x:row r="161">
      <x:c r="A161" s="20"/>
      <x:c r="B161" s="20"/>
      <x:c r="C161" s="20"/>
      <x:c r="D161" s="20"/>
      <x:c r="E161" s="20"/>
      <x:c r="F161" s="20"/>
      <x:c r="G161" s="21"/>
      <x:c r="H161" s="21"/>
      <x:c r="I161" s="20"/>
      <x:c r="J161" s="20"/>
      <x:c r="K161" s="20"/>
    </x:row>
    <x:row r="162">
      <x:c r="A162" s="20"/>
      <x:c r="B162" s="20"/>
      <x:c r="C162" s="20"/>
      <x:c r="D162" s="20"/>
      <x:c r="E162" s="20"/>
      <x:c r="F162" s="20"/>
      <x:c r="G162" s="21"/>
      <x:c r="H162" s="21"/>
      <x:c r="I162" s="20"/>
      <x:c r="J162" s="20"/>
      <x:c r="K162" s="20"/>
    </x:row>
    <x:row r="163">
      <x:c r="A163" s="20"/>
      <x:c r="B163" s="20"/>
      <x:c r="C163" s="20"/>
      <x:c r="D163" s="20"/>
      <x:c r="E163" s="20"/>
      <x:c r="F163" s="20"/>
      <x:c r="G163" s="21"/>
      <x:c r="H163" s="21"/>
      <x:c r="I163" s="20"/>
      <x:c r="J163" s="20"/>
      <x:c r="K163" s="20"/>
    </x:row>
    <x:row r="164">
      <x:c r="A164" s="20"/>
      <x:c r="B164" s="20"/>
      <x:c r="C164" s="20"/>
      <x:c r="D164" s="20"/>
      <x:c r="E164" s="20"/>
      <x:c r="F164" s="20"/>
      <x:c r="G164" s="21"/>
      <x:c r="H164" s="21"/>
      <x:c r="I164" s="20"/>
      <x:c r="J164" s="20"/>
      <x:c r="K164" s="20"/>
    </x:row>
    <x:row r="165">
      <x:c r="A165" s="20"/>
      <x:c r="B165" s="20"/>
      <x:c r="C165" s="20"/>
      <x:c r="D165" s="20"/>
      <x:c r="E165" s="20"/>
      <x:c r="F165" s="20"/>
      <x:c r="G165" s="21"/>
      <x:c r="H165" s="21"/>
      <x:c r="I165" s="20"/>
      <x:c r="J165" s="20"/>
      <x:c r="K165" s="20"/>
    </x:row>
    <x:row r="166">
      <x:c r="A166" s="20"/>
      <x:c r="B166" s="20"/>
      <x:c r="C166" s="20"/>
      <x:c r="D166" s="20"/>
      <x:c r="E166" s="20"/>
      <x:c r="F166" s="20"/>
      <x:c r="G166" s="21"/>
      <x:c r="H166" s="21"/>
      <x:c r="I166" s="20"/>
      <x:c r="J166" s="20"/>
      <x:c r="K166" s="20"/>
    </x:row>
    <x:row r="167">
      <x:c r="A167" s="20"/>
      <x:c r="B167" s="20"/>
      <x:c r="C167" s="20"/>
      <x:c r="D167" s="20"/>
      <x:c r="E167" s="20"/>
      <x:c r="F167" s="20"/>
      <x:c r="G167" s="21"/>
      <x:c r="H167" s="21"/>
      <x:c r="I167" s="20"/>
      <x:c r="J167" s="20"/>
      <x:c r="K167" s="20"/>
    </x:row>
    <x:row r="168">
      <x:c r="A168" s="20"/>
      <x:c r="B168" s="20"/>
      <x:c r="C168" s="20"/>
      <x:c r="D168" s="20"/>
      <x:c r="E168" s="20"/>
      <x:c r="F168" s="20"/>
      <x:c r="G168" s="21"/>
      <x:c r="H168" s="21"/>
      <x:c r="I168" s="20"/>
      <x:c r="J168" s="20"/>
      <x:c r="K168" s="20"/>
    </x:row>
    <x:row r="169">
      <x:c r="A169" s="20"/>
      <x:c r="B169" s="20"/>
      <x:c r="C169" s="20"/>
      <x:c r="D169" s="20"/>
      <x:c r="E169" s="20"/>
      <x:c r="F169" s="20"/>
      <x:c r="G169" s="21"/>
      <x:c r="H169" s="21"/>
      <x:c r="I169" s="20"/>
      <x:c r="J169" s="20"/>
      <x:c r="K169" s="20"/>
    </x:row>
    <x:row r="170">
      <x:c r="A170" s="20"/>
      <x:c r="B170" s="20"/>
      <x:c r="C170" s="20"/>
      <x:c r="D170" s="20"/>
      <x:c r="E170" s="20"/>
      <x:c r="F170" s="20"/>
      <x:c r="G170" s="21"/>
      <x:c r="H170" s="21"/>
      <x:c r="I170" s="20"/>
      <x:c r="J170" s="20"/>
      <x:c r="K170" s="20"/>
    </x:row>
    <x:row r="171">
      <x:c r="A171" s="20"/>
      <x:c r="B171" s="20"/>
      <x:c r="C171" s="20"/>
      <x:c r="D171" s="20"/>
      <x:c r="E171" s="20"/>
      <x:c r="F171" s="20"/>
      <x:c r="G171" s="21"/>
      <x:c r="H171" s="21"/>
      <x:c r="I171" s="20"/>
      <x:c r="J171" s="20"/>
      <x:c r="K171" s="20"/>
    </x:row>
    <x:row r="172">
      <x:c r="A172" s="20"/>
      <x:c r="B172" s="20"/>
      <x:c r="C172" s="20"/>
      <x:c r="D172" s="20"/>
      <x:c r="E172" s="20"/>
      <x:c r="F172" s="20"/>
      <x:c r="G172" s="21"/>
      <x:c r="H172" s="21"/>
      <x:c r="I172" s="20"/>
      <x:c r="J172" s="20"/>
      <x:c r="K172" s="20"/>
    </x:row>
    <x:row r="173">
      <x:c r="A173" s="20"/>
      <x:c r="B173" s="20"/>
      <x:c r="C173" s="20"/>
      <x:c r="D173" s="20"/>
      <x:c r="E173" s="20"/>
      <x:c r="F173" s="20"/>
      <x:c r="G173" s="21"/>
      <x:c r="H173" s="21"/>
      <x:c r="I173" s="20"/>
      <x:c r="J173" s="20"/>
      <x:c r="K173" s="20"/>
    </x:row>
    <x:row r="174">
      <x:c r="A174" s="20"/>
      <x:c r="B174" s="20"/>
      <x:c r="C174" s="20"/>
      <x:c r="D174" s="20"/>
      <x:c r="E174" s="20"/>
      <x:c r="F174" s="20"/>
      <x:c r="G174" s="21"/>
      <x:c r="H174" s="21"/>
      <x:c r="I174" s="20"/>
      <x:c r="J174" s="20"/>
      <x:c r="K174" s="20"/>
    </x:row>
    <x:row r="175">
      <x:c r="A175" s="20"/>
      <x:c r="B175" s="20"/>
      <x:c r="C175" s="20"/>
      <x:c r="D175" s="20"/>
      <x:c r="E175" s="20"/>
      <x:c r="F175" s="20"/>
      <x:c r="G175" s="21"/>
      <x:c r="H175" s="21"/>
      <x:c r="I175" s="20"/>
      <x:c r="J175" s="20"/>
      <x:c r="K175" s="20"/>
    </x:row>
    <x:row r="176">
      <x:c r="A176" s="20"/>
      <x:c r="B176" s="20"/>
      <x:c r="C176" s="20"/>
      <x:c r="D176" s="20"/>
      <x:c r="E176" s="20"/>
      <x:c r="F176" s="20"/>
      <x:c r="G176" s="21"/>
      <x:c r="H176" s="21"/>
      <x:c r="I176" s="20"/>
      <x:c r="J176" s="20"/>
      <x:c r="K176" s="20"/>
    </x:row>
    <x:row r="177">
      <x:c r="A177" s="20"/>
      <x:c r="B177" s="20"/>
      <x:c r="C177" s="20"/>
      <x:c r="D177" s="20"/>
      <x:c r="E177" s="20"/>
      <x:c r="F177" s="20"/>
      <x:c r="G177" s="21"/>
      <x:c r="H177" s="21"/>
      <x:c r="I177" s="20"/>
      <x:c r="J177" s="20"/>
      <x:c r="K177" s="20"/>
    </x:row>
    <x:row r="178">
      <x:c r="A178" s="20"/>
      <x:c r="B178" s="20"/>
      <x:c r="C178" s="20"/>
      <x:c r="D178" s="20"/>
      <x:c r="E178" s="20"/>
      <x:c r="F178" s="20"/>
      <x:c r="G178" s="21"/>
      <x:c r="H178" s="21"/>
      <x:c r="I178" s="20"/>
      <x:c r="J178" s="20"/>
      <x:c r="K178" s="20"/>
    </x:row>
    <x:row r="179">
      <x:c r="A179" s="20"/>
      <x:c r="B179" s="20"/>
      <x:c r="C179" s="20"/>
      <x:c r="D179" s="20"/>
      <x:c r="E179" s="20"/>
      <x:c r="F179" s="20"/>
      <x:c r="G179" s="21"/>
      <x:c r="H179" s="21"/>
      <x:c r="I179" s="20"/>
      <x:c r="J179" s="20"/>
      <x:c r="K179" s="20"/>
    </x:row>
    <x:row r="180">
      <x:c r="A180" s="20"/>
      <x:c r="B180" s="20"/>
      <x:c r="C180" s="20"/>
      <x:c r="D180" s="20"/>
      <x:c r="E180" s="20"/>
      <x:c r="F180" s="20"/>
      <x:c r="G180" s="21"/>
      <x:c r="H180" s="21"/>
      <x:c r="I180" s="20"/>
      <x:c r="J180" s="20"/>
      <x:c r="K180" s="20"/>
    </x:row>
    <x:row r="181">
      <x:c r="A181" s="20"/>
      <x:c r="B181" s="20"/>
      <x:c r="C181" s="20"/>
      <x:c r="D181" s="20"/>
      <x:c r="E181" s="20"/>
      <x:c r="F181" s="20"/>
      <x:c r="G181" s="21"/>
      <x:c r="H181" s="21"/>
      <x:c r="I181" s="20"/>
      <x:c r="J181" s="20"/>
      <x:c r="K181" s="20"/>
    </x:row>
    <x:row r="182">
      <x:c r="A182" s="20"/>
      <x:c r="B182" s="20"/>
      <x:c r="C182" s="20"/>
      <x:c r="D182" s="20"/>
      <x:c r="E182" s="20"/>
      <x:c r="F182" s="20"/>
      <x:c r="G182" s="21"/>
      <x:c r="H182" s="21"/>
      <x:c r="I182" s="20"/>
      <x:c r="J182" s="20"/>
      <x:c r="K182" s="20"/>
    </x:row>
    <x:row r="183">
      <x:c r="A183" s="20"/>
      <x:c r="B183" s="20"/>
      <x:c r="C183" s="20"/>
      <x:c r="D183" s="20"/>
      <x:c r="E183" s="20"/>
      <x:c r="F183" s="20"/>
      <x:c r="G183" s="21"/>
      <x:c r="H183" s="21"/>
      <x:c r="I183" s="20"/>
      <x:c r="J183" s="20"/>
      <x:c r="K183" s="20"/>
    </x:row>
    <x:row r="184">
      <x:c r="A184" s="20"/>
      <x:c r="B184" s="20"/>
      <x:c r="C184" s="20"/>
      <x:c r="D184" s="20"/>
      <x:c r="E184" s="20"/>
      <x:c r="F184" s="20"/>
      <x:c r="G184" s="21"/>
      <x:c r="H184" s="21"/>
      <x:c r="I184" s="20"/>
      <x:c r="J184" s="20"/>
      <x:c r="K184" s="20"/>
    </x:row>
    <x:row r="185">
      <x:c r="A185" s="20"/>
      <x:c r="B185" s="20"/>
      <x:c r="C185" s="20"/>
      <x:c r="D185" s="20"/>
      <x:c r="E185" s="20"/>
      <x:c r="F185" s="20"/>
      <x:c r="G185" s="21"/>
      <x:c r="H185" s="21"/>
      <x:c r="I185" s="20"/>
      <x:c r="J185" s="20"/>
      <x:c r="K185" s="20"/>
    </x:row>
    <x:row r="186">
      <x:c r="A186" s="20"/>
      <x:c r="B186" s="20"/>
      <x:c r="C186" s="20"/>
      <x:c r="D186" s="20"/>
      <x:c r="E186" s="20"/>
      <x:c r="F186" s="20"/>
      <x:c r="G186" s="21"/>
      <x:c r="H186" s="21"/>
      <x:c r="I186" s="20"/>
      <x:c r="J186" s="20"/>
      <x:c r="K186" s="20"/>
    </x:row>
    <x:row r="187">
      <x:c r="A187" s="20"/>
      <x:c r="B187" s="20"/>
      <x:c r="C187" s="20"/>
      <x:c r="D187" s="20"/>
      <x:c r="E187" s="20"/>
      <x:c r="F187" s="20"/>
      <x:c r="G187" s="21"/>
      <x:c r="H187" s="21"/>
      <x:c r="I187" s="20"/>
      <x:c r="J187" s="20"/>
      <x:c r="K187" s="20"/>
    </x:row>
    <x:row r="188">
      <x:c r="A188" s="20"/>
      <x:c r="B188" s="20"/>
      <x:c r="C188" s="20"/>
      <x:c r="D188" s="20"/>
      <x:c r="E188" s="20"/>
      <x:c r="F188" s="20"/>
      <x:c r="G188" s="21"/>
      <x:c r="H188" s="21"/>
      <x:c r="I188" s="20"/>
      <x:c r="J188" s="20"/>
      <x:c r="K188" s="20"/>
    </x:row>
    <x:row r="189">
      <x:c r="A189" s="20"/>
      <x:c r="B189" s="20"/>
      <x:c r="C189" s="20"/>
      <x:c r="D189" s="20"/>
      <x:c r="E189" s="20"/>
      <x:c r="F189" s="20"/>
      <x:c r="G189" s="21"/>
      <x:c r="H189" s="21"/>
      <x:c r="I189" s="20"/>
      <x:c r="J189" s="20"/>
      <x:c r="K189" s="20"/>
    </x:row>
    <x:row r="190">
      <x:c r="A190" s="20"/>
      <x:c r="B190" s="20"/>
      <x:c r="C190" s="20"/>
      <x:c r="D190" s="20"/>
      <x:c r="E190" s="20"/>
      <x:c r="F190" s="20"/>
      <x:c r="G190" s="21"/>
      <x:c r="H190" s="21"/>
      <x:c r="I190" s="20"/>
      <x:c r="J190" s="20"/>
      <x:c r="K190" s="20"/>
    </x:row>
    <x:row r="191">
      <x:c r="A191" s="20"/>
      <x:c r="B191" s="20"/>
      <x:c r="C191" s="20"/>
      <x:c r="D191" s="20"/>
      <x:c r="E191" s="20"/>
      <x:c r="F191" s="20"/>
      <x:c r="G191" s="21"/>
      <x:c r="H191" s="21"/>
      <x:c r="I191" s="20"/>
      <x:c r="J191" s="20"/>
      <x:c r="K191" s="20"/>
    </x:row>
    <x:row r="192">
      <x:c r="A192" s="20"/>
      <x:c r="B192" s="20"/>
      <x:c r="C192" s="20"/>
      <x:c r="D192" s="20"/>
      <x:c r="E192" s="20"/>
      <x:c r="F192" s="20"/>
      <x:c r="G192" s="21"/>
      <x:c r="H192" s="21"/>
      <x:c r="I192" s="20"/>
      <x:c r="J192" s="20"/>
      <x:c r="K192" s="20"/>
    </x:row>
    <x:row r="193">
      <x:c r="A193" s="20"/>
      <x:c r="B193" s="20"/>
      <x:c r="C193" s="20"/>
      <x:c r="D193" s="20"/>
      <x:c r="E193" s="20"/>
      <x:c r="F193" s="20"/>
      <x:c r="G193" s="21"/>
      <x:c r="H193" s="21"/>
      <x:c r="I193" s="20"/>
      <x:c r="J193" s="20"/>
      <x:c r="K193" s="20"/>
    </x:row>
    <x:row r="194">
      <x:c r="A194" s="20"/>
      <x:c r="B194" s="20"/>
      <x:c r="C194" s="20"/>
      <x:c r="D194" s="20"/>
      <x:c r="E194" s="20"/>
      <x:c r="F194" s="20"/>
      <x:c r="G194" s="21"/>
      <x:c r="H194" s="21"/>
      <x:c r="I194" s="20"/>
      <x:c r="J194" s="20"/>
      <x:c r="K194" s="20"/>
    </x:row>
    <x:row r="195">
      <x:c r="A195" s="20"/>
      <x:c r="B195" s="20"/>
      <x:c r="C195" s="20"/>
      <x:c r="D195" s="20"/>
      <x:c r="E195" s="20"/>
      <x:c r="F195" s="20"/>
      <x:c r="G195" s="21"/>
      <x:c r="H195" s="21"/>
      <x:c r="I195" s="20"/>
      <x:c r="J195" s="20"/>
      <x:c r="K195" s="20"/>
    </x:row>
    <x:row r="196">
      <x:c r="A196" s="20"/>
      <x:c r="B196" s="20"/>
      <x:c r="C196" s="20"/>
      <x:c r="D196" s="20"/>
      <x:c r="E196" s="20"/>
      <x:c r="F196" s="20"/>
      <x:c r="G196" s="21"/>
      <x:c r="H196" s="21"/>
      <x:c r="I196" s="20"/>
      <x:c r="J196" s="20"/>
      <x:c r="K196" s="20"/>
    </x:row>
    <x:row r="197">
      <x:c r="A197" s="20"/>
      <x:c r="B197" s="20"/>
      <x:c r="C197" s="20"/>
      <x:c r="D197" s="20"/>
      <x:c r="E197" s="20"/>
      <x:c r="F197" s="20"/>
      <x:c r="G197" s="21"/>
      <x:c r="H197" s="21"/>
      <x:c r="I197" s="20"/>
      <x:c r="J197" s="20"/>
      <x:c r="K197" s="20"/>
    </x:row>
    <x:row r="198">
      <x:c r="A198" s="20"/>
      <x:c r="B198" s="20"/>
      <x:c r="C198" s="20"/>
      <x:c r="D198" s="20"/>
      <x:c r="E198" s="20"/>
      <x:c r="F198" s="20"/>
      <x:c r="G198" s="21"/>
      <x:c r="H198" s="21"/>
      <x:c r="I198" s="20"/>
      <x:c r="J198" s="20"/>
      <x:c r="K198" s="20"/>
    </x:row>
    <x:row r="199">
      <x:c r="A199" s="20"/>
      <x:c r="B199" s="20"/>
      <x:c r="C199" s="20"/>
      <x:c r="D199" s="20"/>
      <x:c r="E199" s="20"/>
      <x:c r="F199" s="20"/>
      <x:c r="G199" s="21"/>
      <x:c r="H199" s="21"/>
      <x:c r="I199" s="20"/>
      <x:c r="J199" s="20"/>
      <x:c r="K199" s="20"/>
    </x:row>
    <x:row r="200">
      <x:c r="A200" s="20"/>
      <x:c r="B200" s="20"/>
      <x:c r="C200" s="20"/>
      <x:c r="D200" s="20"/>
      <x:c r="E200" s="20"/>
      <x:c r="F200" s="20"/>
      <x:c r="G200" s="21"/>
      <x:c r="H200" s="21"/>
      <x:c r="I200" s="20"/>
      <x:c r="J200" s="20"/>
      <x:c r="K200" s="20"/>
    </x:row>
    <x:row r="201">
      <x:c r="A201" s="20"/>
      <x:c r="B201" s="20"/>
      <x:c r="C201" s="20"/>
      <x:c r="D201" s="20"/>
      <x:c r="E201" s="20"/>
      <x:c r="F201" s="20"/>
      <x:c r="G201" s="21"/>
      <x:c r="H201" s="21"/>
      <x:c r="I201" s="20"/>
      <x:c r="J201" s="20"/>
      <x:c r="K201" s="20"/>
    </x:row>
    <x:row r="202">
      <x:c r="A202" s="20"/>
      <x:c r="B202" s="20"/>
      <x:c r="C202" s="20"/>
      <x:c r="D202" s="20"/>
      <x:c r="E202" s="20"/>
      <x:c r="F202" s="20"/>
      <x:c r="G202" s="21"/>
      <x:c r="H202" s="21"/>
      <x:c r="I202" s="20"/>
      <x:c r="J202" s="20"/>
      <x:c r="K202" s="20"/>
    </x:row>
    <x:row r="203">
      <x:c r="A203" s="20"/>
      <x:c r="B203" s="20"/>
      <x:c r="C203" s="20"/>
      <x:c r="D203" s="20"/>
      <x:c r="E203" s="20"/>
      <x:c r="F203" s="20"/>
      <x:c r="G203" s="21"/>
      <x:c r="H203" s="21"/>
      <x:c r="I203" s="20"/>
      <x:c r="J203" s="20"/>
      <x:c r="K203" s="20"/>
    </x:row>
  </x:sheetData>
  <x:mergeCells>
    <x:mergeCell ref="A1:K1"/>
  </x:mergeCells>
  <x:dataValidations count="3">
    <x:dataValidation type="list" sqref="D4:D203">
      <x:formula1>"Low,Moderate,High,Critical"</x:formula1>
    </x:dataValidation>
    <x:dataValidation type="list" sqref="E4:E203">
      <x:formula1>"Low,Moderate,High"</x:formula1>
    </x:dataValidation>
    <x:dataValidation type="list" sqref="I4:I203">
      <x:formula1>"Not Started,Planned,In Progress,Blocked,Complete,Accepted"</x:formula1>
    </x:dataValidation>
  </x:dataValidations>
  <x:pageMargins left="0.7" right="0.7" top="0.75" bottom="0.75" header="0.3" footer="0.3"/>
</x:worksheet>
</file>