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395750f6049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38187c49ca1499d"/>
    <x:sheet xmlns:r="http://schemas.openxmlformats.org/officeDocument/2006/relationships" name="Incident Register" sheetId="2" r:id="Rb83d9dfde92145f0"/>
    <x:sheet xmlns:r="http://schemas.openxmlformats.org/officeDocument/2006/relationships" name="Response Actions" sheetId="3" r:id="R15bd5ae9e068449b"/>
    <x:sheet xmlns:r="http://schemas.openxmlformats.org/officeDocument/2006/relationships" name="Notifications" sheetId="4" r:id="R715a4977cb374659"/>
    <x:sheet xmlns:r="http://schemas.openxmlformats.org/officeDocument/2006/relationships" name="Lessons Learned" sheetId="5" r:id="Rfcbb834cc43f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F9FAF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1585c60fdd4e4f" /><Relationship Type="http://schemas.openxmlformats.org/officeDocument/2006/relationships/theme" Target="/xl/theme/theme1.xml" Id="Rb5d8bd5e78e94d05" /><Relationship Type="http://schemas.openxmlformats.org/officeDocument/2006/relationships/sharedStrings" Target="/xl/sharedStrings.xml" Id="Rf91b15b5a7594ed8" /><Relationship Type="http://schemas.openxmlformats.org/officeDocument/2006/relationships/worksheet" Target="/xl/worksheets/sheet1.xml" Id="R738187c49ca1499d" /><Relationship Type="http://schemas.openxmlformats.org/officeDocument/2006/relationships/worksheet" Target="/xl/worksheets/sheet2.xml" Id="Rb83d9dfde92145f0" /><Relationship Type="http://schemas.openxmlformats.org/officeDocument/2006/relationships/worksheet" Target="/xl/worksheets/sheet3.xml" Id="R15bd5ae9e068449b" /><Relationship Type="http://schemas.openxmlformats.org/officeDocument/2006/relationships/worksheet" Target="/xl/worksheets/sheet4.xml" Id="R715a4977cb374659" /><Relationship Type="http://schemas.openxmlformats.org/officeDocument/2006/relationships/worksheet" Target="/xl/worksheets/sheet5.xml" Id="Rfcbb834cc43f48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</x:cols>
  <x:sheetData>
    <x:row r="1">
      <x:c r="A1" s="3" t="str">
        <x:v>Incident Response Case Management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Metric</x:v>
      </x:c>
      <x:c r="B3" s="10" t="str">
        <x:v>Value</x:v>
      </x:c>
    </x:row>
    <x:row r="4">
      <x:c r="A4" t="str">
        <x:v>Incidents</x:v>
      </x:c>
      <x:c r="B4" t="n">
        <x:f>COUNTIF('Incident Register'!A4:A303,"&lt;&gt;")</x:f>
        <x:v>5</x:v>
      </x:c>
    </x:row>
    <x:row r="5">
      <x:c r="A5" t="str">
        <x:v>Open Incidents</x:v>
      </x:c>
      <x:c r="B5" t="n">
        <x:f>COUNTIFS('Incident Register'!A4:A303,"&lt;&gt;",'Incident Register'!J4:J303,"&lt;&gt;Closed")</x:f>
        <x:v>2</x:v>
      </x:c>
    </x:row>
    <x:row r="6">
      <x:c r="A6" t="str">
        <x:v>Critical Incidents</x:v>
      </x:c>
      <x:c r="B6" t="n">
        <x:f>COUNTIF('Incident Register'!D4:D303,"Critical")</x:f>
        <x:v>2</x:v>
      </x:c>
    </x:row>
    <x:row r="7">
      <x:c r="A7" t="str">
        <x:v>Closed Incidents</x:v>
      </x:c>
      <x:c r="B7" t="n">
        <x:f>COUNTIF('Incident Register'!J4:J303,"Closed")</x:f>
        <x:v>3</x:v>
      </x:c>
    </x:row>
    <x:row r="8">
      <x:c r="A8" t="str">
        <x:v>Open Actions</x:v>
      </x:c>
      <x:c r="B8" t="n">
        <x:f>COUNTIFS('Response Actions'!A4:A303,"&lt;&gt;",'Response Actions'!J4:J303,"&lt;&gt;Complete")</x:f>
        <x:v>1</x:v>
      </x:c>
    </x:row>
    <x:row r="9">
      <x:c r="A9" t="str">
        <x:v>Pending Notifications</x:v>
      </x:c>
      <x:c r="B9" t="n">
        <x:f>COUNTIF(Notifications!I4:I203,"Pending")+COUNTIF(Notifications!I4:I203,"No")</x:f>
        <x:v>1</x:v>
      </x:c>
    </x:row>
    <x:row r="10">
      <x:c r="A10" t="str">
        <x:v>Open Lessons</x:v>
      </x:c>
      <x:c r="B10" t="n">
        <x:f>COUNTIFS('Lessons Learned'!A4:A203,"&lt;&gt;",'Lessons Learned'!J4:J203,"&lt;&gt;Complete")</x:f>
        <x:v>3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Incident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>
      <x:c r="A3" s="10" t="str">
        <x:v>Incident ID</x:v>
      </x:c>
      <x:c r="B3" s="10" t="str">
        <x:v>Title</x:v>
      </x:c>
      <x:c r="C3" s="10" t="str">
        <x:v>Category</x:v>
      </x:c>
      <x:c r="D3" s="10" t="str">
        <x:v>Severity</x:v>
      </x:c>
      <x:c r="E3" s="10" t="str">
        <x:v>Opened</x:v>
      </x:c>
      <x:c r="F3" s="10" t="str">
        <x:v>Detected</x:v>
      </x:c>
      <x:c r="G3" s="10" t="str">
        <x:v>Contained</x:v>
      </x:c>
      <x:c r="H3" s="10" t="str">
        <x:v>Recovered</x:v>
      </x:c>
      <x:c r="I3" s="10" t="str">
        <x:v>Closed</x:v>
      </x:c>
      <x:c r="J3" s="10" t="str">
        <x:v>Status</x:v>
      </x:c>
      <x:c r="K3" s="10" t="str">
        <x:v>Commander</x:v>
      </x:c>
      <x:c r="L3" s="10" t="str">
        <x:v>Business Owner</x:v>
      </x:c>
      <x:c r="M3" s="10" t="str">
        <x:v>Affected Assets</x:v>
      </x:c>
      <x:c r="N3" s="10" t="str">
        <x:v>Data Impact</x:v>
      </x:c>
      <x:c r="O3" s="10" t="str">
        <x:v>Summary</x:v>
      </x:c>
    </x:row>
    <x:row r="4">
      <x:c r="A4" s="16" t="str">
        <x:v>IR-001</x:v>
      </x:c>
      <x:c r="B4" s="16" t="str">
        <x:v>Credential phishing compromise</x:v>
      </x:c>
      <x:c r="C4" s="16" t="str">
        <x:v>Phishing</x:v>
      </x:c>
      <x:c r="D4" s="16" t="str">
        <x:v>High</x:v>
      </x:c>
      <x:c r="E4" s="16" t="n">
        <x:v>46191.381944444445</x:v>
      </x:c>
      <x:c r="F4" s="16" t="n">
        <x:v>46191.430555555555</x:v>
      </x:c>
      <x:c r="G4" s="16" t="n">
        <x:v>46191.50347222222</x:v>
      </x:c>
      <x:c r="H4" s="16" t="n">
        <x:v>46191.77777777778</x:v>
      </x:c>
      <x:c r="I4" s="16" t="n">
        <x:v>46192.458333333336</x:v>
      </x:c>
      <x:c r="J4" s="16" t="str">
        <x:v>Closed</x:v>
      </x:c>
      <x:c r="K4" s="16" t="str">
        <x:v>SOC Lead</x:v>
      </x:c>
      <x:c r="L4" s="16" t="str">
        <x:v>HR Director</x:v>
      </x:c>
      <x:c r="M4" s="16" t="str">
        <x:v>1 workstation; 1 account</x:v>
      </x:c>
      <x:c r="N4" s="16" t="str">
        <x:v>No confirmed loss</x:v>
      </x:c>
      <x:c r="O4" s="16" t="str">
        <x:v>Account reset and endpoint isolated</x:v>
      </x:c>
    </x:row>
    <x:row r="5">
      <x:c r="A5" s="16" t="str">
        <x:v>IR-002</x:v>
      </x:c>
      <x:c r="B5" s="16" t="str">
        <x:v>Ransomware behavior on file server</x:v>
      </x:c>
      <x:c r="C5" s="16" t="str">
        <x:v>Malware</x:v>
      </x:c>
      <x:c r="D5" s="16" t="str">
        <x:v>Critical</x:v>
      </x:c>
      <x:c r="E5" s="16" t="n">
        <x:v>46181.583333333336</x:v>
      </x:c>
      <x:c r="F5" s="16" t="n">
        <x:v>46181.58888888889</x:v>
      </x:c>
      <x:c r="G5" s="16" t="n">
        <x:v>46181.61111111111</x:v>
      </x:c>
      <x:c r="H5" s="16" t="n">
        <x:v>46182.354166666664</x:v>
      </x:c>
      <x:c r="I5" s="16" t="n">
        <x:v>46185.625</x:v>
      </x:c>
      <x:c r="J5" s="16" t="str">
        <x:v>Closed</x:v>
      </x:c>
      <x:c r="K5" s="16" t="str">
        <x:v>IR Lead</x:v>
      </x:c>
      <x:c r="L5" s="16" t="str">
        <x:v>Operations Director</x:v>
      </x:c>
      <x:c r="M5" s="16" t="str">
        <x:v>File server cluster</x:v>
      </x:c>
      <x:c r="N5" s="16" t="str">
        <x:v>Availability impact</x:v>
      </x:c>
      <x:c r="O5" s="16" t="str">
        <x:v>EDR prevented spread and restore verified</x:v>
      </x:c>
    </x:row>
    <x:row r="6">
      <x:c r="A6" s="16" t="str">
        <x:v>IR-003</x:v>
      </x:c>
      <x:c r="B6" s="16" t="str">
        <x:v>Unapproved mass data export</x:v>
      </x:c>
      <x:c r="C6" s="16" t="str">
        <x:v>Policy Violation</x:v>
      </x:c>
      <x:c r="D6" s="16" t="str">
        <x:v>High</x:v>
      </x:c>
      <x:c r="E6" s="16" t="n">
        <x:v>46150.47222222222</x:v>
      </x:c>
      <x:c r="F6" s="16" t="n">
        <x:v>46150.78125</x:v>
      </x:c>
      <x:c r="G6" s="16" t="n">
        <x:v>46151.375</x:v>
      </x:c>
      <x:c r="H6" s="16" t="n">
        <x:v>46152.5</x:v>
      </x:c>
      <x:c r="I6" s="16"/>
      <x:c r="J6" s="16" t="str">
        <x:v>Lessons Pending</x:v>
      </x:c>
      <x:c r="K6" s="16" t="str">
        <x:v>Security Manager</x:v>
      </x:c>
      <x:c r="L6" s="16" t="str">
        <x:v>Data Owner</x:v>
      </x:c>
      <x:c r="M6" s="16" t="str">
        <x:v>Analytics database</x:v>
      </x:c>
      <x:c r="N6" s="16" t="str">
        <x:v>Potential confidentiality impact</x:v>
      </x:c>
      <x:c r="O6" s="16" t="str">
        <x:v>Export occurred outside approved workflow</x:v>
      </x:c>
    </x:row>
    <x:row r="7">
      <x:c r="A7" s="16" t="str">
        <x:v>IR-004</x:v>
      </x:c>
      <x:c r="B7" s="16" t="str">
        <x:v>Cloud privilege assignment anomaly</x:v>
      </x:c>
      <x:c r="C7" s="16" t="str">
        <x:v>Cloud Security</x:v>
      </x:c>
      <x:c r="D7" s="16" t="str">
        <x:v>Critical</x:v>
      </x:c>
      <x:c r="E7" s="16" t="n">
        <x:v>46178.17013888889</x:v>
      </x:c>
      <x:c r="F7" s="16" t="n">
        <x:v>46178.174305555556</x:v>
      </x:c>
      <x:c r="G7" s="16" t="n">
        <x:v>46178.188888888886</x:v>
      </x:c>
      <x:c r="H7" s="16" t="n">
        <x:v>46178.427083333336</x:v>
      </x:c>
      <x:c r="I7" s="16" t="n">
        <x:v>46179.541666666664</x:v>
      </x:c>
      <x:c r="J7" s="16" t="str">
        <x:v>Closed</x:v>
      </x:c>
      <x:c r="K7" s="16" t="str">
        <x:v>Cloud Security Lead</x:v>
      </x:c>
      <x:c r="L7" s="16" t="str">
        <x:v>CIO</x:v>
      </x:c>
      <x:c r="M7" s="16" t="str">
        <x:v>Cloud subscription</x:v>
      </x:c>
      <x:c r="N7" s="16" t="str">
        <x:v>No confirmed loss</x:v>
      </x:c>
      <x:c r="O7" s="16" t="str">
        <x:v>Unauthorized role removed</x:v>
      </x:c>
    </x:row>
    <x:row r="8">
      <x:c r="A8" s="16" t="str">
        <x:v>IR-005</x:v>
      </x:c>
      <x:c r="B8" s="16" t="str">
        <x:v>Third-party credential exposure</x:v>
      </x:c>
      <x:c r="C8" s="16" t="str">
        <x:v>Third Party</x:v>
      </x:c>
      <x:c r="D8" s="16" t="str">
        <x:v>High</x:v>
      </x:c>
      <x:c r="E8" s="16" t="n">
        <x:v>46205.34722222222</x:v>
      </x:c>
      <x:c r="F8" s="16" t="n">
        <x:v>46205.375</x:v>
      </x:c>
      <x:c r="G8" s="16" t="n">
        <x:v>46205.54861111111</x:v>
      </x:c>
      <x:c r="H8" s="16"/>
      <x:c r="I8" s="16"/>
      <x:c r="J8" s="16" t="str">
        <x:v>Recovery</x:v>
      </x:c>
      <x:c r="K8" s="16" t="str">
        <x:v>IR Lead</x:v>
      </x:c>
      <x:c r="L8" s="16" t="str">
        <x:v>Vendor Owner</x:v>
      </x:c>
      <x:c r="M8" s="16" t="str">
        <x:v>Vendor portal account</x:v>
      </x:c>
      <x:c r="N8" s="16" t="str">
        <x:v>Unknown</x:v>
      </x:c>
      <x:c r="O8" s="16" t="str">
        <x:v>Credential revoked; vendor review ongoing</x:v>
      </x:c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  <x:c r="O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  <x:c r="O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  <x:c r="M207" s="16"/>
      <x:c r="N207" s="16"/>
      <x:c r="O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  <x:c r="O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  <x:c r="O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  <x:c r="O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  <x:c r="O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  <x:c r="O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  <x:c r="O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  <x:c r="O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  <x:c r="O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  <x:c r="O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  <x:c r="O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  <x:c r="O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  <x:c r="O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  <x:c r="O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  <x:c r="O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  <x:c r="O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  <x:c r="O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  <x:c r="O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  <x:c r="O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  <x:c r="O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  <x:c r="O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  <x:c r="O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  <x:c r="O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  <x:c r="O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  <x:c r="O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  <x:c r="M235" s="16"/>
      <x:c r="N235" s="16"/>
      <x:c r="O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  <x:c r="O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  <x:c r="O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  <x:c r="O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  <x:c r="O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  <x:c r="O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  <x:c r="O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  <x:c r="O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  <x:c r="O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  <x:c r="O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  <x:c r="O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  <x:c r="O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  <x:c r="O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  <x:c r="O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  <x:c r="M251" s="16"/>
      <x:c r="N251" s="16"/>
      <x:c r="O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  <x:c r="M252" s="16"/>
      <x:c r="N252" s="16"/>
      <x:c r="O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  <x:c r="M253" s="16"/>
      <x:c r="N253" s="16"/>
      <x:c r="O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  <x:c r="M254" s="16"/>
      <x:c r="N254" s="16"/>
      <x:c r="O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  <x:c r="M255" s="16"/>
      <x:c r="N255" s="16"/>
      <x:c r="O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  <x:c r="M256" s="16"/>
      <x:c r="N256" s="16"/>
      <x:c r="O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  <x:c r="M257" s="16"/>
      <x:c r="N257" s="16"/>
      <x:c r="O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  <x:c r="O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  <x:c r="M259" s="16"/>
      <x:c r="N259" s="16"/>
      <x:c r="O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  <x:c r="M260" s="16"/>
      <x:c r="N260" s="16"/>
      <x:c r="O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  <x:c r="M261" s="16"/>
      <x:c r="N261" s="16"/>
      <x:c r="O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  <x:c r="O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  <x:c r="M263" s="16"/>
      <x:c r="N263" s="16"/>
      <x:c r="O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  <x:c r="M264" s="16"/>
      <x:c r="N264" s="16"/>
      <x:c r="O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  <x:c r="M265" s="16"/>
      <x:c r="N265" s="16"/>
      <x:c r="O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  <x:c r="M266" s="16"/>
      <x:c r="N266" s="16"/>
      <x:c r="O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  <x:c r="M267" s="16"/>
      <x:c r="N267" s="16"/>
      <x:c r="O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  <x:c r="O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  <x:c r="M269" s="16"/>
      <x:c r="N269" s="16"/>
      <x:c r="O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  <x:c r="M270" s="16"/>
      <x:c r="N270" s="16"/>
      <x:c r="O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  <x:c r="M271" s="16"/>
      <x:c r="N271" s="16"/>
      <x:c r="O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  <x:c r="O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  <x:c r="M273" s="16"/>
      <x:c r="N273" s="16"/>
      <x:c r="O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  <x:c r="M274" s="16"/>
      <x:c r="N274" s="16"/>
      <x:c r="O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  <x:c r="M275" s="16"/>
      <x:c r="N275" s="16"/>
      <x:c r="O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  <x:c r="M276" s="16"/>
      <x:c r="N276" s="16"/>
      <x:c r="O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  <x:c r="M277" s="16"/>
      <x:c r="N277" s="16"/>
      <x:c r="O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  <x:c r="O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  <x:c r="M279" s="16"/>
      <x:c r="N279" s="16"/>
      <x:c r="O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  <x:c r="M280" s="16"/>
      <x:c r="N280" s="16"/>
      <x:c r="O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  <x:c r="M281" s="16"/>
      <x:c r="N281" s="16"/>
      <x:c r="O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  <x:c r="O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  <x:c r="M283" s="16"/>
      <x:c r="N283" s="16"/>
      <x:c r="O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  <x:c r="M284" s="16"/>
      <x:c r="N284" s="16"/>
      <x:c r="O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  <x:c r="M285" s="16"/>
      <x:c r="N285" s="16"/>
      <x:c r="O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  <x:c r="M286" s="16"/>
      <x:c r="N286" s="16"/>
      <x:c r="O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  <x:c r="O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  <x:c r="M288" s="16"/>
      <x:c r="N288" s="16"/>
      <x:c r="O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  <x:c r="M289" s="16"/>
      <x:c r="N289" s="16"/>
      <x:c r="O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  <x:c r="M290" s="16"/>
      <x:c r="N290" s="16"/>
      <x:c r="O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  <x:c r="M291" s="16"/>
      <x:c r="N291" s="16"/>
      <x:c r="O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  <x:c r="M292" s="16"/>
      <x:c r="N292" s="16"/>
      <x:c r="O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  <x:c r="M293" s="16"/>
      <x:c r="N293" s="16"/>
      <x:c r="O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  <x:c r="M294" s="16"/>
      <x:c r="N294" s="16"/>
      <x:c r="O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  <x:c r="M295" s="16"/>
      <x:c r="N295" s="16"/>
      <x:c r="O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  <x:c r="O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  <x:c r="M297" s="16"/>
      <x:c r="N297" s="16"/>
      <x:c r="O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  <x:c r="M298" s="16"/>
      <x:c r="N298" s="16"/>
      <x:c r="O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  <x:c r="O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  <x:c r="M300" s="16"/>
      <x:c r="N300" s="16"/>
      <x:c r="O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  <x:c r="L301" s="16"/>
      <x:c r="M301" s="16"/>
      <x:c r="N301" s="16"/>
      <x:c r="O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  <x:c r="L302" s="16"/>
      <x:c r="M302" s="16"/>
      <x:c r="N302" s="16"/>
      <x:c r="O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  <x:c r="L303" s="16"/>
      <x:c r="M303" s="16"/>
      <x:c r="N303" s="16"/>
      <x:c r="O303" s="16"/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Response Actions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10" t="str">
        <x:v>Action ID</x:v>
      </x:c>
      <x:c r="B3" s="10" t="str">
        <x:v>Incident ID</x:v>
      </x:c>
      <x:c r="C3" s="10" t="str">
        <x:v>Phase</x:v>
      </x:c>
      <x:c r="D3" s="10" t="str">
        <x:v>Action</x:v>
      </x:c>
      <x:c r="E3" s="10" t="str">
        <x:v>Priority</x:v>
      </x:c>
      <x:c r="F3" s="10" t="str">
        <x:v>Owner</x:v>
      </x:c>
      <x:c r="G3" s="10" t="str">
        <x:v>Assigned</x:v>
      </x:c>
      <x:c r="H3" s="10" t="str">
        <x:v>Due</x:v>
      </x:c>
      <x:c r="I3" s="10" t="str">
        <x:v>Completed</x:v>
      </x:c>
      <x:c r="J3" s="10" t="str">
        <x:v>Status</x:v>
      </x:c>
      <x:c r="K3" s="10" t="str">
        <x:v>Evidence</x:v>
      </x:c>
    </x:row>
    <x:row r="4">
      <x:c r="A4" s="16" t="str">
        <x:v>RA-001</x:v>
      </x:c>
      <x:c r="B4" s="16" t="str">
        <x:v>IR-001</x:v>
      </x:c>
      <x:c r="C4" s="16" t="str">
        <x:v>Containment</x:v>
      </x:c>
      <x:c r="D4" s="16" t="str">
        <x:v>Disable compromised account</x:v>
      </x:c>
      <x:c r="E4" s="16" t="str">
        <x:v>Critical</x:v>
      </x:c>
      <x:c r="F4" s="16" t="str">
        <x:v>IAM Lead</x:v>
      </x:c>
      <x:c r="G4" s="16" t="n">
        <x:v>46191.43402777778</x:v>
      </x:c>
      <x:c r="H4" s="16" t="n">
        <x:v>46191.444444444445</x:v>
      </x:c>
      <x:c r="I4" s="16" t="n">
        <x:v>46191.438888888886</x:v>
      </x:c>
      <x:c r="J4" s="16" t="str">
        <x:v>Complete</x:v>
      </x:c>
      <x:c r="K4" s="16" t="str">
        <x:v>IAM ticket</x:v>
      </x:c>
    </x:row>
    <x:row r="5">
      <x:c r="A5" s="16" t="str">
        <x:v>RA-002</x:v>
      </x:c>
      <x:c r="B5" s="16" t="str">
        <x:v>IR-002</x:v>
      </x:c>
      <x:c r="C5" s="16" t="str">
        <x:v>Recovery</x:v>
      </x:c>
      <x:c r="D5" s="16" t="str">
        <x:v>Restore file service from trusted backup</x:v>
      </x:c>
      <x:c r="E5" s="16" t="str">
        <x:v>Critical</x:v>
      </x:c>
      <x:c r="F5" s="16" t="str">
        <x:v>Infrastructure Lead</x:v>
      </x:c>
      <x:c r="G5" s="16" t="n">
        <x:v>46181.666666666664</x:v>
      </x:c>
      <x:c r="H5" s="16" t="n">
        <x:v>46182.5</x:v>
      </x:c>
      <x:c r="I5" s="16" t="n">
        <x:v>46182.354166666664</x:v>
      </x:c>
      <x:c r="J5" s="16" t="str">
        <x:v>Complete</x:v>
      </x:c>
      <x:c r="K5" s="16" t="str">
        <x:v>Restore test</x:v>
      </x:c>
    </x:row>
    <x:row r="6">
      <x:c r="A6" s="16" t="str">
        <x:v>RA-003</x:v>
      </x:c>
      <x:c r="B6" s="16" t="str">
        <x:v>IR-005</x:v>
      </x:c>
      <x:c r="C6" s="16" t="str">
        <x:v>Recovery</x:v>
      </x:c>
      <x:c r="D6" s="16" t="str">
        <x:v>Obtain vendor root-cause report</x:v>
      </x:c>
      <x:c r="E6" s="16" t="str">
        <x:v>High</x:v>
      </x:c>
      <x:c r="F6" s="16" t="str">
        <x:v>Vendor Owner</x:v>
      </x:c>
      <x:c r="G6" s="16" t="n">
        <x:v>46205.583333333336</x:v>
      </x:c>
      <x:c r="H6" s="16" t="n">
        <x:v>46228.708333333336</x:v>
      </x:c>
      <x:c r="I6" s="16"/>
      <x:c r="J6" s="16" t="str">
        <x:v>In Progress</x:v>
      </x:c>
      <x:c r="K6" s="16" t="str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Notifications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Notification ID</x:v>
      </x:c>
      <x:c r="B3" s="10" t="str">
        <x:v>Incident ID</x:v>
      </x:c>
      <x:c r="C3" s="10" t="str">
        <x:v>Stakeholder</x:v>
      </x:c>
      <x:c r="D3" s="10" t="str">
        <x:v>Trigger</x:v>
      </x:c>
      <x:c r="E3" s="10" t="str">
        <x:v>Required By</x:v>
      </x:c>
      <x:c r="F3" s="10" t="str">
        <x:v>Sent At</x:v>
      </x:c>
      <x:c r="G3" s="10" t="str">
        <x:v>Sender</x:v>
      </x:c>
      <x:c r="H3" s="10" t="str">
        <x:v>Method</x:v>
      </x:c>
      <x:c r="I3" s="10" t="str">
        <x:v>Acknowledged</x:v>
      </x:c>
      <x:c r="J3" s="10" t="str">
        <x:v>Notes</x:v>
      </x:c>
    </x:row>
    <x:row r="4">
      <x:c r="A4" s="16" t="str">
        <x:v>NT-001</x:v>
      </x:c>
      <x:c r="B4" s="16" t="str">
        <x:v>IR-002</x:v>
      </x:c>
      <x:c r="C4" s="16" t="str">
        <x:v>Executive leadership</x:v>
      </x:c>
      <x:c r="D4" s="16" t="str">
        <x:v>Critical severity</x:v>
      </x:c>
      <x:c r="E4" s="16" t="n">
        <x:v>46181.625</x:v>
      </x:c>
      <x:c r="F4" s="16" t="n">
        <x:v>46181.614583333336</x:v>
      </x:c>
      <x:c r="G4" s="16" t="str">
        <x:v>IR Lead</x:v>
      </x:c>
      <x:c r="H4" s="16" t="str">
        <x:v>Secure email</x:v>
      </x:c>
      <x:c r="I4" s="16" t="str">
        <x:v>Yes</x:v>
      </x:c>
      <x:c r="J4" s="16" t="str"/>
    </x:row>
    <x:row r="5">
      <x:c r="A5" s="16" t="str">
        <x:v>NT-002</x:v>
      </x:c>
      <x:c r="B5" s="16" t="str">
        <x:v>IR-005</x:v>
      </x:c>
      <x:c r="C5" s="16" t="str">
        <x:v>Legal and Procurement</x:v>
      </x:c>
      <x:c r="D5" s="16" t="str">
        <x:v>Third-party exposure</x:v>
      </x:c>
      <x:c r="E5" s="16" t="n">
        <x:v>46205.708333333336</x:v>
      </x:c>
      <x:c r="F5" s="16" t="n">
        <x:v>46205.645833333336</x:v>
      </x:c>
      <x:c r="G5" s="16" t="str">
        <x:v>IR Lead</x:v>
      </x:c>
      <x:c r="H5" s="16" t="str">
        <x:v>Secure email</x:v>
      </x:c>
      <x:c r="I5" s="16" t="str">
        <x:v>Yes</x:v>
      </x:c>
      <x:c r="J5" s="16" t="str"/>
    </x:row>
    <x:row r="6">
      <x:c r="A6" s="16" t="str">
        <x:v>NT-003</x:v>
      </x:c>
      <x:c r="B6" s="16" t="str">
        <x:v>IR-005</x:v>
      </x:c>
      <x:c r="C6" s="16" t="str">
        <x:v>Executive sponsor</x:v>
      </x:c>
      <x:c r="D6" s="16" t="str">
        <x:v>Vendor delay</x:v>
      </x:c>
      <x:c r="E6" s="16" t="n">
        <x:v>46223.5</x:v>
      </x:c>
      <x:c r="F6" s="16"/>
      <x:c r="G6" s="16" t="str">
        <x:v>Vendor Owner</x:v>
      </x:c>
      <x:c r="H6" s="16" t="str">
        <x:v>Pending</x:v>
      </x:c>
      <x:c r="I6" s="16" t="str">
        <x:v>Pending</x:v>
      </x:c>
      <x:c r="J6" s="16" t="str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" t="str">
        <x:v>Lessons Learned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10" t="str">
        <x:v>Lesson ID</x:v>
      </x:c>
      <x:c r="B3" s="10" t="str">
        <x:v>Incident ID</x:v>
      </x:c>
      <x:c r="C3" s="10" t="str">
        <x:v>What Worked</x:v>
      </x:c>
      <x:c r="D3" s="10" t="str">
        <x:v>What Failed</x:v>
      </x:c>
      <x:c r="E3" s="10" t="str">
        <x:v>Root Cause</x:v>
      </x:c>
      <x:c r="F3" s="10" t="str">
        <x:v>Recommendation</x:v>
      </x:c>
      <x:c r="G3" s="10" t="str">
        <x:v>Priority</x:v>
      </x:c>
      <x:c r="H3" s="10" t="str">
        <x:v>Owner</x:v>
      </x:c>
      <x:c r="I3" s="10" t="str">
        <x:v>Target Date</x:v>
      </x:c>
      <x:c r="J3" s="10" t="str">
        <x:v>Status</x:v>
      </x:c>
      <x:c r="K3" s="10" t="str">
        <x:v>Evidence</x:v>
      </x:c>
    </x:row>
    <x:row r="4">
      <x:c r="A4" s="16" t="str">
        <x:v>LL-001</x:v>
      </x:c>
      <x:c r="B4" s="16" t="str">
        <x:v>IR-001</x:v>
      </x:c>
      <x:c r="C4" s="16" t="str">
        <x:v>Rapid identity response</x:v>
      </x:c>
      <x:c r="D4" s="16" t="str">
        <x:v>Phishing-resistant MFA incomplete</x:v>
      </x:c>
      <x:c r="E4" s="16" t="str">
        <x:v>Credential phishing</x:v>
      </x:c>
      <x:c r="F4" s="16" t="str">
        <x:v>Expand phishing-resistant MFA</x:v>
      </x:c>
      <x:c r="G4" s="16" t="str">
        <x:v>High</x:v>
      </x:c>
      <x:c r="H4" s="16" t="str">
        <x:v>IAM Lead</x:v>
      </x:c>
      <x:c r="I4" s="16" t="n">
        <x:v>46296</x:v>
      </x:c>
      <x:c r="J4" s="16" t="str">
        <x:v>In Progress</x:v>
      </x:c>
      <x:c r="K4" s="16" t="str"/>
    </x:row>
    <x:row r="5">
      <x:c r="A5" s="16" t="str">
        <x:v>LL-002</x:v>
      </x:c>
      <x:c r="B5" s="16" t="str">
        <x:v>IR-002</x:v>
      </x:c>
      <x:c r="C5" s="16" t="str">
        <x:v>EDR prevented spread</x:v>
      </x:c>
      <x:c r="D5" s="16" t="str">
        <x:v>Recovery procedures varied</x:v>
      </x:c>
      <x:c r="E5" s="16" t="str">
        <x:v>Recovery governance</x:v>
      </x:c>
      <x:c r="F5" s="16" t="str">
        <x:v>Standardize restore tests</x:v>
      </x:c>
      <x:c r="G5" s="16" t="str">
        <x:v>High</x:v>
      </x:c>
      <x:c r="H5" s="16" t="str">
        <x:v>BC Manager</x:v>
      </x:c>
      <x:c r="I5" s="16" t="n">
        <x:v>46326</x:v>
      </x:c>
      <x:c r="J5" s="16" t="str">
        <x:v>Planned</x:v>
      </x:c>
      <x:c r="K5" s="16" t="str"/>
    </x:row>
    <x:row r="6">
      <x:c r="A6" s="16" t="str">
        <x:v>LL-003</x:v>
      </x:c>
      <x:c r="B6" s="16" t="str">
        <x:v>IR-003</x:v>
      </x:c>
      <x:c r="C6" s="16" t="str">
        <x:v>Audit logs preserved activity</x:v>
      </x:c>
      <x:c r="D6" s="16" t="str">
        <x:v>Approval not technically enforced</x:v>
      </x:c>
      <x:c r="E6" s="16" t="str">
        <x:v>Manual control</x:v>
      </x:c>
      <x:c r="F6" s="16" t="str">
        <x:v>Add export policy enforcement</x:v>
      </x:c>
      <x:c r="G6" s="16" t="str">
        <x:v>Critical</x:v>
      </x:c>
      <x:c r="H6" s="16" t="str">
        <x:v>Data Owner</x:v>
      </x:c>
      <x:c r="I6" s="16" t="n">
        <x:v>46327</x:v>
      </x:c>
      <x:c r="J6" s="16" t="str">
        <x:v>Planned</x:v>
      </x:c>
      <x:c r="K6" s="16" t="str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</x:row>
  </x:sheetData>
  <x:mergeCells>
    <x:mergeCell ref="A1:K1"/>
  </x:mergeCells>
  <x:pageMargins left="0.7" right="0.7" top="0.75" bottom="0.75" header="0.3" footer="0.3"/>
</x:worksheet>
</file>