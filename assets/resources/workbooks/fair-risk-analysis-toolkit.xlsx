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3d5dc41e2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3c5328502eb421c"/>
    <x:sheet xmlns:r="http://schemas.openxmlformats.org/officeDocument/2006/relationships" name="Scenario Register" sheetId="2" r:id="R360184c0a5f24dc1"/>
    <x:sheet xmlns:r="http://schemas.openxmlformats.org/officeDocument/2006/relationships" name="Frequency Analysis" sheetId="3" r:id="Re76995b7512540ab"/>
    <x:sheet xmlns:r="http://schemas.openxmlformats.org/officeDocument/2006/relationships" name="Loss Magnitude" sheetId="4" r:id="R790d9ca632aa4aab"/>
    <x:sheet xmlns:r="http://schemas.openxmlformats.org/officeDocument/2006/relationships" name="Risk Results" sheetId="5" r:id="R9a5bfefecc2649e9"/>
    <x:sheet xmlns:r="http://schemas.openxmlformats.org/officeDocument/2006/relationships" name="Treatment Plan" sheetId="6" r:id="R2780903a20b0438a"/>
    <x:sheet xmlns:r="http://schemas.openxmlformats.org/officeDocument/2006/relationships" name="Instructions" sheetId="7" r:id="R1b1cbf6ecf2b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a4de6dfd84d24" /><Relationship Type="http://schemas.openxmlformats.org/officeDocument/2006/relationships/theme" Target="/xl/theme/theme1.xml" Id="Re3e555017f774746" /><Relationship Type="http://schemas.openxmlformats.org/officeDocument/2006/relationships/sharedStrings" Target="/xl/sharedStrings.xml" Id="R69d33c9e89034872" /><Relationship Type="http://schemas.openxmlformats.org/officeDocument/2006/relationships/worksheet" Target="/xl/worksheets/sheet1.xml" Id="R73c5328502eb421c" /><Relationship Type="http://schemas.openxmlformats.org/officeDocument/2006/relationships/worksheet" Target="/xl/worksheets/sheet2.xml" Id="R360184c0a5f24dc1" /><Relationship Type="http://schemas.openxmlformats.org/officeDocument/2006/relationships/worksheet" Target="/xl/worksheets/sheet3.xml" Id="Re76995b7512540ab" /><Relationship Type="http://schemas.openxmlformats.org/officeDocument/2006/relationships/worksheet" Target="/xl/worksheets/sheet4.xml" Id="R790d9ca632aa4aab" /><Relationship Type="http://schemas.openxmlformats.org/officeDocument/2006/relationships/worksheet" Target="/xl/worksheets/sheet5.xml" Id="R9a5bfefecc2649e9" /><Relationship Type="http://schemas.openxmlformats.org/officeDocument/2006/relationships/worksheet" Target="/xl/worksheets/sheet6.xml" Id="R2780903a20b0438a" /><Relationship Type="http://schemas.openxmlformats.org/officeDocument/2006/relationships/worksheet" Target="/xl/worksheets/sheet7.xml" Id="R1b1cbf6ecf2b44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d073666b744b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Worksheet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d073666b744b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8423777" displayName="T8423777" ref="A3:H6" headerRowCount="1">
  <x:tableColumns count="8">
    <x:tableColumn id="1" name="Scenario ID"/>
    <x:tableColumn id="2" name="Asset / Process"/>
    <x:tableColumn id="3" name="Threat Community"/>
    <x:tableColumn id="4" name="Loss Event"/>
    <x:tableColumn id="5" name="Business Unit"/>
    <x:tableColumn id="6" name="Owner"/>
    <x:tableColumn id="7" name="Analysis Status"/>
    <x:tableColumn id="8" name="Review Date"/>
  </x:tableColumns>
  <x:tableStyleInfo name="TableStyleMedium2" showRowStripes="1"/>
</x:table>
</file>

<file path=xl/tables/table2.xml><?xml version="1.0" encoding="utf-8"?>
<x:table xmlns:x="http://schemas.openxmlformats.org/spreadsheetml/2006/main" id="2" name="T8220870" displayName="T8220870" ref="A3:H6" headerRowCount="1">
  <x:tableColumns count="8">
    <x:tableColumn id="1" name="Scenario ID"/>
    <x:tableColumn id="2" name="Contact Frequency / Year"/>
    <x:tableColumn id="3" name="Probability of Action"/>
    <x:tableColumn id="4" name="Threat Event Frequency"/>
    <x:tableColumn id="5" name="Control Strength"/>
    <x:tableColumn id="6" name="Threat Capability"/>
    <x:tableColumn id="7" name="Vulnerability"/>
    <x:tableColumn id="8" name="Loss Event Frequency"/>
  </x:tableColumns>
  <x:tableStyleInfo name="TableStyleMedium2" showRowStripes="1"/>
</x:table>
</file>

<file path=xl/tables/table3.xml><?xml version="1.0" encoding="utf-8"?>
<x:table xmlns:x="http://schemas.openxmlformats.org/spreadsheetml/2006/main" id="3" name="T5825536" displayName="T5825536" ref="A3:H6" headerRowCount="1">
  <x:tableColumns count="8">
    <x:tableColumn id="1" name="Scenario ID"/>
    <x:tableColumn id="2" name="Productivity Loss"/>
    <x:tableColumn id="3" name="Response Cost"/>
    <x:tableColumn id="4" name="Replacement Cost"/>
    <x:tableColumn id="5" name="Fines / Legal"/>
    <x:tableColumn id="6" name="Reputation / Revenue"/>
    <x:tableColumn id="7" name="Secondary Loss"/>
    <x:tableColumn id="8" name="Total Loss Magnitude"/>
  </x:tableColumns>
  <x:tableStyleInfo name="TableStyleMedium2" showRowStripes="1"/>
</x:table>
</file>

<file path=xl/tables/table4.xml><?xml version="1.0" encoding="utf-8"?>
<x:table xmlns:x="http://schemas.openxmlformats.org/spreadsheetml/2006/main" id="4" name="T106638" displayName="T106638" ref="A3:H6" headerRowCount="1">
  <x:tableColumns count="8">
    <x:tableColumn id="1" name="Scenario ID"/>
    <x:tableColumn id="2" name="Loss Event Frequency"/>
    <x:tableColumn id="3" name="Total Loss Magnitude"/>
    <x:tableColumn id="4" name="Annualized Loss Exposure"/>
    <x:tableColumn id="5" name="Risk Tier"/>
    <x:tableColumn id="6" name="Decision"/>
    <x:tableColumn id="7" name="Owner"/>
    <x:tableColumn id="8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3449705" displayName="T3449705" ref="A3:I6" headerRowCount="1">
  <x:tableColumns count="9">
    <x:tableColumn id="1" name="Action ID"/>
    <x:tableColumn id="2" name="Scenario ID"/>
    <x:tableColumn id="3" name="Treatment Action"/>
    <x:tableColumn id="4" name="Expected Frequency Reduction %"/>
    <x:tableColumn id="5" name="Expected Magnitude Reduction %"/>
    <x:tableColumn id="6" name="Cost"/>
    <x:tableColumn id="7" name="Owner"/>
    <x:tableColumn id="8" name="Target Date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157a45cd0c49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58cc5d01a744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8349928c624d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5823e5b50348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f5a76e95f94a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4b02e8449d459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4" t="str">
        <x:v>FAIR Risk Analysis Toolkit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Worksheets</x:v>
      </x:c>
      <x:c r="B4" t="n">
        <x:v>5</x:v>
      </x:c>
      <x:c r="D4" t="str">
        <x:v>Scenario Register</x:v>
      </x:c>
      <x:c r="E4" t="n">
        <x:f>COUNTIF('Scenario Register'!A4:A303,"&lt;&gt;")</x:f>
        <x:v>3</x:v>
      </x:c>
    </x:row>
    <x:row r="5">
      <x:c r="A5" t="str">
        <x:v>Tracked Records</x:v>
      </x:c>
      <x:c r="B5" t="n">
        <x:f>COUNTIF('Scenario Register'!A4:A303,"&lt;&gt;")+COUNTIF('Frequency Analysis'!A4:A303,"&lt;&gt;")+COUNTIF('Loss Magnitude'!A4:A303,"&lt;&gt;")+COUNTIF('Risk Results'!A4:A303,"&lt;&gt;")+COUNTIF('Treatment Plan'!A4:A303,"&lt;&gt;")</x:f>
        <x:v>15</x:v>
      </x:c>
      <x:c r="D5" t="str">
        <x:v>Frequency Analysis</x:v>
      </x:c>
      <x:c r="E5" t="n">
        <x:f>COUNTIF('Frequency Analysis'!A4:A303,"&lt;&gt;")</x:f>
        <x:v>3</x:v>
      </x:c>
    </x:row>
    <x:row r="6">
      <x:c r="A6" t="str">
        <x:v>Open / Planned</x:v>
      </x:c>
      <x:c r="B6" t="n">
        <x:v>7</x:v>
      </x:c>
      <x:c r="D6" t="str">
        <x:v>Loss Magnitude</x:v>
      </x:c>
      <x:c r="E6" t="n">
        <x:f>COUNTIF('Loss Magnitude'!A4:A303,"&lt;&gt;")</x:f>
        <x:v>3</x:v>
      </x:c>
    </x:row>
    <x:row r="7">
      <x:c r="A7" t="str">
        <x:v>Needs Attention</x:v>
      </x:c>
      <x:c r="B7" t="n">
        <x:v>2</x:v>
      </x:c>
      <x:c r="D7" t="str">
        <x:v>Risk Results</x:v>
      </x:c>
      <x:c r="E7" t="n">
        <x:f>COUNTIF('Risk Results'!A4:A303,"&lt;&gt;")</x:f>
        <x:v>3</x:v>
      </x:c>
    </x:row>
    <x:row r="8">
      <x:c r="A8" t="str">
        <x:v>Average Risk Score</x:v>
      </x:c>
      <x:c r="B8" t="n">
        <x:v>0</x:v>
      </x:c>
      <x:c r="D8" t="str">
        <x:v>Treatment Plan</x:v>
      </x:c>
      <x:c r="E8" t="n">
        <x:f>COUNTIF('Treatment Plan'!A4:A303,"&lt;&gt;")</x:f>
        <x:v>3</x:v>
      </x:c>
    </x:row>
    <x:row r="9">
      <x:c r="A9" t="str">
        <x:v>Release Date</x:v>
      </x:c>
      <x:c r="B9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3b157a45cd0c49ef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</x:cols>
  <x:sheetData>
    <x:row r="1">
      <x:c r="A1" s="4" t="str">
        <x:v>Scenario Register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Scenario ID</x:v>
      </x:c>
      <x:c r="B3" s="12" t="str">
        <x:v>Asset / Process</x:v>
      </x:c>
      <x:c r="C3" s="12" t="str">
        <x:v>Threat Community</x:v>
      </x:c>
      <x:c r="D3" s="12" t="str">
        <x:v>Loss Event</x:v>
      </x:c>
      <x:c r="E3" s="12" t="str">
        <x:v>Business Unit</x:v>
      </x:c>
      <x:c r="F3" s="12" t="str">
        <x:v>Owner</x:v>
      </x:c>
      <x:c r="G3" s="12" t="str">
        <x:v>Analysis Status</x:v>
      </x:c>
      <x:c r="H3" s="12" t="str">
        <x:v>Review Date</x:v>
      </x:c>
    </x:row>
    <x:row r="4">
      <x:c r="A4" s="20" t="str">
        <x:v>FAIR-001</x:v>
      </x:c>
      <x:c r="B4" s="20" t="str">
        <x:v>Customer portal</x:v>
      </x:c>
      <x:c r="C4" s="20" t="str">
        <x:v>External attackers</x:v>
      </x:c>
      <x:c r="D4" s="20" t="str">
        <x:v>Credential theft causes account compromise</x:v>
      </x:c>
      <x:c r="E4" s="20" t="str">
        <x:v>Digital Services</x:v>
      </x:c>
      <x:c r="F4" s="20" t="str">
        <x:v>Risk Analyst</x:v>
      </x:c>
      <x:c r="G4" s="20" t="str">
        <x:v>In Progress</x:v>
      </x:c>
      <x:c r="H4" s="22" t="n">
        <x:v>46266</x:v>
      </x:c>
    </x:row>
    <x:row r="5">
      <x:c r="A5" s="20" t="str">
        <x:v>FAIR-002</x:v>
      </x:c>
      <x:c r="B5" s="20" t="str">
        <x:v>Payroll platform</x:v>
      </x:c>
      <x:c r="C5" s="20" t="str">
        <x:v>Cybercriminal group</x:v>
      </x:c>
      <x:c r="D5" s="20" t="str">
        <x:v>Ransomware disrupts payroll processing</x:v>
      </x:c>
      <x:c r="E5" s="20" t="str">
        <x:v>Human Resources</x:v>
      </x:c>
      <x:c r="F5" s="20" t="str">
        <x:v>Risk Analyst</x:v>
      </x:c>
      <x:c r="G5" s="20" t="str">
        <x:v>Planned</x:v>
      </x:c>
      <x:c r="H5" s="22" t="n">
        <x:v>46280</x:v>
      </x:c>
    </x:row>
    <x:row r="6">
      <x:c r="A6" s="20" t="str">
        <x:v>FAIR-003</x:v>
      </x:c>
      <x:c r="B6" s="20" t="str">
        <x:v>Cloud data lake</x:v>
      </x:c>
      <x:c r="C6" s="20" t="str">
        <x:v>Insider</x:v>
      </x:c>
      <x:c r="D6" s="20" t="str">
        <x:v>Unauthorized data extraction</x:v>
      </x:c>
      <x:c r="E6" s="20" t="str">
        <x:v>Analytics</x:v>
      </x:c>
      <x:c r="F6" s="20" t="str">
        <x:v>Data Risk Lead</x:v>
      </x:c>
      <x:c r="G6" s="20" t="str">
        <x:v>Needs Review</x:v>
      </x:c>
      <x:c r="H6" s="22" t="n">
        <x:v>46296</x:v>
      </x:c>
    </x:row>
    <x:row r="7">
      <x:c r="A7" s="20"/>
      <x:c r="B7" s="20"/>
      <x:c r="C7" s="20"/>
      <x:c r="D7" s="20"/>
      <x:c r="E7" s="20"/>
      <x:c r="F7" s="20"/>
      <x:c r="G7" s="20"/>
      <x:c r="H7" s="22"/>
    </x:row>
    <x:row r="8">
      <x:c r="A8" s="20"/>
      <x:c r="B8" s="20"/>
      <x:c r="C8" s="20"/>
      <x:c r="D8" s="20"/>
      <x:c r="E8" s="20"/>
      <x:c r="F8" s="20"/>
      <x:c r="G8" s="20"/>
      <x:c r="H8" s="22"/>
    </x:row>
    <x:row r="9">
      <x:c r="A9" s="20"/>
      <x:c r="B9" s="20"/>
      <x:c r="C9" s="20"/>
      <x:c r="D9" s="20"/>
      <x:c r="E9" s="20"/>
      <x:c r="F9" s="20"/>
      <x:c r="G9" s="20"/>
      <x:c r="H9" s="22"/>
    </x:row>
    <x:row r="10">
      <x:c r="A10" s="20"/>
      <x:c r="B10" s="20"/>
      <x:c r="C10" s="20"/>
      <x:c r="D10" s="20"/>
      <x:c r="E10" s="20"/>
      <x:c r="F10" s="20"/>
      <x:c r="G10" s="20"/>
      <x:c r="H10" s="22"/>
    </x:row>
    <x:row r="11">
      <x:c r="A11" s="20"/>
      <x:c r="B11" s="20"/>
      <x:c r="C11" s="20"/>
      <x:c r="D11" s="20"/>
      <x:c r="E11" s="20"/>
      <x:c r="F11" s="20"/>
      <x:c r="G11" s="20"/>
      <x:c r="H11" s="22"/>
    </x:row>
    <x:row r="12">
      <x:c r="A12" s="20"/>
      <x:c r="B12" s="20"/>
      <x:c r="C12" s="20"/>
      <x:c r="D12" s="20"/>
      <x:c r="E12" s="20"/>
      <x:c r="F12" s="20"/>
      <x:c r="G12" s="20"/>
      <x:c r="H12" s="22"/>
    </x:row>
    <x:row r="13">
      <x:c r="A13" s="20"/>
      <x:c r="B13" s="20"/>
      <x:c r="C13" s="20"/>
      <x:c r="D13" s="20"/>
      <x:c r="E13" s="20"/>
      <x:c r="F13" s="20"/>
      <x:c r="G13" s="20"/>
      <x:c r="H13" s="22"/>
    </x:row>
    <x:row r="14">
      <x:c r="A14" s="20"/>
      <x:c r="B14" s="20"/>
      <x:c r="C14" s="20"/>
      <x:c r="D14" s="20"/>
      <x:c r="E14" s="20"/>
      <x:c r="F14" s="20"/>
      <x:c r="G14" s="20"/>
      <x:c r="H14" s="22"/>
    </x:row>
    <x:row r="15">
      <x:c r="A15" s="20"/>
      <x:c r="B15" s="20"/>
      <x:c r="C15" s="20"/>
      <x:c r="D15" s="20"/>
      <x:c r="E15" s="20"/>
      <x:c r="F15" s="20"/>
      <x:c r="G15" s="20"/>
      <x:c r="H15" s="22"/>
    </x:row>
    <x:row r="16">
      <x:c r="A16" s="20"/>
      <x:c r="B16" s="20"/>
      <x:c r="C16" s="20"/>
      <x:c r="D16" s="20"/>
      <x:c r="E16" s="20"/>
      <x:c r="F16" s="20"/>
      <x:c r="G16" s="20"/>
      <x:c r="H16" s="22"/>
    </x:row>
    <x:row r="17">
      <x:c r="A17" s="20"/>
      <x:c r="B17" s="20"/>
      <x:c r="C17" s="20"/>
      <x:c r="D17" s="20"/>
      <x:c r="E17" s="20"/>
      <x:c r="F17" s="20"/>
      <x:c r="G17" s="20"/>
      <x:c r="H17" s="22"/>
    </x:row>
    <x:row r="18">
      <x:c r="A18" s="20"/>
      <x:c r="B18" s="20"/>
      <x:c r="C18" s="20"/>
      <x:c r="D18" s="20"/>
      <x:c r="E18" s="20"/>
      <x:c r="F18" s="20"/>
      <x:c r="G18" s="20"/>
      <x:c r="H18" s="22"/>
    </x:row>
    <x:row r="19">
      <x:c r="A19" s="20"/>
      <x:c r="B19" s="20"/>
      <x:c r="C19" s="20"/>
      <x:c r="D19" s="20"/>
      <x:c r="E19" s="20"/>
      <x:c r="F19" s="20"/>
      <x:c r="G19" s="20"/>
      <x:c r="H19" s="22"/>
    </x:row>
    <x:row r="20">
      <x:c r="A20" s="20"/>
      <x:c r="B20" s="20"/>
      <x:c r="C20" s="20"/>
      <x:c r="D20" s="20"/>
      <x:c r="E20" s="20"/>
      <x:c r="F20" s="20"/>
      <x:c r="G20" s="20"/>
      <x:c r="H20" s="22"/>
    </x:row>
    <x:row r="21">
      <x:c r="H21" s="18"/>
    </x:row>
    <x:row r="22">
      <x:c r="H22" s="18"/>
    </x:row>
    <x:row r="23">
      <x:c r="H23" s="18"/>
    </x:row>
    <x:row r="24">
      <x:c r="H24" s="18"/>
    </x:row>
    <x:row r="25">
      <x:c r="H25" s="18"/>
    </x:row>
    <x:row r="26">
      <x:c r="H26" s="18"/>
    </x:row>
    <x:row r="27">
      <x:c r="H27" s="18"/>
    </x:row>
    <x:row r="28">
      <x:c r="H28" s="18"/>
    </x:row>
    <x:row r="29">
      <x:c r="H29" s="18"/>
    </x:row>
    <x:row r="30">
      <x:c r="H30" s="18"/>
    </x:row>
    <x:row r="31">
      <x:c r="H31" s="18"/>
    </x:row>
    <x:row r="32">
      <x:c r="H32" s="18"/>
    </x:row>
    <x:row r="33">
      <x:c r="H33" s="18"/>
    </x:row>
    <x:row r="34">
      <x:c r="H34" s="18"/>
    </x:row>
    <x:row r="35">
      <x:c r="H35" s="18"/>
    </x:row>
    <x:row r="36">
      <x:c r="H36" s="18"/>
    </x:row>
    <x:row r="37">
      <x:c r="H37" s="18"/>
    </x:row>
    <x:row r="38">
      <x:c r="H38" s="18"/>
    </x:row>
    <x:row r="39">
      <x:c r="H39" s="18"/>
    </x:row>
    <x:row r="40">
      <x:c r="H40" s="18"/>
    </x:row>
    <x:row r="41">
      <x:c r="H41" s="18"/>
    </x:row>
    <x:row r="42">
      <x:c r="H42" s="18"/>
    </x:row>
    <x:row r="43">
      <x:c r="H43" s="18"/>
    </x:row>
    <x:row r="44">
      <x:c r="H44" s="18"/>
    </x:row>
    <x:row r="45">
      <x:c r="H45" s="18"/>
    </x:row>
    <x:row r="46">
      <x:c r="H46" s="18"/>
    </x:row>
    <x:row r="47">
      <x:c r="H47" s="18"/>
    </x:row>
    <x:row r="48">
      <x:c r="H48" s="18"/>
    </x:row>
    <x:row r="49">
      <x:c r="H49" s="18"/>
    </x:row>
    <x:row r="50">
      <x:c r="H50" s="18"/>
    </x:row>
    <x:row r="51">
      <x:c r="H51" s="18"/>
    </x:row>
    <x:row r="52">
      <x:c r="H52" s="18"/>
    </x:row>
    <x:row r="53">
      <x:c r="H53" s="18"/>
    </x:row>
    <x:row r="54">
      <x:c r="H54" s="18"/>
    </x:row>
    <x:row r="55">
      <x:c r="H55" s="18"/>
    </x:row>
    <x:row r="56">
      <x:c r="H56" s="18"/>
    </x:row>
    <x:row r="57">
      <x:c r="H57" s="18"/>
    </x:row>
    <x:row r="58">
      <x:c r="H58" s="18"/>
    </x:row>
    <x:row r="59">
      <x:c r="H59" s="18"/>
    </x:row>
    <x:row r="60">
      <x:c r="H60" s="18"/>
    </x:row>
    <x:row r="61">
      <x:c r="H61" s="18"/>
    </x:row>
    <x:row r="62">
      <x:c r="H62" s="18"/>
    </x:row>
    <x:row r="63">
      <x:c r="H63" s="18"/>
    </x:row>
    <x:row r="64">
      <x:c r="H64" s="18"/>
    </x:row>
    <x:row r="65">
      <x:c r="H65" s="18"/>
    </x:row>
    <x:row r="66">
      <x:c r="H66" s="18"/>
    </x:row>
    <x:row r="67">
      <x:c r="H67" s="18"/>
    </x:row>
    <x:row r="68">
      <x:c r="H68" s="18"/>
    </x:row>
    <x:row r="69">
      <x:c r="H69" s="18"/>
    </x:row>
    <x:row r="70">
      <x:c r="H70" s="18"/>
    </x:row>
    <x:row r="71">
      <x:c r="H71" s="18"/>
    </x:row>
    <x:row r="72">
      <x:c r="H72" s="18"/>
    </x:row>
    <x:row r="73">
      <x:c r="H73" s="18"/>
    </x:row>
    <x:row r="74">
      <x:c r="H74" s="18"/>
    </x:row>
    <x:row r="75">
      <x:c r="H75" s="18"/>
    </x:row>
    <x:row r="76">
      <x:c r="H76" s="18"/>
    </x:row>
    <x:row r="77">
      <x:c r="H77" s="18"/>
    </x:row>
    <x:row r="78">
      <x:c r="H78" s="18"/>
    </x:row>
    <x:row r="79">
      <x:c r="H79" s="18"/>
    </x:row>
    <x:row r="80">
      <x:c r="H80" s="18"/>
    </x:row>
    <x:row r="81">
      <x:c r="H81" s="18"/>
    </x:row>
    <x:row r="82">
      <x:c r="H82" s="18"/>
    </x:row>
    <x:row r="83">
      <x:c r="H83" s="18"/>
    </x:row>
    <x:row r="84">
      <x:c r="H84" s="18"/>
    </x:row>
    <x:row r="85">
      <x:c r="H85" s="18"/>
    </x:row>
    <x:row r="86">
      <x:c r="H86" s="18"/>
    </x:row>
    <x:row r="87">
      <x:c r="H87" s="18"/>
    </x:row>
    <x:row r="88">
      <x:c r="H88" s="18"/>
    </x:row>
    <x:row r="89">
      <x:c r="H89" s="18"/>
    </x:row>
    <x:row r="90">
      <x:c r="H90" s="18"/>
    </x:row>
    <x:row r="91">
      <x:c r="H91" s="18"/>
    </x:row>
    <x:row r="92">
      <x:c r="H92" s="18"/>
    </x:row>
    <x:row r="93">
      <x:c r="H93" s="18"/>
    </x:row>
    <x:row r="94">
      <x:c r="H94" s="18"/>
    </x:row>
    <x:row r="95">
      <x:c r="H95" s="18"/>
    </x:row>
    <x:row r="96">
      <x:c r="H96" s="18"/>
    </x:row>
    <x:row r="97">
      <x:c r="H97" s="18"/>
    </x:row>
    <x:row r="98">
      <x:c r="H98" s="18"/>
    </x:row>
    <x:row r="99">
      <x:c r="H99" s="18"/>
    </x:row>
    <x:row r="100">
      <x:c r="H100" s="18"/>
    </x:row>
    <x:row r="101">
      <x:c r="H101" s="18"/>
    </x:row>
    <x:row r="102">
      <x:c r="H102" s="18"/>
    </x:row>
    <x:row r="103">
      <x:c r="H103" s="18"/>
    </x:row>
    <x:row r="104">
      <x:c r="H104" s="18"/>
    </x:row>
    <x:row r="105">
      <x:c r="H105" s="18"/>
    </x:row>
    <x:row r="106">
      <x:c r="H106" s="18"/>
    </x:row>
    <x:row r="107">
      <x:c r="H107" s="18"/>
    </x:row>
    <x:row r="108">
      <x:c r="H108" s="18"/>
    </x:row>
    <x:row r="109">
      <x:c r="H109" s="18"/>
    </x:row>
    <x:row r="110">
      <x:c r="H110" s="18"/>
    </x:row>
    <x:row r="111">
      <x:c r="H111" s="18"/>
    </x:row>
    <x:row r="112">
      <x:c r="H112" s="18"/>
    </x:row>
    <x:row r="113">
      <x:c r="H113" s="18"/>
    </x:row>
    <x:row r="114">
      <x:c r="H114" s="18"/>
    </x:row>
    <x:row r="115">
      <x:c r="H115" s="18"/>
    </x:row>
    <x:row r="116">
      <x:c r="H116" s="18"/>
    </x:row>
    <x:row r="117">
      <x:c r="H117" s="18"/>
    </x:row>
    <x:row r="118">
      <x:c r="H118" s="18"/>
    </x:row>
    <x:row r="119">
      <x:c r="H119" s="18"/>
    </x:row>
    <x:row r="120">
      <x:c r="H120" s="18"/>
    </x:row>
    <x:row r="121">
      <x:c r="H121" s="18"/>
    </x:row>
    <x:row r="122">
      <x:c r="H122" s="18"/>
    </x:row>
    <x:row r="123">
      <x:c r="H123" s="18"/>
    </x:row>
    <x:row r="124">
      <x:c r="H124" s="18"/>
    </x:row>
    <x:row r="125">
      <x:c r="H125" s="18"/>
    </x:row>
    <x:row r="126">
      <x:c r="H126" s="18"/>
    </x:row>
    <x:row r="127">
      <x:c r="H127" s="18"/>
    </x:row>
    <x:row r="128">
      <x:c r="H128" s="18"/>
    </x:row>
    <x:row r="129">
      <x:c r="H129" s="18"/>
    </x:row>
    <x:row r="130">
      <x:c r="H130" s="18"/>
    </x:row>
    <x:row r="131">
      <x:c r="H131" s="18"/>
    </x:row>
    <x:row r="132">
      <x:c r="H132" s="18"/>
    </x:row>
    <x:row r="133">
      <x:c r="H133" s="18"/>
    </x:row>
    <x:row r="134">
      <x:c r="H134" s="18"/>
    </x:row>
    <x:row r="135">
      <x:c r="H135" s="18"/>
    </x:row>
    <x:row r="136">
      <x:c r="H136" s="18"/>
    </x:row>
    <x:row r="137">
      <x:c r="H137" s="18"/>
    </x:row>
    <x:row r="138">
      <x:c r="H138" s="18"/>
    </x:row>
    <x:row r="139">
      <x:c r="H139" s="18"/>
    </x:row>
    <x:row r="140">
      <x:c r="H140" s="18"/>
    </x:row>
    <x:row r="141">
      <x:c r="H141" s="18"/>
    </x:row>
    <x:row r="142">
      <x:c r="H142" s="18"/>
    </x:row>
    <x:row r="143">
      <x:c r="H143" s="18"/>
    </x:row>
    <x:row r="144">
      <x:c r="H144" s="18"/>
    </x:row>
    <x:row r="145">
      <x:c r="H145" s="18"/>
    </x:row>
    <x:row r="146">
      <x:c r="H146" s="18"/>
    </x:row>
    <x:row r="147">
      <x:c r="H147" s="18"/>
    </x:row>
    <x:row r="148">
      <x:c r="H148" s="18"/>
    </x:row>
    <x:row r="149">
      <x:c r="H149" s="18"/>
    </x:row>
    <x:row r="150">
      <x:c r="H150" s="18"/>
    </x:row>
    <x:row r="151">
      <x:c r="H151" s="18"/>
    </x:row>
    <x:row r="152">
      <x:c r="H152" s="18"/>
    </x:row>
    <x:row r="153">
      <x:c r="H153" s="18"/>
    </x:row>
    <x:row r="154">
      <x:c r="H154" s="18"/>
    </x:row>
    <x:row r="155">
      <x:c r="H155" s="18"/>
    </x:row>
    <x:row r="156">
      <x:c r="H156" s="18"/>
    </x:row>
    <x:row r="157">
      <x:c r="H157" s="18"/>
    </x:row>
    <x:row r="158">
      <x:c r="H158" s="18"/>
    </x:row>
    <x:row r="159">
      <x:c r="H159" s="18"/>
    </x:row>
    <x:row r="160">
      <x:c r="H160" s="18"/>
    </x:row>
    <x:row r="161">
      <x:c r="H161" s="18"/>
    </x:row>
    <x:row r="162">
      <x:c r="H162" s="18"/>
    </x:row>
    <x:row r="163">
      <x:c r="H163" s="18"/>
    </x:row>
    <x:row r="164">
      <x:c r="H164" s="18"/>
    </x:row>
    <x:row r="165">
      <x:c r="H165" s="18"/>
    </x:row>
    <x:row r="166">
      <x:c r="H166" s="18"/>
    </x:row>
    <x:row r="167">
      <x:c r="H167" s="18"/>
    </x:row>
    <x:row r="168">
      <x:c r="H168" s="18"/>
    </x:row>
    <x:row r="169">
      <x:c r="H169" s="18"/>
    </x:row>
    <x:row r="170">
      <x:c r="H170" s="18"/>
    </x:row>
    <x:row r="171">
      <x:c r="H171" s="18"/>
    </x:row>
    <x:row r="172">
      <x:c r="H172" s="18"/>
    </x:row>
    <x:row r="173">
      <x:c r="H173" s="18"/>
    </x:row>
    <x:row r="174">
      <x:c r="H174" s="18"/>
    </x:row>
    <x:row r="175">
      <x:c r="H175" s="18"/>
    </x:row>
    <x:row r="176">
      <x:c r="H176" s="18"/>
    </x:row>
    <x:row r="177">
      <x:c r="H177" s="18"/>
    </x:row>
    <x:row r="178">
      <x:c r="H178" s="18"/>
    </x:row>
    <x:row r="179">
      <x:c r="H179" s="18"/>
    </x:row>
    <x:row r="180">
      <x:c r="H180" s="18"/>
    </x:row>
    <x:row r="181">
      <x:c r="H181" s="18"/>
    </x:row>
    <x:row r="182">
      <x:c r="H182" s="18"/>
    </x:row>
    <x:row r="183">
      <x:c r="H183" s="18"/>
    </x:row>
    <x:row r="184">
      <x:c r="H184" s="18"/>
    </x:row>
    <x:row r="185">
      <x:c r="H185" s="18"/>
    </x:row>
    <x:row r="186">
      <x:c r="H186" s="18"/>
    </x:row>
    <x:row r="187">
      <x:c r="H187" s="18"/>
    </x:row>
    <x:row r="188">
      <x:c r="H188" s="18"/>
    </x:row>
    <x:row r="189">
      <x:c r="H189" s="18"/>
    </x:row>
    <x:row r="190">
      <x:c r="H190" s="18"/>
    </x:row>
    <x:row r="191">
      <x:c r="H191" s="18"/>
    </x:row>
    <x:row r="192">
      <x:c r="H192" s="18"/>
    </x:row>
    <x:row r="193">
      <x:c r="H193" s="18"/>
    </x:row>
    <x:row r="194">
      <x:c r="H194" s="18"/>
    </x:row>
    <x:row r="195">
      <x:c r="H195" s="18"/>
    </x:row>
    <x:row r="196">
      <x:c r="H196" s="18"/>
    </x:row>
    <x:row r="197">
      <x:c r="H197" s="18"/>
    </x:row>
    <x:row r="198">
      <x:c r="H198" s="18"/>
    </x:row>
    <x:row r="199">
      <x:c r="H199" s="18"/>
    </x:row>
    <x:row r="200">
      <x:c r="H200" s="18"/>
    </x:row>
    <x:row r="201">
      <x:c r="H201" s="18"/>
    </x:row>
    <x:row r="202">
      <x:c r="H202" s="18"/>
    </x:row>
    <x:row r="203">
      <x:c r="H203" s="18"/>
    </x:row>
    <x:row r="204">
      <x:c r="H204" s="18"/>
    </x:row>
    <x:row r="205">
      <x:c r="H205" s="18"/>
    </x:row>
    <x:row r="206">
      <x:c r="H206" s="18"/>
    </x:row>
    <x:row r="207">
      <x:c r="H207" s="18"/>
    </x:row>
    <x:row r="208">
      <x:c r="H208" s="18"/>
    </x:row>
    <x:row r="209">
      <x:c r="H209" s="18"/>
    </x:row>
    <x:row r="210">
      <x:c r="H210" s="18"/>
    </x:row>
    <x:row r="211">
      <x:c r="H211" s="18"/>
    </x:row>
    <x:row r="212">
      <x:c r="H212" s="18"/>
    </x:row>
    <x:row r="213">
      <x:c r="H213" s="18"/>
    </x:row>
    <x:row r="214">
      <x:c r="H214" s="18"/>
    </x:row>
    <x:row r="215">
      <x:c r="H215" s="18"/>
    </x:row>
    <x:row r="216">
      <x:c r="H216" s="18"/>
    </x:row>
    <x:row r="217">
      <x:c r="H217" s="18"/>
    </x:row>
    <x:row r="218">
      <x:c r="H218" s="18"/>
    </x:row>
    <x:row r="219">
      <x:c r="H219" s="18"/>
    </x:row>
    <x:row r="220">
      <x:c r="H220" s="18"/>
    </x:row>
    <x:row r="221">
      <x:c r="H221" s="18"/>
    </x:row>
    <x:row r="222">
      <x:c r="H222" s="18"/>
    </x:row>
    <x:row r="223">
      <x:c r="H223" s="18"/>
    </x:row>
    <x:row r="224">
      <x:c r="H224" s="18"/>
    </x:row>
    <x:row r="225">
      <x:c r="H225" s="18"/>
    </x:row>
    <x:row r="226">
      <x:c r="H226" s="18"/>
    </x:row>
    <x:row r="227">
      <x:c r="H227" s="18"/>
    </x:row>
    <x:row r="228">
      <x:c r="H228" s="18"/>
    </x:row>
    <x:row r="229">
      <x:c r="H229" s="18"/>
    </x:row>
    <x:row r="230">
      <x:c r="H230" s="18"/>
    </x:row>
    <x:row r="231">
      <x:c r="H231" s="18"/>
    </x:row>
    <x:row r="232">
      <x:c r="H232" s="18"/>
    </x:row>
    <x:row r="233">
      <x:c r="H233" s="18"/>
    </x:row>
    <x:row r="234">
      <x:c r="H234" s="18"/>
    </x:row>
    <x:row r="235">
      <x:c r="H235" s="18"/>
    </x:row>
    <x:row r="236">
      <x:c r="H236" s="18"/>
    </x:row>
    <x:row r="237">
      <x:c r="H237" s="18"/>
    </x:row>
    <x:row r="238">
      <x:c r="H238" s="18"/>
    </x:row>
    <x:row r="239">
      <x:c r="H239" s="18"/>
    </x:row>
    <x:row r="240">
      <x:c r="H240" s="18"/>
    </x:row>
    <x:row r="241">
      <x:c r="H241" s="18"/>
    </x:row>
    <x:row r="242">
      <x:c r="H242" s="18"/>
    </x:row>
    <x:row r="243">
      <x:c r="H243" s="18"/>
    </x:row>
    <x:row r="244">
      <x:c r="H244" s="18"/>
    </x:row>
    <x:row r="245">
      <x:c r="H245" s="18"/>
    </x:row>
    <x:row r="246">
      <x:c r="H246" s="18"/>
    </x:row>
    <x:row r="247">
      <x:c r="H247" s="18"/>
    </x:row>
    <x:row r="248">
      <x:c r="H248" s="18"/>
    </x:row>
    <x:row r="249">
      <x:c r="H249" s="18"/>
    </x:row>
    <x:row r="250">
      <x:c r="H250" s="18"/>
    </x:row>
    <x:row r="251">
      <x:c r="H251" s="18"/>
    </x:row>
    <x:row r="252">
      <x:c r="H252" s="18"/>
    </x:row>
    <x:row r="253">
      <x:c r="H253" s="18"/>
    </x:row>
    <x:row r="254">
      <x:c r="H254" s="18"/>
    </x:row>
    <x:row r="255">
      <x:c r="H255" s="18"/>
    </x:row>
    <x:row r="256">
      <x:c r="H256" s="18"/>
    </x:row>
    <x:row r="257">
      <x:c r="H257" s="18"/>
    </x:row>
    <x:row r="258">
      <x:c r="H258" s="18"/>
    </x:row>
    <x:row r="259">
      <x:c r="H259" s="18"/>
    </x:row>
    <x:row r="260">
      <x:c r="H260" s="18"/>
    </x:row>
    <x:row r="261">
      <x:c r="H261" s="18"/>
    </x:row>
    <x:row r="262">
      <x:c r="H262" s="18"/>
    </x:row>
    <x:row r="263">
      <x:c r="H263" s="18"/>
    </x:row>
    <x:row r="264">
      <x:c r="H264" s="18"/>
    </x:row>
    <x:row r="265">
      <x:c r="H265" s="18"/>
    </x:row>
    <x:row r="266">
      <x:c r="H266" s="18"/>
    </x:row>
    <x:row r="267">
      <x:c r="H267" s="18"/>
    </x:row>
    <x:row r="268">
      <x:c r="H268" s="18"/>
    </x:row>
    <x:row r="269">
      <x:c r="H269" s="18"/>
    </x:row>
    <x:row r="270">
      <x:c r="H270" s="18"/>
    </x:row>
    <x:row r="271">
      <x:c r="H271" s="18"/>
    </x:row>
    <x:row r="272">
      <x:c r="H272" s="18"/>
    </x:row>
    <x:row r="273">
      <x:c r="H273" s="18"/>
    </x:row>
    <x:row r="274">
      <x:c r="H274" s="18"/>
    </x:row>
    <x:row r="275">
      <x:c r="H275" s="18"/>
    </x:row>
    <x:row r="276">
      <x:c r="H276" s="18"/>
    </x:row>
    <x:row r="277">
      <x:c r="H277" s="18"/>
    </x:row>
    <x:row r="278">
      <x:c r="H278" s="18"/>
    </x:row>
    <x:row r="279">
      <x:c r="H279" s="18"/>
    </x:row>
    <x:row r="280">
      <x:c r="H280" s="18"/>
    </x:row>
    <x:row r="281">
      <x:c r="H281" s="18"/>
    </x:row>
    <x:row r="282">
      <x:c r="H282" s="18"/>
    </x:row>
    <x:row r="283">
      <x:c r="H283" s="18"/>
    </x:row>
    <x:row r="284">
      <x:c r="H284" s="18"/>
    </x:row>
    <x:row r="285">
      <x:c r="H285" s="18"/>
    </x:row>
    <x:row r="286">
      <x:c r="H286" s="18"/>
    </x:row>
    <x:row r="287">
      <x:c r="H287" s="18"/>
    </x:row>
    <x:row r="288">
      <x:c r="H288" s="18"/>
    </x:row>
    <x:row r="289">
      <x:c r="H289" s="18"/>
    </x:row>
    <x:row r="290">
      <x:c r="H290" s="18"/>
    </x:row>
    <x:row r="291">
      <x:c r="H291" s="18"/>
    </x:row>
    <x:row r="292">
      <x:c r="H292" s="18"/>
    </x:row>
    <x:row r="293">
      <x:c r="H293" s="18"/>
    </x:row>
    <x:row r="294">
      <x:c r="H294" s="18"/>
    </x:row>
    <x:row r="295">
      <x:c r="H295" s="18"/>
    </x:row>
    <x:row r="296">
      <x:c r="H296" s="18"/>
    </x:row>
    <x:row r="297">
      <x:c r="H297" s="18"/>
    </x:row>
    <x:row r="298">
      <x:c r="H298" s="18"/>
    </x:row>
    <x:row r="299">
      <x:c r="H299" s="18"/>
    </x:row>
    <x:row r="300">
      <x:c r="H300" s="18"/>
    </x:row>
    <x:row r="301">
      <x:c r="H301" s="18"/>
    </x:row>
    <x:row r="302">
      <x:c r="H302" s="18"/>
    </x:row>
    <x:row r="303">
      <x:c r="H303" s="18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758cc5d01a744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Frequency Analysis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Scenario ID</x:v>
      </x:c>
      <x:c r="B3" s="12" t="str">
        <x:v>Contact Frequency / Year</x:v>
      </x:c>
      <x:c r="C3" s="12" t="str">
        <x:v>Probability of Action</x:v>
      </x:c>
      <x:c r="D3" s="12" t="str">
        <x:v>Threat Event Frequency</x:v>
      </x:c>
      <x:c r="E3" s="12" t="str">
        <x:v>Control Strength</x:v>
      </x:c>
      <x:c r="F3" s="12" t="str">
        <x:v>Threat Capability</x:v>
      </x:c>
      <x:c r="G3" s="12" t="str">
        <x:v>Vulnerability</x:v>
      </x:c>
      <x:c r="H3" s="12" t="str">
        <x:v>Loss Event Frequency</x:v>
      </x:c>
    </x:row>
    <x:row r="4">
      <x:c r="A4" s="20" t="str">
        <x:v>FAIR-001</x:v>
      </x:c>
      <x:c r="B4" s="20" t="n">
        <x:v>120</x:v>
      </x:c>
      <x:c r="C4" s="20" t="n">
        <x:v>0.18</x:v>
      </x:c>
      <x:c r="D4" s="20" t="n">
        <x:f>B4*C4</x:f>
        <x:v>21.599999999999998</x:v>
      </x:c>
      <x:c r="E4" s="20" t="n">
        <x:v>3</x:v>
      </x:c>
      <x:c r="F4" s="20" t="n">
        <x:v>4</x:v>
      </x:c>
      <x:c r="G4" s="20" t="n">
        <x:f>MAX(0,MIN(1,(F4-E4+3)/6))</x:f>
        <x:v>0.6666666666666666</x:v>
      </x:c>
      <x:c r="H4" s="20" t="n">
        <x:f>D4*G4</x:f>
        <x:v>14.399999999999999</x:v>
      </x:c>
    </x:row>
    <x:row r="5">
      <x:c r="A5" s="20" t="str">
        <x:v>FAIR-002</x:v>
      </x:c>
      <x:c r="B5" s="20" t="n">
        <x:v>18</x:v>
      </x:c>
      <x:c r="C5" s="20" t="n">
        <x:v>0.25</x:v>
      </x:c>
      <x:c r="D5" s="20" t="n">
        <x:f>B5*C5</x:f>
        <x:v>4.5</x:v>
      </x:c>
      <x:c r="E5" s="20" t="n">
        <x:v>3</x:v>
      </x:c>
      <x:c r="F5" s="20" t="n">
        <x:v>4</x:v>
      </x:c>
      <x:c r="G5" s="20" t="n">
        <x:f>MAX(0,MIN(1,(F5-E5+3)/6))</x:f>
        <x:v>0.6666666666666666</x:v>
      </x:c>
      <x:c r="H5" s="20" t="n">
        <x:f>D5*G5</x:f>
        <x:v>3</x:v>
      </x:c>
    </x:row>
    <x:row r="6">
      <x:c r="A6" s="20" t="str">
        <x:v>FAIR-003</x:v>
      </x:c>
      <x:c r="B6" s="20" t="n">
        <x:v>8</x:v>
      </x:c>
      <x:c r="C6" s="20" t="n">
        <x:v>0.1</x:v>
      </x:c>
      <x:c r="D6" s="20" t="n">
        <x:f>B6*C6</x:f>
        <x:v>0.8</x:v>
      </x:c>
      <x:c r="E6" s="20" t="n">
        <x:v>4</x:v>
      </x:c>
      <x:c r="F6" s="20" t="n">
        <x:v>3</x:v>
      </x:c>
      <x:c r="G6" s="20" t="n">
        <x:f>MAX(0,MIN(1,(F6-E6+3)/6))</x:f>
        <x:v>0.3333333333333333</x:v>
      </x:c>
      <x:c r="H6" s="20" t="n">
        <x:f>D6*G6</x:f>
        <x:v>0.26666666666666666</x:v>
      </x:c>
    </x:row>
    <x:row r="7">
      <x:c r="A7" s="20"/>
      <x:c r="B7" s="20"/>
      <x:c r="C7" s="20"/>
      <x:c r="D7" s="20" t="n">
        <x:f>B7*C7</x:f>
        <x:v>0</x:v>
      </x:c>
      <x:c r="E7" s="20"/>
      <x:c r="F7" s="20"/>
      <x:c r="G7" s="20" t="n">
        <x:f>MAX(0,MIN(1,(F7-E7+3)/6))</x:f>
        <x:v>0.5</x:v>
      </x:c>
      <x:c r="H7" s="20" t="n">
        <x:f>D7*G7</x:f>
        <x:v>0</x:v>
      </x:c>
    </x:row>
    <x:row r="8">
      <x:c r="A8" s="20"/>
      <x:c r="B8" s="20"/>
      <x:c r="C8" s="20"/>
      <x:c r="D8" s="20" t="n">
        <x:f>B8*C8</x:f>
        <x:v>0</x:v>
      </x:c>
      <x:c r="E8" s="20"/>
      <x:c r="F8" s="20"/>
      <x:c r="G8" s="20" t="n">
        <x:f>MAX(0,MIN(1,(F8-E8+3)/6))</x:f>
        <x:v>0.5</x:v>
      </x:c>
      <x:c r="H8" s="20" t="n">
        <x:f>D8*G8</x:f>
        <x:v>0</x:v>
      </x:c>
    </x:row>
    <x:row r="9">
      <x:c r="A9" s="20"/>
      <x:c r="B9" s="20"/>
      <x:c r="C9" s="20"/>
      <x:c r="D9" s="20" t="n">
        <x:f>B9*C9</x:f>
        <x:v>0</x:v>
      </x:c>
      <x:c r="E9" s="20"/>
      <x:c r="F9" s="20"/>
      <x:c r="G9" s="20" t="n">
        <x:f>MAX(0,MIN(1,(F9-E9+3)/6))</x:f>
        <x:v>0.5</x:v>
      </x:c>
      <x:c r="H9" s="20" t="n">
        <x:f>D9*G9</x:f>
        <x:v>0</x:v>
      </x:c>
    </x:row>
    <x:row r="10">
      <x:c r="A10" s="20"/>
      <x:c r="B10" s="20"/>
      <x:c r="C10" s="20"/>
      <x:c r="D10" s="20" t="n">
        <x:f>B10*C10</x:f>
        <x:v>0</x:v>
      </x:c>
      <x:c r="E10" s="20"/>
      <x:c r="F10" s="20"/>
      <x:c r="G10" s="20" t="n">
        <x:f>MAX(0,MIN(1,(F10-E10+3)/6))</x:f>
        <x:v>0.5</x:v>
      </x:c>
      <x:c r="H10" s="20" t="n">
        <x:f>D10*G10</x:f>
        <x:v>0</x:v>
      </x:c>
    </x:row>
    <x:row r="11">
      <x:c r="A11" s="20"/>
      <x:c r="B11" s="20"/>
      <x:c r="C11" s="20"/>
      <x:c r="D11" s="20" t="n">
        <x:f>B11*C11</x:f>
        <x:v>0</x:v>
      </x:c>
      <x:c r="E11" s="20"/>
      <x:c r="F11" s="20"/>
      <x:c r="G11" s="20" t="n">
        <x:f>MAX(0,MIN(1,(F11-E11+3)/6))</x:f>
        <x:v>0.5</x:v>
      </x:c>
      <x:c r="H11" s="20" t="n">
        <x:f>D11*G11</x:f>
        <x:v>0</x:v>
      </x:c>
    </x:row>
    <x:row r="12">
      <x:c r="A12" s="20"/>
      <x:c r="B12" s="20"/>
      <x:c r="C12" s="20"/>
      <x:c r="D12" s="20" t="n">
        <x:f>B12*C12</x:f>
        <x:v>0</x:v>
      </x:c>
      <x:c r="E12" s="20"/>
      <x:c r="F12" s="20"/>
      <x:c r="G12" s="20" t="n">
        <x:f>MAX(0,MIN(1,(F12-E12+3)/6))</x:f>
        <x:v>0.5</x:v>
      </x:c>
      <x:c r="H12" s="20" t="n">
        <x:f>D12*G12</x:f>
        <x:v>0</x:v>
      </x:c>
    </x:row>
    <x:row r="13">
      <x:c r="A13" s="20"/>
      <x:c r="B13" s="20"/>
      <x:c r="C13" s="20"/>
      <x:c r="D13" s="20" t="n">
        <x:f>B13*C13</x:f>
        <x:v>0</x:v>
      </x:c>
      <x:c r="E13" s="20"/>
      <x:c r="F13" s="20"/>
      <x:c r="G13" s="20" t="n">
        <x:f>MAX(0,MIN(1,(F13-E13+3)/6))</x:f>
        <x:v>0.5</x:v>
      </x:c>
      <x:c r="H13" s="20" t="n">
        <x:f>D13*G13</x:f>
        <x:v>0</x:v>
      </x:c>
    </x:row>
    <x:row r="14">
      <x:c r="A14" s="20"/>
      <x:c r="B14" s="20"/>
      <x:c r="C14" s="20"/>
      <x:c r="D14" s="20" t="n">
        <x:f>B14*C14</x:f>
        <x:v>0</x:v>
      </x:c>
      <x:c r="E14" s="20"/>
      <x:c r="F14" s="20"/>
      <x:c r="G14" s="20" t="n">
        <x:f>MAX(0,MIN(1,(F14-E14+3)/6))</x:f>
        <x:v>0.5</x:v>
      </x:c>
      <x:c r="H14" s="20" t="n">
        <x:f>D14*G14</x:f>
        <x:v>0</x:v>
      </x:c>
    </x:row>
    <x:row r="15">
      <x:c r="A15" s="20"/>
      <x:c r="B15" s="20"/>
      <x:c r="C15" s="20"/>
      <x:c r="D15" s="20" t="n">
        <x:f>B15*C15</x:f>
        <x:v>0</x:v>
      </x:c>
      <x:c r="E15" s="20"/>
      <x:c r="F15" s="20"/>
      <x:c r="G15" s="20" t="n">
        <x:f>MAX(0,MIN(1,(F15-E15+3)/6))</x:f>
        <x:v>0.5</x:v>
      </x:c>
      <x:c r="H15" s="20" t="n">
        <x:f>D15*G15</x:f>
        <x:v>0</x:v>
      </x:c>
    </x:row>
    <x:row r="16">
      <x:c r="A16" s="20"/>
      <x:c r="B16" s="20"/>
      <x:c r="C16" s="20"/>
      <x:c r="D16" s="20" t="n">
        <x:f>B16*C16</x:f>
        <x:v>0</x:v>
      </x:c>
      <x:c r="E16" s="20"/>
      <x:c r="F16" s="20"/>
      <x:c r="G16" s="20" t="n">
        <x:f>MAX(0,MIN(1,(F16-E16+3)/6))</x:f>
        <x:v>0.5</x:v>
      </x:c>
      <x:c r="H16" s="20" t="n">
        <x:f>D16*G16</x:f>
        <x:v>0</x:v>
      </x:c>
    </x:row>
    <x:row r="17">
      <x:c r="A17" s="20"/>
      <x:c r="B17" s="20"/>
      <x:c r="C17" s="20"/>
      <x:c r="D17" s="20" t="n">
        <x:f>B17*C17</x:f>
        <x:v>0</x:v>
      </x:c>
      <x:c r="E17" s="20"/>
      <x:c r="F17" s="20"/>
      <x:c r="G17" s="20" t="n">
        <x:f>MAX(0,MIN(1,(F17-E17+3)/6))</x:f>
        <x:v>0.5</x:v>
      </x:c>
      <x:c r="H17" s="20" t="n">
        <x:f>D17*G17</x:f>
        <x:v>0</x:v>
      </x:c>
    </x:row>
    <x:row r="18">
      <x:c r="A18" s="20"/>
      <x:c r="B18" s="20"/>
      <x:c r="C18" s="20"/>
      <x:c r="D18" s="20" t="n">
        <x:f>B18*C18</x:f>
        <x:v>0</x:v>
      </x:c>
      <x:c r="E18" s="20"/>
      <x:c r="F18" s="20"/>
      <x:c r="G18" s="20" t="n">
        <x:f>MAX(0,MIN(1,(F18-E18+3)/6))</x:f>
        <x:v>0.5</x:v>
      </x:c>
      <x:c r="H18" s="20" t="n">
        <x:f>D18*G18</x:f>
        <x:v>0</x:v>
      </x:c>
    </x:row>
    <x:row r="19">
      <x:c r="A19" s="20"/>
      <x:c r="B19" s="20"/>
      <x:c r="C19" s="20"/>
      <x:c r="D19" s="20" t="n">
        <x:f>B19*C19</x:f>
        <x:v>0</x:v>
      </x:c>
      <x:c r="E19" s="20"/>
      <x:c r="F19" s="20"/>
      <x:c r="G19" s="20" t="n">
        <x:f>MAX(0,MIN(1,(F19-E19+3)/6))</x:f>
        <x:v>0.5</x:v>
      </x:c>
      <x:c r="H19" s="20" t="n">
        <x:f>D19*G19</x:f>
        <x:v>0</x:v>
      </x:c>
    </x:row>
    <x:row r="20">
      <x:c r="A20" s="20"/>
      <x:c r="B20" s="20"/>
      <x:c r="C20" s="20"/>
      <x:c r="D20" s="20" t="n">
        <x:f>B20*C20</x:f>
        <x:v>0</x:v>
      </x:c>
      <x:c r="E20" s="20"/>
      <x:c r="F20" s="20"/>
      <x:c r="G20" s="20" t="n">
        <x:f>MAX(0,MIN(1,(F20-E20+3)/6))</x:f>
        <x:v>0.5</x:v>
      </x:c>
      <x:c r="H20" s="20" t="n">
        <x:f>D20*G20</x:f>
        <x:v>0</x:v>
      </x:c>
    </x:row>
    <x:row r="21">
      <x:c r="D21" t="n">
        <x:f>B21*C21</x:f>
        <x:v>0</x:v>
      </x:c>
      <x:c r="G21" t="n">
        <x:f>MAX(0,MIN(1,(F21-E21+3)/6))</x:f>
        <x:v>0.5</x:v>
      </x:c>
      <x:c r="H21" t="n">
        <x:f>D21*G21</x:f>
        <x:v>0</x:v>
      </x:c>
    </x:row>
    <x:row r="22">
      <x:c r="D22" t="n">
        <x:f>B22*C22</x:f>
        <x:v>0</x:v>
      </x:c>
      <x:c r="G22" t="n">
        <x:f>MAX(0,MIN(1,(F22-E22+3)/6))</x:f>
        <x:v>0.5</x:v>
      </x:c>
      <x:c r="H22" t="n">
        <x:f>D22*G22</x:f>
        <x:v>0</x:v>
      </x:c>
    </x:row>
    <x:row r="23">
      <x:c r="D23" t="n">
        <x:f>B23*C23</x:f>
        <x:v>0</x:v>
      </x:c>
      <x:c r="G23" t="n">
        <x:f>MAX(0,MIN(1,(F23-E23+3)/6))</x:f>
        <x:v>0.5</x:v>
      </x:c>
      <x:c r="H23" t="n">
        <x:f>D23*G23</x:f>
        <x:v>0</x:v>
      </x:c>
    </x:row>
    <x:row r="24">
      <x:c r="D24" t="n">
        <x:f>B24*C24</x:f>
        <x:v>0</x:v>
      </x:c>
      <x:c r="G24" t="n">
        <x:f>MAX(0,MIN(1,(F24-E24+3)/6))</x:f>
        <x:v>0.5</x:v>
      </x:c>
      <x:c r="H24" t="n">
        <x:f>D24*G24</x:f>
        <x:v>0</x:v>
      </x:c>
    </x:row>
    <x:row r="25">
      <x:c r="D25" t="n">
        <x:f>B25*C25</x:f>
        <x:v>0</x:v>
      </x:c>
      <x:c r="G25" t="n">
        <x:f>MAX(0,MIN(1,(F25-E25+3)/6))</x:f>
        <x:v>0.5</x:v>
      </x:c>
      <x:c r="H25" t="n">
        <x:f>D25*G25</x:f>
        <x:v>0</x:v>
      </x:c>
    </x:row>
    <x:row r="26">
      <x:c r="D26" t="n">
        <x:f>B26*C26</x:f>
        <x:v>0</x:v>
      </x:c>
      <x:c r="G26" t="n">
        <x:f>MAX(0,MIN(1,(F26-E26+3)/6))</x:f>
        <x:v>0.5</x:v>
      </x:c>
      <x:c r="H26" t="n">
        <x:f>D26*G26</x:f>
        <x:v>0</x:v>
      </x:c>
    </x:row>
    <x:row r="27">
      <x:c r="D27" t="n">
        <x:f>B27*C27</x:f>
        <x:v>0</x:v>
      </x:c>
      <x:c r="G27" t="n">
        <x:f>MAX(0,MIN(1,(F27-E27+3)/6))</x:f>
        <x:v>0.5</x:v>
      </x:c>
      <x:c r="H27" t="n">
        <x:f>D27*G27</x:f>
        <x:v>0</x:v>
      </x:c>
    </x:row>
    <x:row r="28">
      <x:c r="D28" t="n">
        <x:f>B28*C28</x:f>
        <x:v>0</x:v>
      </x:c>
      <x:c r="G28" t="n">
        <x:f>MAX(0,MIN(1,(F28-E28+3)/6))</x:f>
        <x:v>0.5</x:v>
      </x:c>
      <x:c r="H28" t="n">
        <x:f>D28*G28</x:f>
        <x:v>0</x:v>
      </x:c>
    </x:row>
    <x:row r="29">
      <x:c r="D29" t="n">
        <x:f>B29*C29</x:f>
        <x:v>0</x:v>
      </x:c>
      <x:c r="G29" t="n">
        <x:f>MAX(0,MIN(1,(F29-E29+3)/6))</x:f>
        <x:v>0.5</x:v>
      </x:c>
      <x:c r="H29" t="n">
        <x:f>D29*G29</x:f>
        <x:v>0</x:v>
      </x:c>
    </x:row>
    <x:row r="30">
      <x:c r="D30" t="n">
        <x:f>B30*C30</x:f>
        <x:v>0</x:v>
      </x:c>
      <x:c r="G30" t="n">
        <x:f>MAX(0,MIN(1,(F30-E30+3)/6))</x:f>
        <x:v>0.5</x:v>
      </x:c>
      <x:c r="H30" t="n">
        <x:f>D30*G30</x:f>
        <x:v>0</x:v>
      </x:c>
    </x:row>
    <x:row r="31">
      <x:c r="D31" t="n">
        <x:f>B31*C31</x:f>
        <x:v>0</x:v>
      </x:c>
      <x:c r="G31" t="n">
        <x:f>MAX(0,MIN(1,(F31-E31+3)/6))</x:f>
        <x:v>0.5</x:v>
      </x:c>
      <x:c r="H31" t="n">
        <x:f>D31*G31</x:f>
        <x:v>0</x:v>
      </x:c>
    </x:row>
    <x:row r="32">
      <x:c r="D32" t="n">
        <x:f>B32*C32</x:f>
        <x:v>0</x:v>
      </x:c>
      <x:c r="G32" t="n">
        <x:f>MAX(0,MIN(1,(F32-E32+3)/6))</x:f>
        <x:v>0.5</x:v>
      </x:c>
      <x:c r="H32" t="n">
        <x:f>D32*G32</x:f>
        <x:v>0</x:v>
      </x:c>
    </x:row>
    <x:row r="33">
      <x:c r="D33" t="n">
        <x:f>B33*C33</x:f>
        <x:v>0</x:v>
      </x:c>
      <x:c r="G33" t="n">
        <x:f>MAX(0,MIN(1,(F33-E33+3)/6))</x:f>
        <x:v>0.5</x:v>
      </x:c>
      <x:c r="H33" t="n">
        <x:f>D33*G33</x:f>
        <x:v>0</x:v>
      </x:c>
    </x:row>
    <x:row r="34">
      <x:c r="D34" t="n">
        <x:f>B34*C34</x:f>
        <x:v>0</x:v>
      </x:c>
      <x:c r="G34" t="n">
        <x:f>MAX(0,MIN(1,(F34-E34+3)/6))</x:f>
        <x:v>0.5</x:v>
      </x:c>
      <x:c r="H34" t="n">
        <x:f>D34*G34</x:f>
        <x:v>0</x:v>
      </x:c>
    </x:row>
    <x:row r="35">
      <x:c r="D35" t="n">
        <x:f>B35*C35</x:f>
        <x:v>0</x:v>
      </x:c>
      <x:c r="G35" t="n">
        <x:f>MAX(0,MIN(1,(F35-E35+3)/6))</x:f>
        <x:v>0.5</x:v>
      </x:c>
      <x:c r="H35" t="n">
        <x:f>D35*G35</x:f>
        <x:v>0</x:v>
      </x:c>
    </x:row>
    <x:row r="36">
      <x:c r="D36" t="n">
        <x:f>B36*C36</x:f>
        <x:v>0</x:v>
      </x:c>
      <x:c r="G36" t="n">
        <x:f>MAX(0,MIN(1,(F36-E36+3)/6))</x:f>
        <x:v>0.5</x:v>
      </x:c>
      <x:c r="H36" t="n">
        <x:f>D36*G36</x:f>
        <x:v>0</x:v>
      </x:c>
    </x:row>
    <x:row r="37">
      <x:c r="D37" t="n">
        <x:f>B37*C37</x:f>
        <x:v>0</x:v>
      </x:c>
      <x:c r="G37" t="n">
        <x:f>MAX(0,MIN(1,(F37-E37+3)/6))</x:f>
        <x:v>0.5</x:v>
      </x:c>
      <x:c r="H37" t="n">
        <x:f>D37*G37</x:f>
        <x:v>0</x:v>
      </x:c>
    </x:row>
    <x:row r="38">
      <x:c r="D38" t="n">
        <x:f>B38*C38</x:f>
        <x:v>0</x:v>
      </x:c>
      <x:c r="G38" t="n">
        <x:f>MAX(0,MIN(1,(F38-E38+3)/6))</x:f>
        <x:v>0.5</x:v>
      </x:c>
      <x:c r="H38" t="n">
        <x:f>D38*G38</x:f>
        <x:v>0</x:v>
      </x:c>
    </x:row>
    <x:row r="39">
      <x:c r="D39" t="n">
        <x:f>B39*C39</x:f>
        <x:v>0</x:v>
      </x:c>
      <x:c r="G39" t="n">
        <x:f>MAX(0,MIN(1,(F39-E39+3)/6))</x:f>
        <x:v>0.5</x:v>
      </x:c>
      <x:c r="H39" t="n">
        <x:f>D39*G39</x:f>
        <x:v>0</x:v>
      </x:c>
    </x:row>
    <x:row r="40">
      <x:c r="D40" t="n">
        <x:f>B40*C40</x:f>
        <x:v>0</x:v>
      </x:c>
      <x:c r="G40" t="n">
        <x:f>MAX(0,MIN(1,(F40-E40+3)/6))</x:f>
        <x:v>0.5</x:v>
      </x:c>
      <x:c r="H40" t="n">
        <x:f>D40*G40</x:f>
        <x:v>0</x:v>
      </x:c>
    </x:row>
    <x:row r="41">
      <x:c r="D41" t="n">
        <x:f>B41*C41</x:f>
        <x:v>0</x:v>
      </x:c>
      <x:c r="G41" t="n">
        <x:f>MAX(0,MIN(1,(F41-E41+3)/6))</x:f>
        <x:v>0.5</x:v>
      </x:c>
      <x:c r="H41" t="n">
        <x:f>D41*G41</x:f>
        <x:v>0</x:v>
      </x:c>
    </x:row>
    <x:row r="42">
      <x:c r="D42" t="n">
        <x:f>B42*C42</x:f>
        <x:v>0</x:v>
      </x:c>
      <x:c r="G42" t="n">
        <x:f>MAX(0,MIN(1,(F42-E42+3)/6))</x:f>
        <x:v>0.5</x:v>
      </x:c>
      <x:c r="H42" t="n">
        <x:f>D42*G42</x:f>
        <x:v>0</x:v>
      </x:c>
    </x:row>
    <x:row r="43">
      <x:c r="D43" t="n">
        <x:f>B43*C43</x:f>
        <x:v>0</x:v>
      </x:c>
      <x:c r="G43" t="n">
        <x:f>MAX(0,MIN(1,(F43-E43+3)/6))</x:f>
        <x:v>0.5</x:v>
      </x:c>
      <x:c r="H43" t="n">
        <x:f>D43*G43</x:f>
        <x:v>0</x:v>
      </x:c>
    </x:row>
    <x:row r="44">
      <x:c r="D44" t="n">
        <x:f>B44*C44</x:f>
        <x:v>0</x:v>
      </x:c>
      <x:c r="G44" t="n">
        <x:f>MAX(0,MIN(1,(F44-E44+3)/6))</x:f>
        <x:v>0.5</x:v>
      </x:c>
      <x:c r="H44" t="n">
        <x:f>D44*G44</x:f>
        <x:v>0</x:v>
      </x:c>
    </x:row>
    <x:row r="45">
      <x:c r="D45" t="n">
        <x:f>B45*C45</x:f>
        <x:v>0</x:v>
      </x:c>
      <x:c r="G45" t="n">
        <x:f>MAX(0,MIN(1,(F45-E45+3)/6))</x:f>
        <x:v>0.5</x:v>
      </x:c>
      <x:c r="H45" t="n">
        <x:f>D45*G45</x:f>
        <x:v>0</x:v>
      </x:c>
    </x:row>
    <x:row r="46">
      <x:c r="D46" t="n">
        <x:f>B46*C46</x:f>
        <x:v>0</x:v>
      </x:c>
      <x:c r="G46" t="n">
        <x:f>MAX(0,MIN(1,(F46-E46+3)/6))</x:f>
        <x:v>0.5</x:v>
      </x:c>
      <x:c r="H46" t="n">
        <x:f>D46*G46</x:f>
        <x:v>0</x:v>
      </x:c>
    </x:row>
    <x:row r="47">
      <x:c r="D47" t="n">
        <x:f>B47*C47</x:f>
        <x:v>0</x:v>
      </x:c>
      <x:c r="G47" t="n">
        <x:f>MAX(0,MIN(1,(F47-E47+3)/6))</x:f>
        <x:v>0.5</x:v>
      </x:c>
      <x:c r="H47" t="n">
        <x:f>D47*G47</x:f>
        <x:v>0</x:v>
      </x:c>
    </x:row>
    <x:row r="48">
      <x:c r="D48" t="n">
        <x:f>B48*C48</x:f>
        <x:v>0</x:v>
      </x:c>
      <x:c r="G48" t="n">
        <x:f>MAX(0,MIN(1,(F48-E48+3)/6))</x:f>
        <x:v>0.5</x:v>
      </x:c>
      <x:c r="H48" t="n">
        <x:f>D48*G48</x:f>
        <x:v>0</x:v>
      </x:c>
    </x:row>
    <x:row r="49">
      <x:c r="D49" t="n">
        <x:f>B49*C49</x:f>
        <x:v>0</x:v>
      </x:c>
      <x:c r="G49" t="n">
        <x:f>MAX(0,MIN(1,(F49-E49+3)/6))</x:f>
        <x:v>0.5</x:v>
      </x:c>
      <x:c r="H49" t="n">
        <x:f>D49*G49</x:f>
        <x:v>0</x:v>
      </x:c>
    </x:row>
    <x:row r="50">
      <x:c r="D50" t="n">
        <x:f>B50*C50</x:f>
        <x:v>0</x:v>
      </x:c>
      <x:c r="G50" t="n">
        <x:f>MAX(0,MIN(1,(F50-E50+3)/6))</x:f>
        <x:v>0.5</x:v>
      </x:c>
      <x:c r="H50" t="n">
        <x:f>D50*G50</x:f>
        <x:v>0</x:v>
      </x:c>
    </x:row>
    <x:row r="51">
      <x:c r="D51" t="n">
        <x:f>B51*C51</x:f>
        <x:v>0</x:v>
      </x:c>
      <x:c r="G51" t="n">
        <x:f>MAX(0,MIN(1,(F51-E51+3)/6))</x:f>
        <x:v>0.5</x:v>
      </x:c>
      <x:c r="H51" t="n">
        <x:f>D51*G51</x:f>
        <x:v>0</x:v>
      </x:c>
    </x:row>
    <x:row r="52">
      <x:c r="D52" t="n">
        <x:f>B52*C52</x:f>
        <x:v>0</x:v>
      </x:c>
      <x:c r="G52" t="n">
        <x:f>MAX(0,MIN(1,(F52-E52+3)/6))</x:f>
        <x:v>0.5</x:v>
      </x:c>
      <x:c r="H52" t="n">
        <x:f>D52*G52</x:f>
        <x:v>0</x:v>
      </x:c>
    </x:row>
    <x:row r="53">
      <x:c r="D53" t="n">
        <x:f>B53*C53</x:f>
        <x:v>0</x:v>
      </x:c>
      <x:c r="G53" t="n">
        <x:f>MAX(0,MIN(1,(F53-E53+3)/6))</x:f>
        <x:v>0.5</x:v>
      </x:c>
      <x:c r="H53" t="n">
        <x:f>D53*G53</x:f>
        <x:v>0</x:v>
      </x:c>
    </x:row>
    <x:row r="54">
      <x:c r="D54" t="n">
        <x:f>B54*C54</x:f>
        <x:v>0</x:v>
      </x:c>
      <x:c r="G54" t="n">
        <x:f>MAX(0,MIN(1,(F54-E54+3)/6))</x:f>
        <x:v>0.5</x:v>
      </x:c>
      <x:c r="H54" t="n">
        <x:f>D54*G54</x:f>
        <x:v>0</x:v>
      </x:c>
    </x:row>
    <x:row r="55">
      <x:c r="D55" t="n">
        <x:f>B55*C55</x:f>
        <x:v>0</x:v>
      </x:c>
      <x:c r="G55" t="n">
        <x:f>MAX(0,MIN(1,(F55-E55+3)/6))</x:f>
        <x:v>0.5</x:v>
      </x:c>
      <x:c r="H55" t="n">
        <x:f>D55*G55</x:f>
        <x:v>0</x:v>
      </x:c>
    </x:row>
    <x:row r="56">
      <x:c r="D56" t="n">
        <x:f>B56*C56</x:f>
        <x:v>0</x:v>
      </x:c>
      <x:c r="G56" t="n">
        <x:f>MAX(0,MIN(1,(F56-E56+3)/6))</x:f>
        <x:v>0.5</x:v>
      </x:c>
      <x:c r="H56" t="n">
        <x:f>D56*G56</x:f>
        <x:v>0</x:v>
      </x:c>
    </x:row>
    <x:row r="57">
      <x:c r="D57" t="n">
        <x:f>B57*C57</x:f>
        <x:v>0</x:v>
      </x:c>
      <x:c r="G57" t="n">
        <x:f>MAX(0,MIN(1,(F57-E57+3)/6))</x:f>
        <x:v>0.5</x:v>
      </x:c>
      <x:c r="H57" t="n">
        <x:f>D57*G57</x:f>
        <x:v>0</x:v>
      </x:c>
    </x:row>
    <x:row r="58">
      <x:c r="D58" t="n">
        <x:f>B58*C58</x:f>
        <x:v>0</x:v>
      </x:c>
      <x:c r="G58" t="n">
        <x:f>MAX(0,MIN(1,(F58-E58+3)/6))</x:f>
        <x:v>0.5</x:v>
      </x:c>
      <x:c r="H58" t="n">
        <x:f>D58*G58</x:f>
        <x:v>0</x:v>
      </x:c>
    </x:row>
    <x:row r="59">
      <x:c r="D59" t="n">
        <x:f>B59*C59</x:f>
        <x:v>0</x:v>
      </x:c>
      <x:c r="G59" t="n">
        <x:f>MAX(0,MIN(1,(F59-E59+3)/6))</x:f>
        <x:v>0.5</x:v>
      </x:c>
      <x:c r="H59" t="n">
        <x:f>D59*G59</x:f>
        <x:v>0</x:v>
      </x:c>
    </x:row>
    <x:row r="60">
      <x:c r="D60" t="n">
        <x:f>B60*C60</x:f>
        <x:v>0</x:v>
      </x:c>
      <x:c r="G60" t="n">
        <x:f>MAX(0,MIN(1,(F60-E60+3)/6))</x:f>
        <x:v>0.5</x:v>
      </x:c>
      <x:c r="H60" t="n">
        <x:f>D60*G60</x:f>
        <x:v>0</x:v>
      </x:c>
    </x:row>
    <x:row r="61">
      <x:c r="D61" t="n">
        <x:f>B61*C61</x:f>
        <x:v>0</x:v>
      </x:c>
      <x:c r="G61" t="n">
        <x:f>MAX(0,MIN(1,(F61-E61+3)/6))</x:f>
        <x:v>0.5</x:v>
      </x:c>
      <x:c r="H61" t="n">
        <x:f>D61*G61</x:f>
        <x:v>0</x:v>
      </x:c>
    </x:row>
    <x:row r="62">
      <x:c r="D62" t="n">
        <x:f>B62*C62</x:f>
        <x:v>0</x:v>
      </x:c>
      <x:c r="G62" t="n">
        <x:f>MAX(0,MIN(1,(F62-E62+3)/6))</x:f>
        <x:v>0.5</x:v>
      </x:c>
      <x:c r="H62" t="n">
        <x:f>D62*G62</x:f>
        <x:v>0</x:v>
      </x:c>
    </x:row>
    <x:row r="63">
      <x:c r="D63" t="n">
        <x:f>B63*C63</x:f>
        <x:v>0</x:v>
      </x:c>
      <x:c r="G63" t="n">
        <x:f>MAX(0,MIN(1,(F63-E63+3)/6))</x:f>
        <x:v>0.5</x:v>
      </x:c>
      <x:c r="H63" t="n">
        <x:f>D63*G63</x:f>
        <x:v>0</x:v>
      </x:c>
    </x:row>
    <x:row r="64">
      <x:c r="D64" t="n">
        <x:f>B64*C64</x:f>
        <x:v>0</x:v>
      </x:c>
      <x:c r="G64" t="n">
        <x:f>MAX(0,MIN(1,(F64-E64+3)/6))</x:f>
        <x:v>0.5</x:v>
      </x:c>
      <x:c r="H64" t="n">
        <x:f>D64*G64</x:f>
        <x:v>0</x:v>
      </x:c>
    </x:row>
    <x:row r="65">
      <x:c r="D65" t="n">
        <x:f>B65*C65</x:f>
        <x:v>0</x:v>
      </x:c>
      <x:c r="G65" t="n">
        <x:f>MAX(0,MIN(1,(F65-E65+3)/6))</x:f>
        <x:v>0.5</x:v>
      </x:c>
      <x:c r="H65" t="n">
        <x:f>D65*G65</x:f>
        <x:v>0</x:v>
      </x:c>
    </x:row>
    <x:row r="66">
      <x:c r="D66" t="n">
        <x:f>B66*C66</x:f>
        <x:v>0</x:v>
      </x:c>
      <x:c r="G66" t="n">
        <x:f>MAX(0,MIN(1,(F66-E66+3)/6))</x:f>
        <x:v>0.5</x:v>
      </x:c>
      <x:c r="H66" t="n">
        <x:f>D66*G66</x:f>
        <x:v>0</x:v>
      </x:c>
    </x:row>
    <x:row r="67">
      <x:c r="D67" t="n">
        <x:f>B67*C67</x:f>
        <x:v>0</x:v>
      </x:c>
      <x:c r="G67" t="n">
        <x:f>MAX(0,MIN(1,(F67-E67+3)/6))</x:f>
        <x:v>0.5</x:v>
      </x:c>
      <x:c r="H67" t="n">
        <x:f>D67*G67</x:f>
        <x:v>0</x:v>
      </x:c>
    </x:row>
    <x:row r="68">
      <x:c r="D68" t="n">
        <x:f>B68*C68</x:f>
        <x:v>0</x:v>
      </x:c>
      <x:c r="G68" t="n">
        <x:f>MAX(0,MIN(1,(F68-E68+3)/6))</x:f>
        <x:v>0.5</x:v>
      </x:c>
      <x:c r="H68" t="n">
        <x:f>D68*G68</x:f>
        <x:v>0</x:v>
      </x:c>
    </x:row>
    <x:row r="69">
      <x:c r="D69" t="n">
        <x:f>B69*C69</x:f>
        <x:v>0</x:v>
      </x:c>
      <x:c r="G69" t="n">
        <x:f>MAX(0,MIN(1,(F69-E69+3)/6))</x:f>
        <x:v>0.5</x:v>
      </x:c>
      <x:c r="H69" t="n">
        <x:f>D69*G69</x:f>
        <x:v>0</x:v>
      </x:c>
    </x:row>
    <x:row r="70">
      <x:c r="D70" t="n">
        <x:f>B70*C70</x:f>
        <x:v>0</x:v>
      </x:c>
      <x:c r="G70" t="n">
        <x:f>MAX(0,MIN(1,(F70-E70+3)/6))</x:f>
        <x:v>0.5</x:v>
      </x:c>
      <x:c r="H70" t="n">
        <x:f>D70*G70</x:f>
        <x:v>0</x:v>
      </x:c>
    </x:row>
    <x:row r="71">
      <x:c r="D71" t="n">
        <x:f>B71*C71</x:f>
        <x:v>0</x:v>
      </x:c>
      <x:c r="G71" t="n">
        <x:f>MAX(0,MIN(1,(F71-E71+3)/6))</x:f>
        <x:v>0.5</x:v>
      </x:c>
      <x:c r="H71" t="n">
        <x:f>D71*G71</x:f>
        <x:v>0</x:v>
      </x:c>
    </x:row>
    <x:row r="72">
      <x:c r="D72" t="n">
        <x:f>B72*C72</x:f>
        <x:v>0</x:v>
      </x:c>
      <x:c r="G72" t="n">
        <x:f>MAX(0,MIN(1,(F72-E72+3)/6))</x:f>
        <x:v>0.5</x:v>
      </x:c>
      <x:c r="H72" t="n">
        <x:f>D72*G72</x:f>
        <x:v>0</x:v>
      </x:c>
    </x:row>
    <x:row r="73">
      <x:c r="D73" t="n">
        <x:f>B73*C73</x:f>
        <x:v>0</x:v>
      </x:c>
      <x:c r="G73" t="n">
        <x:f>MAX(0,MIN(1,(F73-E73+3)/6))</x:f>
        <x:v>0.5</x:v>
      </x:c>
      <x:c r="H73" t="n">
        <x:f>D73*G73</x:f>
        <x:v>0</x:v>
      </x:c>
    </x:row>
    <x:row r="74">
      <x:c r="D74" t="n">
        <x:f>B74*C74</x:f>
        <x:v>0</x:v>
      </x:c>
      <x:c r="G74" t="n">
        <x:f>MAX(0,MIN(1,(F74-E74+3)/6))</x:f>
        <x:v>0.5</x:v>
      </x:c>
      <x:c r="H74" t="n">
        <x:f>D74*G74</x:f>
        <x:v>0</x:v>
      </x:c>
    </x:row>
    <x:row r="75">
      <x:c r="D75" t="n">
        <x:f>B75*C75</x:f>
        <x:v>0</x:v>
      </x:c>
      <x:c r="G75" t="n">
        <x:f>MAX(0,MIN(1,(F75-E75+3)/6))</x:f>
        <x:v>0.5</x:v>
      </x:c>
      <x:c r="H75" t="n">
        <x:f>D75*G75</x:f>
        <x:v>0</x:v>
      </x:c>
    </x:row>
    <x:row r="76">
      <x:c r="D76" t="n">
        <x:f>B76*C76</x:f>
        <x:v>0</x:v>
      </x:c>
      <x:c r="G76" t="n">
        <x:f>MAX(0,MIN(1,(F76-E76+3)/6))</x:f>
        <x:v>0.5</x:v>
      </x:c>
      <x:c r="H76" t="n">
        <x:f>D76*G76</x:f>
        <x:v>0</x:v>
      </x:c>
    </x:row>
    <x:row r="77">
      <x:c r="D77" t="n">
        <x:f>B77*C77</x:f>
        <x:v>0</x:v>
      </x:c>
      <x:c r="G77" t="n">
        <x:f>MAX(0,MIN(1,(F77-E77+3)/6))</x:f>
        <x:v>0.5</x:v>
      </x:c>
      <x:c r="H77" t="n">
        <x:f>D77*G77</x:f>
        <x:v>0</x:v>
      </x:c>
    </x:row>
    <x:row r="78">
      <x:c r="D78" t="n">
        <x:f>B78*C78</x:f>
        <x:v>0</x:v>
      </x:c>
      <x:c r="G78" t="n">
        <x:f>MAX(0,MIN(1,(F78-E78+3)/6))</x:f>
        <x:v>0.5</x:v>
      </x:c>
      <x:c r="H78" t="n">
        <x:f>D78*G78</x:f>
        <x:v>0</x:v>
      </x:c>
    </x:row>
    <x:row r="79">
      <x:c r="D79" t="n">
        <x:f>B79*C79</x:f>
        <x:v>0</x:v>
      </x:c>
      <x:c r="G79" t="n">
        <x:f>MAX(0,MIN(1,(F79-E79+3)/6))</x:f>
        <x:v>0.5</x:v>
      </x:c>
      <x:c r="H79" t="n">
        <x:f>D79*G79</x:f>
        <x:v>0</x:v>
      </x:c>
    </x:row>
    <x:row r="80">
      <x:c r="D80" t="n">
        <x:f>B80*C80</x:f>
        <x:v>0</x:v>
      </x:c>
      <x:c r="G80" t="n">
        <x:f>MAX(0,MIN(1,(F80-E80+3)/6))</x:f>
        <x:v>0.5</x:v>
      </x:c>
      <x:c r="H80" t="n">
        <x:f>D80*G80</x:f>
        <x:v>0</x:v>
      </x:c>
    </x:row>
    <x:row r="81">
      <x:c r="D81" t="n">
        <x:f>B81*C81</x:f>
        <x:v>0</x:v>
      </x:c>
      <x:c r="G81" t="n">
        <x:f>MAX(0,MIN(1,(F81-E81+3)/6))</x:f>
        <x:v>0.5</x:v>
      </x:c>
      <x:c r="H81" t="n">
        <x:f>D81*G81</x:f>
        <x:v>0</x:v>
      </x:c>
    </x:row>
    <x:row r="82">
      <x:c r="D82" t="n">
        <x:f>B82*C82</x:f>
        <x:v>0</x:v>
      </x:c>
      <x:c r="G82" t="n">
        <x:f>MAX(0,MIN(1,(F82-E82+3)/6))</x:f>
        <x:v>0.5</x:v>
      </x:c>
      <x:c r="H82" t="n">
        <x:f>D82*G82</x:f>
        <x:v>0</x:v>
      </x:c>
    </x:row>
    <x:row r="83">
      <x:c r="D83" t="n">
        <x:f>B83*C83</x:f>
        <x:v>0</x:v>
      </x:c>
      <x:c r="G83" t="n">
        <x:f>MAX(0,MIN(1,(F83-E83+3)/6))</x:f>
        <x:v>0.5</x:v>
      </x:c>
      <x:c r="H83" t="n">
        <x:f>D83*G83</x:f>
        <x:v>0</x:v>
      </x:c>
    </x:row>
    <x:row r="84">
      <x:c r="D84" t="n">
        <x:f>B84*C84</x:f>
        <x:v>0</x:v>
      </x:c>
      <x:c r="G84" t="n">
        <x:f>MAX(0,MIN(1,(F84-E84+3)/6))</x:f>
        <x:v>0.5</x:v>
      </x:c>
      <x:c r="H84" t="n">
        <x:f>D84*G84</x:f>
        <x:v>0</x:v>
      </x:c>
    </x:row>
    <x:row r="85">
      <x:c r="D85" t="n">
        <x:f>B85*C85</x:f>
        <x:v>0</x:v>
      </x:c>
      <x:c r="G85" t="n">
        <x:f>MAX(0,MIN(1,(F85-E85+3)/6))</x:f>
        <x:v>0.5</x:v>
      </x:c>
      <x:c r="H85" t="n">
        <x:f>D85*G85</x:f>
        <x:v>0</x:v>
      </x:c>
    </x:row>
    <x:row r="86">
      <x:c r="D86" t="n">
        <x:f>B86*C86</x:f>
        <x:v>0</x:v>
      </x:c>
      <x:c r="G86" t="n">
        <x:f>MAX(0,MIN(1,(F86-E86+3)/6))</x:f>
        <x:v>0.5</x:v>
      </x:c>
      <x:c r="H86" t="n">
        <x:f>D86*G86</x:f>
        <x:v>0</x:v>
      </x:c>
    </x:row>
    <x:row r="87">
      <x:c r="D87" t="n">
        <x:f>B87*C87</x:f>
        <x:v>0</x:v>
      </x:c>
      <x:c r="G87" t="n">
        <x:f>MAX(0,MIN(1,(F87-E87+3)/6))</x:f>
        <x:v>0.5</x:v>
      </x:c>
      <x:c r="H87" t="n">
        <x:f>D87*G87</x:f>
        <x:v>0</x:v>
      </x:c>
    </x:row>
    <x:row r="88">
      <x:c r="D88" t="n">
        <x:f>B88*C88</x:f>
        <x:v>0</x:v>
      </x:c>
      <x:c r="G88" t="n">
        <x:f>MAX(0,MIN(1,(F88-E88+3)/6))</x:f>
        <x:v>0.5</x:v>
      </x:c>
      <x:c r="H88" t="n">
        <x:f>D88*G88</x:f>
        <x:v>0</x:v>
      </x:c>
    </x:row>
    <x:row r="89">
      <x:c r="D89" t="n">
        <x:f>B89*C89</x:f>
        <x:v>0</x:v>
      </x:c>
      <x:c r="G89" t="n">
        <x:f>MAX(0,MIN(1,(F89-E89+3)/6))</x:f>
        <x:v>0.5</x:v>
      </x:c>
      <x:c r="H89" t="n">
        <x:f>D89*G89</x:f>
        <x:v>0</x:v>
      </x:c>
    </x:row>
    <x:row r="90">
      <x:c r="D90" t="n">
        <x:f>B90*C90</x:f>
        <x:v>0</x:v>
      </x:c>
      <x:c r="G90" t="n">
        <x:f>MAX(0,MIN(1,(F90-E90+3)/6))</x:f>
        <x:v>0.5</x:v>
      </x:c>
      <x:c r="H90" t="n">
        <x:f>D90*G90</x:f>
        <x:v>0</x:v>
      </x:c>
    </x:row>
    <x:row r="91">
      <x:c r="D91" t="n">
        <x:f>B91*C91</x:f>
        <x:v>0</x:v>
      </x:c>
      <x:c r="G91" t="n">
        <x:f>MAX(0,MIN(1,(F91-E91+3)/6))</x:f>
        <x:v>0.5</x:v>
      </x:c>
      <x:c r="H91" t="n">
        <x:f>D91*G91</x:f>
        <x:v>0</x:v>
      </x:c>
    </x:row>
    <x:row r="92">
      <x:c r="D92" t="n">
        <x:f>B92*C92</x:f>
        <x:v>0</x:v>
      </x:c>
      <x:c r="G92" t="n">
        <x:f>MAX(0,MIN(1,(F92-E92+3)/6))</x:f>
        <x:v>0.5</x:v>
      </x:c>
      <x:c r="H92" t="n">
        <x:f>D92*G92</x:f>
        <x:v>0</x:v>
      </x:c>
    </x:row>
    <x:row r="93">
      <x:c r="D93" t="n">
        <x:f>B93*C93</x:f>
        <x:v>0</x:v>
      </x:c>
      <x:c r="G93" t="n">
        <x:f>MAX(0,MIN(1,(F93-E93+3)/6))</x:f>
        <x:v>0.5</x:v>
      </x:c>
      <x:c r="H93" t="n">
        <x:f>D93*G93</x:f>
        <x:v>0</x:v>
      </x:c>
    </x:row>
    <x:row r="94">
      <x:c r="D94" t="n">
        <x:f>B94*C94</x:f>
        <x:v>0</x:v>
      </x:c>
      <x:c r="G94" t="n">
        <x:f>MAX(0,MIN(1,(F94-E94+3)/6))</x:f>
        <x:v>0.5</x:v>
      </x:c>
      <x:c r="H94" t="n">
        <x:f>D94*G94</x:f>
        <x:v>0</x:v>
      </x:c>
    </x:row>
    <x:row r="95">
      <x:c r="D95" t="n">
        <x:f>B95*C95</x:f>
        <x:v>0</x:v>
      </x:c>
      <x:c r="G95" t="n">
        <x:f>MAX(0,MIN(1,(F95-E95+3)/6))</x:f>
        <x:v>0.5</x:v>
      </x:c>
      <x:c r="H95" t="n">
        <x:f>D95*G95</x:f>
        <x:v>0</x:v>
      </x:c>
    </x:row>
    <x:row r="96">
      <x:c r="D96" t="n">
        <x:f>B96*C96</x:f>
        <x:v>0</x:v>
      </x:c>
      <x:c r="G96" t="n">
        <x:f>MAX(0,MIN(1,(F96-E96+3)/6))</x:f>
        <x:v>0.5</x:v>
      </x:c>
      <x:c r="H96" t="n">
        <x:f>D96*G96</x:f>
        <x:v>0</x:v>
      </x:c>
    </x:row>
    <x:row r="97">
      <x:c r="D97" t="n">
        <x:f>B97*C97</x:f>
        <x:v>0</x:v>
      </x:c>
      <x:c r="G97" t="n">
        <x:f>MAX(0,MIN(1,(F97-E97+3)/6))</x:f>
        <x:v>0.5</x:v>
      </x:c>
      <x:c r="H97" t="n">
        <x:f>D97*G97</x:f>
        <x:v>0</x:v>
      </x:c>
    </x:row>
    <x:row r="98">
      <x:c r="D98" t="n">
        <x:f>B98*C98</x:f>
        <x:v>0</x:v>
      </x:c>
      <x:c r="G98" t="n">
        <x:f>MAX(0,MIN(1,(F98-E98+3)/6))</x:f>
        <x:v>0.5</x:v>
      </x:c>
      <x:c r="H98" t="n">
        <x:f>D98*G98</x:f>
        <x:v>0</x:v>
      </x:c>
    </x:row>
    <x:row r="99">
      <x:c r="D99" t="n">
        <x:f>B99*C99</x:f>
        <x:v>0</x:v>
      </x:c>
      <x:c r="G99" t="n">
        <x:f>MAX(0,MIN(1,(F99-E99+3)/6))</x:f>
        <x:v>0.5</x:v>
      </x:c>
      <x:c r="H99" t="n">
        <x:f>D99*G99</x:f>
        <x:v>0</x:v>
      </x:c>
    </x:row>
    <x:row r="100">
      <x:c r="D100" t="n">
        <x:f>B100*C100</x:f>
        <x:v>0</x:v>
      </x:c>
      <x:c r="G100" t="n">
        <x:f>MAX(0,MIN(1,(F100-E100+3)/6))</x:f>
        <x:v>0.5</x:v>
      </x:c>
      <x:c r="H100" t="n">
        <x:f>D100*G100</x:f>
        <x:v>0</x:v>
      </x:c>
    </x:row>
    <x:row r="101">
      <x:c r="D101" t="n">
        <x:f>B101*C101</x:f>
        <x:v>0</x:v>
      </x:c>
      <x:c r="G101" t="n">
        <x:f>MAX(0,MIN(1,(F101-E101+3)/6))</x:f>
        <x:v>0.5</x:v>
      </x:c>
      <x:c r="H101" t="n">
        <x:f>D101*G101</x:f>
        <x:v>0</x:v>
      </x:c>
    </x:row>
    <x:row r="102">
      <x:c r="D102" t="n">
        <x:f>B102*C102</x:f>
        <x:v>0</x:v>
      </x:c>
      <x:c r="G102" t="n">
        <x:f>MAX(0,MIN(1,(F102-E102+3)/6))</x:f>
        <x:v>0.5</x:v>
      </x:c>
      <x:c r="H102" t="n">
        <x:f>D102*G102</x:f>
        <x:v>0</x:v>
      </x:c>
    </x:row>
    <x:row r="103">
      <x:c r="D103" t="n">
        <x:f>B103*C103</x:f>
        <x:v>0</x:v>
      </x:c>
      <x:c r="G103" t="n">
        <x:f>MAX(0,MIN(1,(F103-E103+3)/6))</x:f>
        <x:v>0.5</x:v>
      </x:c>
      <x:c r="H103" t="n">
        <x:f>D103*G103</x:f>
        <x:v>0</x:v>
      </x:c>
    </x:row>
    <x:row r="104">
      <x:c r="D104" t="n">
        <x:f>B104*C104</x:f>
        <x:v>0</x:v>
      </x:c>
      <x:c r="G104" t="n">
        <x:f>MAX(0,MIN(1,(F104-E104+3)/6))</x:f>
        <x:v>0.5</x:v>
      </x:c>
      <x:c r="H104" t="n">
        <x:f>D104*G104</x:f>
        <x:v>0</x:v>
      </x:c>
    </x:row>
    <x:row r="105">
      <x:c r="D105" t="n">
        <x:f>B105*C105</x:f>
        <x:v>0</x:v>
      </x:c>
      <x:c r="G105" t="n">
        <x:f>MAX(0,MIN(1,(F105-E105+3)/6))</x:f>
        <x:v>0.5</x:v>
      </x:c>
      <x:c r="H105" t="n">
        <x:f>D105*G105</x:f>
        <x:v>0</x:v>
      </x:c>
    </x:row>
    <x:row r="106">
      <x:c r="D106" t="n">
        <x:f>B106*C106</x:f>
        <x:v>0</x:v>
      </x:c>
      <x:c r="G106" t="n">
        <x:f>MAX(0,MIN(1,(F106-E106+3)/6))</x:f>
        <x:v>0.5</x:v>
      </x:c>
      <x:c r="H106" t="n">
        <x:f>D106*G106</x:f>
        <x:v>0</x:v>
      </x:c>
    </x:row>
    <x:row r="107">
      <x:c r="D107" t="n">
        <x:f>B107*C107</x:f>
        <x:v>0</x:v>
      </x:c>
      <x:c r="G107" t="n">
        <x:f>MAX(0,MIN(1,(F107-E107+3)/6))</x:f>
        <x:v>0.5</x:v>
      </x:c>
      <x:c r="H107" t="n">
        <x:f>D107*G107</x:f>
        <x:v>0</x:v>
      </x:c>
    </x:row>
    <x:row r="108">
      <x:c r="D108" t="n">
        <x:f>B108*C108</x:f>
        <x:v>0</x:v>
      </x:c>
      <x:c r="G108" t="n">
        <x:f>MAX(0,MIN(1,(F108-E108+3)/6))</x:f>
        <x:v>0.5</x:v>
      </x:c>
      <x:c r="H108" t="n">
        <x:f>D108*G108</x:f>
        <x:v>0</x:v>
      </x:c>
    </x:row>
    <x:row r="109">
      <x:c r="D109" t="n">
        <x:f>B109*C109</x:f>
        <x:v>0</x:v>
      </x:c>
      <x:c r="G109" t="n">
        <x:f>MAX(0,MIN(1,(F109-E109+3)/6))</x:f>
        <x:v>0.5</x:v>
      </x:c>
      <x:c r="H109" t="n">
        <x:f>D109*G109</x:f>
        <x:v>0</x:v>
      </x:c>
    </x:row>
    <x:row r="110">
      <x:c r="D110" t="n">
        <x:f>B110*C110</x:f>
        <x:v>0</x:v>
      </x:c>
      <x:c r="G110" t="n">
        <x:f>MAX(0,MIN(1,(F110-E110+3)/6))</x:f>
        <x:v>0.5</x:v>
      </x:c>
      <x:c r="H110" t="n">
        <x:f>D110*G110</x:f>
        <x:v>0</x:v>
      </x:c>
    </x:row>
    <x:row r="111">
      <x:c r="D111" t="n">
        <x:f>B111*C111</x:f>
        <x:v>0</x:v>
      </x:c>
      <x:c r="G111" t="n">
        <x:f>MAX(0,MIN(1,(F111-E111+3)/6))</x:f>
        <x:v>0.5</x:v>
      </x:c>
      <x:c r="H111" t="n">
        <x:f>D111*G111</x:f>
        <x:v>0</x:v>
      </x:c>
    </x:row>
    <x:row r="112">
      <x:c r="D112" t="n">
        <x:f>B112*C112</x:f>
        <x:v>0</x:v>
      </x:c>
      <x:c r="G112" t="n">
        <x:f>MAX(0,MIN(1,(F112-E112+3)/6))</x:f>
        <x:v>0.5</x:v>
      </x:c>
      <x:c r="H112" t="n">
        <x:f>D112*G112</x:f>
        <x:v>0</x:v>
      </x:c>
    </x:row>
    <x:row r="113">
      <x:c r="D113" t="n">
        <x:f>B113*C113</x:f>
        <x:v>0</x:v>
      </x:c>
      <x:c r="G113" t="n">
        <x:f>MAX(0,MIN(1,(F113-E113+3)/6))</x:f>
        <x:v>0.5</x:v>
      </x:c>
      <x:c r="H113" t="n">
        <x:f>D113*G113</x:f>
        <x:v>0</x:v>
      </x:c>
    </x:row>
    <x:row r="114">
      <x:c r="D114" t="n">
        <x:f>B114*C114</x:f>
        <x:v>0</x:v>
      </x:c>
      <x:c r="G114" t="n">
        <x:f>MAX(0,MIN(1,(F114-E114+3)/6))</x:f>
        <x:v>0.5</x:v>
      </x:c>
      <x:c r="H114" t="n">
        <x:f>D114*G114</x:f>
        <x:v>0</x:v>
      </x:c>
    </x:row>
    <x:row r="115">
      <x:c r="D115" t="n">
        <x:f>B115*C115</x:f>
        <x:v>0</x:v>
      </x:c>
      <x:c r="G115" t="n">
        <x:f>MAX(0,MIN(1,(F115-E115+3)/6))</x:f>
        <x:v>0.5</x:v>
      </x:c>
      <x:c r="H115" t="n">
        <x:f>D115*G115</x:f>
        <x:v>0</x:v>
      </x:c>
    </x:row>
    <x:row r="116">
      <x:c r="D116" t="n">
        <x:f>B116*C116</x:f>
        <x:v>0</x:v>
      </x:c>
      <x:c r="G116" t="n">
        <x:f>MAX(0,MIN(1,(F116-E116+3)/6))</x:f>
        <x:v>0.5</x:v>
      </x:c>
      <x:c r="H116" t="n">
        <x:f>D116*G116</x:f>
        <x:v>0</x:v>
      </x:c>
    </x:row>
    <x:row r="117">
      <x:c r="D117" t="n">
        <x:f>B117*C117</x:f>
        <x:v>0</x:v>
      </x:c>
      <x:c r="G117" t="n">
        <x:f>MAX(0,MIN(1,(F117-E117+3)/6))</x:f>
        <x:v>0.5</x:v>
      </x:c>
      <x:c r="H117" t="n">
        <x:f>D117*G117</x:f>
        <x:v>0</x:v>
      </x:c>
    </x:row>
    <x:row r="118">
      <x:c r="D118" t="n">
        <x:f>B118*C118</x:f>
        <x:v>0</x:v>
      </x:c>
      <x:c r="G118" t="n">
        <x:f>MAX(0,MIN(1,(F118-E118+3)/6))</x:f>
        <x:v>0.5</x:v>
      </x:c>
      <x:c r="H118" t="n">
        <x:f>D118*G118</x:f>
        <x:v>0</x:v>
      </x:c>
    </x:row>
    <x:row r="119">
      <x:c r="D119" t="n">
        <x:f>B119*C119</x:f>
        <x:v>0</x:v>
      </x:c>
      <x:c r="G119" t="n">
        <x:f>MAX(0,MIN(1,(F119-E119+3)/6))</x:f>
        <x:v>0.5</x:v>
      </x:c>
      <x:c r="H119" t="n">
        <x:f>D119*G119</x:f>
        <x:v>0</x:v>
      </x:c>
    </x:row>
    <x:row r="120">
      <x:c r="D120" t="n">
        <x:f>B120*C120</x:f>
        <x:v>0</x:v>
      </x:c>
      <x:c r="G120" t="n">
        <x:f>MAX(0,MIN(1,(F120-E120+3)/6))</x:f>
        <x:v>0.5</x:v>
      </x:c>
      <x:c r="H120" t="n">
        <x:f>D120*G120</x:f>
        <x:v>0</x:v>
      </x:c>
    </x:row>
    <x:row r="121">
      <x:c r="D121" t="n">
        <x:f>B121*C121</x:f>
        <x:v>0</x:v>
      </x:c>
      <x:c r="G121" t="n">
        <x:f>MAX(0,MIN(1,(F121-E121+3)/6))</x:f>
        <x:v>0.5</x:v>
      </x:c>
      <x:c r="H121" t="n">
        <x:f>D121*G121</x:f>
        <x:v>0</x:v>
      </x:c>
    </x:row>
    <x:row r="122">
      <x:c r="D122" t="n">
        <x:f>B122*C122</x:f>
        <x:v>0</x:v>
      </x:c>
      <x:c r="G122" t="n">
        <x:f>MAX(0,MIN(1,(F122-E122+3)/6))</x:f>
        <x:v>0.5</x:v>
      </x:c>
      <x:c r="H122" t="n">
        <x:f>D122*G122</x:f>
        <x:v>0</x:v>
      </x:c>
    </x:row>
    <x:row r="123">
      <x:c r="D123" t="n">
        <x:f>B123*C123</x:f>
        <x:v>0</x:v>
      </x:c>
      <x:c r="G123" t="n">
        <x:f>MAX(0,MIN(1,(F123-E123+3)/6))</x:f>
        <x:v>0.5</x:v>
      </x:c>
      <x:c r="H123" t="n">
        <x:f>D123*G123</x:f>
        <x:v>0</x:v>
      </x:c>
    </x:row>
    <x:row r="124">
      <x:c r="D124" t="n">
        <x:f>B124*C124</x:f>
        <x:v>0</x:v>
      </x:c>
      <x:c r="G124" t="n">
        <x:f>MAX(0,MIN(1,(F124-E124+3)/6))</x:f>
        <x:v>0.5</x:v>
      </x:c>
      <x:c r="H124" t="n">
        <x:f>D124*G124</x:f>
        <x:v>0</x:v>
      </x:c>
    </x:row>
    <x:row r="125">
      <x:c r="D125" t="n">
        <x:f>B125*C125</x:f>
        <x:v>0</x:v>
      </x:c>
      <x:c r="G125" t="n">
        <x:f>MAX(0,MIN(1,(F125-E125+3)/6))</x:f>
        <x:v>0.5</x:v>
      </x:c>
      <x:c r="H125" t="n">
        <x:f>D125*G125</x:f>
        <x:v>0</x:v>
      </x:c>
    </x:row>
    <x:row r="126">
      <x:c r="D126" t="n">
        <x:f>B126*C126</x:f>
        <x:v>0</x:v>
      </x:c>
      <x:c r="G126" t="n">
        <x:f>MAX(0,MIN(1,(F126-E126+3)/6))</x:f>
        <x:v>0.5</x:v>
      </x:c>
      <x:c r="H126" t="n">
        <x:f>D126*G126</x:f>
        <x:v>0</x:v>
      </x:c>
    </x:row>
    <x:row r="127">
      <x:c r="D127" t="n">
        <x:f>B127*C127</x:f>
        <x:v>0</x:v>
      </x:c>
      <x:c r="G127" t="n">
        <x:f>MAX(0,MIN(1,(F127-E127+3)/6))</x:f>
        <x:v>0.5</x:v>
      </x:c>
      <x:c r="H127" t="n">
        <x:f>D127*G127</x:f>
        <x:v>0</x:v>
      </x:c>
    </x:row>
    <x:row r="128">
      <x:c r="D128" t="n">
        <x:f>B128*C128</x:f>
        <x:v>0</x:v>
      </x:c>
      <x:c r="G128" t="n">
        <x:f>MAX(0,MIN(1,(F128-E128+3)/6))</x:f>
        <x:v>0.5</x:v>
      </x:c>
      <x:c r="H128" t="n">
        <x:f>D128*G128</x:f>
        <x:v>0</x:v>
      </x:c>
    </x:row>
    <x:row r="129">
      <x:c r="D129" t="n">
        <x:f>B129*C129</x:f>
        <x:v>0</x:v>
      </x:c>
      <x:c r="G129" t="n">
        <x:f>MAX(0,MIN(1,(F129-E129+3)/6))</x:f>
        <x:v>0.5</x:v>
      </x:c>
      <x:c r="H129" t="n">
        <x:f>D129*G129</x:f>
        <x:v>0</x:v>
      </x:c>
    </x:row>
    <x:row r="130">
      <x:c r="D130" t="n">
        <x:f>B130*C130</x:f>
        <x:v>0</x:v>
      </x:c>
      <x:c r="G130" t="n">
        <x:f>MAX(0,MIN(1,(F130-E130+3)/6))</x:f>
        <x:v>0.5</x:v>
      </x:c>
      <x:c r="H130" t="n">
        <x:f>D130*G130</x:f>
        <x:v>0</x:v>
      </x:c>
    </x:row>
    <x:row r="131">
      <x:c r="D131" t="n">
        <x:f>B131*C131</x:f>
        <x:v>0</x:v>
      </x:c>
      <x:c r="G131" t="n">
        <x:f>MAX(0,MIN(1,(F131-E131+3)/6))</x:f>
        <x:v>0.5</x:v>
      </x:c>
      <x:c r="H131" t="n">
        <x:f>D131*G131</x:f>
        <x:v>0</x:v>
      </x:c>
    </x:row>
    <x:row r="132">
      <x:c r="D132" t="n">
        <x:f>B132*C132</x:f>
        <x:v>0</x:v>
      </x:c>
      <x:c r="G132" t="n">
        <x:f>MAX(0,MIN(1,(F132-E132+3)/6))</x:f>
        <x:v>0.5</x:v>
      </x:c>
      <x:c r="H132" t="n">
        <x:f>D132*G132</x:f>
        <x:v>0</x:v>
      </x:c>
    </x:row>
    <x:row r="133">
      <x:c r="D133" t="n">
        <x:f>B133*C133</x:f>
        <x:v>0</x:v>
      </x:c>
      <x:c r="G133" t="n">
        <x:f>MAX(0,MIN(1,(F133-E133+3)/6))</x:f>
        <x:v>0.5</x:v>
      </x:c>
      <x:c r="H133" t="n">
        <x:f>D133*G133</x:f>
        <x:v>0</x:v>
      </x:c>
    </x:row>
    <x:row r="134">
      <x:c r="D134" t="n">
        <x:f>B134*C134</x:f>
        <x:v>0</x:v>
      </x:c>
      <x:c r="G134" t="n">
        <x:f>MAX(0,MIN(1,(F134-E134+3)/6))</x:f>
        <x:v>0.5</x:v>
      </x:c>
      <x:c r="H134" t="n">
        <x:f>D134*G134</x:f>
        <x:v>0</x:v>
      </x:c>
    </x:row>
    <x:row r="135">
      <x:c r="D135" t="n">
        <x:f>B135*C135</x:f>
        <x:v>0</x:v>
      </x:c>
      <x:c r="G135" t="n">
        <x:f>MAX(0,MIN(1,(F135-E135+3)/6))</x:f>
        <x:v>0.5</x:v>
      </x:c>
      <x:c r="H135" t="n">
        <x:f>D135*G135</x:f>
        <x:v>0</x:v>
      </x:c>
    </x:row>
    <x:row r="136">
      <x:c r="D136" t="n">
        <x:f>B136*C136</x:f>
        <x:v>0</x:v>
      </x:c>
      <x:c r="G136" t="n">
        <x:f>MAX(0,MIN(1,(F136-E136+3)/6))</x:f>
        <x:v>0.5</x:v>
      </x:c>
      <x:c r="H136" t="n">
        <x:f>D136*G136</x:f>
        <x:v>0</x:v>
      </x:c>
    </x:row>
    <x:row r="137">
      <x:c r="D137" t="n">
        <x:f>B137*C137</x:f>
        <x:v>0</x:v>
      </x:c>
      <x:c r="G137" t="n">
        <x:f>MAX(0,MIN(1,(F137-E137+3)/6))</x:f>
        <x:v>0.5</x:v>
      </x:c>
      <x:c r="H137" t="n">
        <x:f>D137*G137</x:f>
        <x:v>0</x:v>
      </x:c>
    </x:row>
    <x:row r="138">
      <x:c r="D138" t="n">
        <x:f>B138*C138</x:f>
        <x:v>0</x:v>
      </x:c>
      <x:c r="G138" t="n">
        <x:f>MAX(0,MIN(1,(F138-E138+3)/6))</x:f>
        <x:v>0.5</x:v>
      </x:c>
      <x:c r="H138" t="n">
        <x:f>D138*G138</x:f>
        <x:v>0</x:v>
      </x:c>
    </x:row>
    <x:row r="139">
      <x:c r="D139" t="n">
        <x:f>B139*C139</x:f>
        <x:v>0</x:v>
      </x:c>
      <x:c r="G139" t="n">
        <x:f>MAX(0,MIN(1,(F139-E139+3)/6))</x:f>
        <x:v>0.5</x:v>
      </x:c>
      <x:c r="H139" t="n">
        <x:f>D139*G139</x:f>
        <x:v>0</x:v>
      </x:c>
    </x:row>
    <x:row r="140">
      <x:c r="D140" t="n">
        <x:f>B140*C140</x:f>
        <x:v>0</x:v>
      </x:c>
      <x:c r="G140" t="n">
        <x:f>MAX(0,MIN(1,(F140-E140+3)/6))</x:f>
        <x:v>0.5</x:v>
      </x:c>
      <x:c r="H140" t="n">
        <x:f>D140*G140</x:f>
        <x:v>0</x:v>
      </x:c>
    </x:row>
    <x:row r="141">
      <x:c r="D141" t="n">
        <x:f>B141*C141</x:f>
        <x:v>0</x:v>
      </x:c>
      <x:c r="G141" t="n">
        <x:f>MAX(0,MIN(1,(F141-E141+3)/6))</x:f>
        <x:v>0.5</x:v>
      </x:c>
      <x:c r="H141" t="n">
        <x:f>D141*G141</x:f>
        <x:v>0</x:v>
      </x:c>
    </x:row>
    <x:row r="142">
      <x:c r="D142" t="n">
        <x:f>B142*C142</x:f>
        <x:v>0</x:v>
      </x:c>
      <x:c r="G142" t="n">
        <x:f>MAX(0,MIN(1,(F142-E142+3)/6))</x:f>
        <x:v>0.5</x:v>
      </x:c>
      <x:c r="H142" t="n">
        <x:f>D142*G142</x:f>
        <x:v>0</x:v>
      </x:c>
    </x:row>
    <x:row r="143">
      <x:c r="D143" t="n">
        <x:f>B143*C143</x:f>
        <x:v>0</x:v>
      </x:c>
      <x:c r="G143" t="n">
        <x:f>MAX(0,MIN(1,(F143-E143+3)/6))</x:f>
        <x:v>0.5</x:v>
      </x:c>
      <x:c r="H143" t="n">
        <x:f>D143*G143</x:f>
        <x:v>0</x:v>
      </x:c>
    </x:row>
    <x:row r="144">
      <x:c r="D144" t="n">
        <x:f>B144*C144</x:f>
        <x:v>0</x:v>
      </x:c>
      <x:c r="G144" t="n">
        <x:f>MAX(0,MIN(1,(F144-E144+3)/6))</x:f>
        <x:v>0.5</x:v>
      </x:c>
      <x:c r="H144" t="n">
        <x:f>D144*G144</x:f>
        <x:v>0</x:v>
      </x:c>
    </x:row>
    <x:row r="145">
      <x:c r="D145" t="n">
        <x:f>B145*C145</x:f>
        <x:v>0</x:v>
      </x:c>
      <x:c r="G145" t="n">
        <x:f>MAX(0,MIN(1,(F145-E145+3)/6))</x:f>
        <x:v>0.5</x:v>
      </x:c>
      <x:c r="H145" t="n">
        <x:f>D145*G145</x:f>
        <x:v>0</x:v>
      </x:c>
    </x:row>
    <x:row r="146">
      <x:c r="D146" t="n">
        <x:f>B146*C146</x:f>
        <x:v>0</x:v>
      </x:c>
      <x:c r="G146" t="n">
        <x:f>MAX(0,MIN(1,(F146-E146+3)/6))</x:f>
        <x:v>0.5</x:v>
      </x:c>
      <x:c r="H146" t="n">
        <x:f>D146*G146</x:f>
        <x:v>0</x:v>
      </x:c>
    </x:row>
    <x:row r="147">
      <x:c r="D147" t="n">
        <x:f>B147*C147</x:f>
        <x:v>0</x:v>
      </x:c>
      <x:c r="G147" t="n">
        <x:f>MAX(0,MIN(1,(F147-E147+3)/6))</x:f>
        <x:v>0.5</x:v>
      </x:c>
      <x:c r="H147" t="n">
        <x:f>D147*G147</x:f>
        <x:v>0</x:v>
      </x:c>
    </x:row>
    <x:row r="148">
      <x:c r="D148" t="n">
        <x:f>B148*C148</x:f>
        <x:v>0</x:v>
      </x:c>
      <x:c r="G148" t="n">
        <x:f>MAX(0,MIN(1,(F148-E148+3)/6))</x:f>
        <x:v>0.5</x:v>
      </x:c>
      <x:c r="H148" t="n">
        <x:f>D148*G148</x:f>
        <x:v>0</x:v>
      </x:c>
    </x:row>
    <x:row r="149">
      <x:c r="D149" t="n">
        <x:f>B149*C149</x:f>
        <x:v>0</x:v>
      </x:c>
      <x:c r="G149" t="n">
        <x:f>MAX(0,MIN(1,(F149-E149+3)/6))</x:f>
        <x:v>0.5</x:v>
      </x:c>
      <x:c r="H149" t="n">
        <x:f>D149*G149</x:f>
        <x:v>0</x:v>
      </x:c>
    </x:row>
    <x:row r="150">
      <x:c r="D150" t="n">
        <x:f>B150*C150</x:f>
        <x:v>0</x:v>
      </x:c>
      <x:c r="G150" t="n">
        <x:f>MAX(0,MIN(1,(F150-E150+3)/6))</x:f>
        <x:v>0.5</x:v>
      </x:c>
      <x:c r="H150" t="n">
        <x:f>D150*G150</x:f>
        <x:v>0</x:v>
      </x:c>
    </x:row>
    <x:row r="151">
      <x:c r="D151" t="n">
        <x:f>B151*C151</x:f>
        <x:v>0</x:v>
      </x:c>
      <x:c r="G151" t="n">
        <x:f>MAX(0,MIN(1,(F151-E151+3)/6))</x:f>
        <x:v>0.5</x:v>
      </x:c>
      <x:c r="H151" t="n">
        <x:f>D151*G151</x:f>
        <x:v>0</x:v>
      </x:c>
    </x:row>
    <x:row r="152">
      <x:c r="D152" t="n">
        <x:f>B152*C152</x:f>
        <x:v>0</x:v>
      </x:c>
      <x:c r="G152" t="n">
        <x:f>MAX(0,MIN(1,(F152-E152+3)/6))</x:f>
        <x:v>0.5</x:v>
      </x:c>
      <x:c r="H152" t="n">
        <x:f>D152*G152</x:f>
        <x:v>0</x:v>
      </x:c>
    </x:row>
    <x:row r="153">
      <x:c r="D153" t="n">
        <x:f>B153*C153</x:f>
        <x:v>0</x:v>
      </x:c>
      <x:c r="G153" t="n">
        <x:f>MAX(0,MIN(1,(F153-E153+3)/6))</x:f>
        <x:v>0.5</x:v>
      </x:c>
      <x:c r="H153" t="n">
        <x:f>D153*G153</x:f>
        <x:v>0</x:v>
      </x:c>
    </x:row>
    <x:row r="154">
      <x:c r="D154" t="n">
        <x:f>B154*C154</x:f>
        <x:v>0</x:v>
      </x:c>
      <x:c r="G154" t="n">
        <x:f>MAX(0,MIN(1,(F154-E154+3)/6))</x:f>
        <x:v>0.5</x:v>
      </x:c>
      <x:c r="H154" t="n">
        <x:f>D154*G154</x:f>
        <x:v>0</x:v>
      </x:c>
    </x:row>
    <x:row r="155">
      <x:c r="D155" t="n">
        <x:f>B155*C155</x:f>
        <x:v>0</x:v>
      </x:c>
      <x:c r="G155" t="n">
        <x:f>MAX(0,MIN(1,(F155-E155+3)/6))</x:f>
        <x:v>0.5</x:v>
      </x:c>
      <x:c r="H155" t="n">
        <x:f>D155*G155</x:f>
        <x:v>0</x:v>
      </x:c>
    </x:row>
    <x:row r="156">
      <x:c r="D156" t="n">
        <x:f>B156*C156</x:f>
        <x:v>0</x:v>
      </x:c>
      <x:c r="G156" t="n">
        <x:f>MAX(0,MIN(1,(F156-E156+3)/6))</x:f>
        <x:v>0.5</x:v>
      </x:c>
      <x:c r="H156" t="n">
        <x:f>D156*G156</x:f>
        <x:v>0</x:v>
      </x:c>
    </x:row>
    <x:row r="157">
      <x:c r="D157" t="n">
        <x:f>B157*C157</x:f>
        <x:v>0</x:v>
      </x:c>
      <x:c r="G157" t="n">
        <x:f>MAX(0,MIN(1,(F157-E157+3)/6))</x:f>
        <x:v>0.5</x:v>
      </x:c>
      <x:c r="H157" t="n">
        <x:f>D157*G157</x:f>
        <x:v>0</x:v>
      </x:c>
    </x:row>
    <x:row r="158">
      <x:c r="D158" t="n">
        <x:f>B158*C158</x:f>
        <x:v>0</x:v>
      </x:c>
      <x:c r="G158" t="n">
        <x:f>MAX(0,MIN(1,(F158-E158+3)/6))</x:f>
        <x:v>0.5</x:v>
      </x:c>
      <x:c r="H158" t="n">
        <x:f>D158*G158</x:f>
        <x:v>0</x:v>
      </x:c>
    </x:row>
    <x:row r="159">
      <x:c r="D159" t="n">
        <x:f>B159*C159</x:f>
        <x:v>0</x:v>
      </x:c>
      <x:c r="G159" t="n">
        <x:f>MAX(0,MIN(1,(F159-E159+3)/6))</x:f>
        <x:v>0.5</x:v>
      </x:c>
      <x:c r="H159" t="n">
        <x:f>D159*G159</x:f>
        <x:v>0</x:v>
      </x:c>
    </x:row>
    <x:row r="160">
      <x:c r="D160" t="n">
        <x:f>B160*C160</x:f>
        <x:v>0</x:v>
      </x:c>
      <x:c r="G160" t="n">
        <x:f>MAX(0,MIN(1,(F160-E160+3)/6))</x:f>
        <x:v>0.5</x:v>
      </x:c>
      <x:c r="H160" t="n">
        <x:f>D160*G160</x:f>
        <x:v>0</x:v>
      </x:c>
    </x:row>
    <x:row r="161">
      <x:c r="D161" t="n">
        <x:f>B161*C161</x:f>
        <x:v>0</x:v>
      </x:c>
      <x:c r="G161" t="n">
        <x:f>MAX(0,MIN(1,(F161-E161+3)/6))</x:f>
        <x:v>0.5</x:v>
      </x:c>
      <x:c r="H161" t="n">
        <x:f>D161*G161</x:f>
        <x:v>0</x:v>
      </x:c>
    </x:row>
    <x:row r="162">
      <x:c r="D162" t="n">
        <x:f>B162*C162</x:f>
        <x:v>0</x:v>
      </x:c>
      <x:c r="G162" t="n">
        <x:f>MAX(0,MIN(1,(F162-E162+3)/6))</x:f>
        <x:v>0.5</x:v>
      </x:c>
      <x:c r="H162" t="n">
        <x:f>D162*G162</x:f>
        <x:v>0</x:v>
      </x:c>
    </x:row>
    <x:row r="163">
      <x:c r="D163" t="n">
        <x:f>B163*C163</x:f>
        <x:v>0</x:v>
      </x:c>
      <x:c r="G163" t="n">
        <x:f>MAX(0,MIN(1,(F163-E163+3)/6))</x:f>
        <x:v>0.5</x:v>
      </x:c>
      <x:c r="H163" t="n">
        <x:f>D163*G163</x:f>
        <x:v>0</x:v>
      </x:c>
    </x:row>
    <x:row r="164">
      <x:c r="D164" t="n">
        <x:f>B164*C164</x:f>
        <x:v>0</x:v>
      </x:c>
      <x:c r="G164" t="n">
        <x:f>MAX(0,MIN(1,(F164-E164+3)/6))</x:f>
        <x:v>0.5</x:v>
      </x:c>
      <x:c r="H164" t="n">
        <x:f>D164*G164</x:f>
        <x:v>0</x:v>
      </x:c>
    </x:row>
    <x:row r="165">
      <x:c r="D165" t="n">
        <x:f>B165*C165</x:f>
        <x:v>0</x:v>
      </x:c>
      <x:c r="G165" t="n">
        <x:f>MAX(0,MIN(1,(F165-E165+3)/6))</x:f>
        <x:v>0.5</x:v>
      </x:c>
      <x:c r="H165" t="n">
        <x:f>D165*G165</x:f>
        <x:v>0</x:v>
      </x:c>
    </x:row>
    <x:row r="166">
      <x:c r="D166" t="n">
        <x:f>B166*C166</x:f>
        <x:v>0</x:v>
      </x:c>
      <x:c r="G166" t="n">
        <x:f>MAX(0,MIN(1,(F166-E166+3)/6))</x:f>
        <x:v>0.5</x:v>
      </x:c>
      <x:c r="H166" t="n">
        <x:f>D166*G166</x:f>
        <x:v>0</x:v>
      </x:c>
    </x:row>
    <x:row r="167">
      <x:c r="D167" t="n">
        <x:f>B167*C167</x:f>
        <x:v>0</x:v>
      </x:c>
      <x:c r="G167" t="n">
        <x:f>MAX(0,MIN(1,(F167-E167+3)/6))</x:f>
        <x:v>0.5</x:v>
      </x:c>
      <x:c r="H167" t="n">
        <x:f>D167*G167</x:f>
        <x:v>0</x:v>
      </x:c>
    </x:row>
    <x:row r="168">
      <x:c r="D168" t="n">
        <x:f>B168*C168</x:f>
        <x:v>0</x:v>
      </x:c>
      <x:c r="G168" t="n">
        <x:f>MAX(0,MIN(1,(F168-E168+3)/6))</x:f>
        <x:v>0.5</x:v>
      </x:c>
      <x:c r="H168" t="n">
        <x:f>D168*G168</x:f>
        <x:v>0</x:v>
      </x:c>
    </x:row>
    <x:row r="169">
      <x:c r="D169" t="n">
        <x:f>B169*C169</x:f>
        <x:v>0</x:v>
      </x:c>
      <x:c r="G169" t="n">
        <x:f>MAX(0,MIN(1,(F169-E169+3)/6))</x:f>
        <x:v>0.5</x:v>
      </x:c>
      <x:c r="H169" t="n">
        <x:f>D169*G169</x:f>
        <x:v>0</x:v>
      </x:c>
    </x:row>
    <x:row r="170">
      <x:c r="D170" t="n">
        <x:f>B170*C170</x:f>
        <x:v>0</x:v>
      </x:c>
      <x:c r="G170" t="n">
        <x:f>MAX(0,MIN(1,(F170-E170+3)/6))</x:f>
        <x:v>0.5</x:v>
      </x:c>
      <x:c r="H170" t="n">
        <x:f>D170*G170</x:f>
        <x:v>0</x:v>
      </x:c>
    </x:row>
    <x:row r="171">
      <x:c r="D171" t="n">
        <x:f>B171*C171</x:f>
        <x:v>0</x:v>
      </x:c>
      <x:c r="G171" t="n">
        <x:f>MAX(0,MIN(1,(F171-E171+3)/6))</x:f>
        <x:v>0.5</x:v>
      </x:c>
      <x:c r="H171" t="n">
        <x:f>D171*G171</x:f>
        <x:v>0</x:v>
      </x:c>
    </x:row>
    <x:row r="172">
      <x:c r="D172" t="n">
        <x:f>B172*C172</x:f>
        <x:v>0</x:v>
      </x:c>
      <x:c r="G172" t="n">
        <x:f>MAX(0,MIN(1,(F172-E172+3)/6))</x:f>
        <x:v>0.5</x:v>
      </x:c>
      <x:c r="H172" t="n">
        <x:f>D172*G172</x:f>
        <x:v>0</x:v>
      </x:c>
    </x:row>
    <x:row r="173">
      <x:c r="D173" t="n">
        <x:f>B173*C173</x:f>
        <x:v>0</x:v>
      </x:c>
      <x:c r="G173" t="n">
        <x:f>MAX(0,MIN(1,(F173-E173+3)/6))</x:f>
        <x:v>0.5</x:v>
      </x:c>
      <x:c r="H173" t="n">
        <x:f>D173*G173</x:f>
        <x:v>0</x:v>
      </x:c>
    </x:row>
    <x:row r="174">
      <x:c r="D174" t="n">
        <x:f>B174*C174</x:f>
        <x:v>0</x:v>
      </x:c>
      <x:c r="G174" t="n">
        <x:f>MAX(0,MIN(1,(F174-E174+3)/6))</x:f>
        <x:v>0.5</x:v>
      </x:c>
      <x:c r="H174" t="n">
        <x:f>D174*G174</x:f>
        <x:v>0</x:v>
      </x:c>
    </x:row>
    <x:row r="175">
      <x:c r="D175" t="n">
        <x:f>B175*C175</x:f>
        <x:v>0</x:v>
      </x:c>
      <x:c r="G175" t="n">
        <x:f>MAX(0,MIN(1,(F175-E175+3)/6))</x:f>
        <x:v>0.5</x:v>
      </x:c>
      <x:c r="H175" t="n">
        <x:f>D175*G175</x:f>
        <x:v>0</x:v>
      </x:c>
    </x:row>
    <x:row r="176">
      <x:c r="D176" t="n">
        <x:f>B176*C176</x:f>
        <x:v>0</x:v>
      </x:c>
      <x:c r="G176" t="n">
        <x:f>MAX(0,MIN(1,(F176-E176+3)/6))</x:f>
        <x:v>0.5</x:v>
      </x:c>
      <x:c r="H176" t="n">
        <x:f>D176*G176</x:f>
        <x:v>0</x:v>
      </x:c>
    </x:row>
    <x:row r="177">
      <x:c r="D177" t="n">
        <x:f>B177*C177</x:f>
        <x:v>0</x:v>
      </x:c>
      <x:c r="G177" t="n">
        <x:f>MAX(0,MIN(1,(F177-E177+3)/6))</x:f>
        <x:v>0.5</x:v>
      </x:c>
      <x:c r="H177" t="n">
        <x:f>D177*G177</x:f>
        <x:v>0</x:v>
      </x:c>
    </x:row>
    <x:row r="178">
      <x:c r="D178" t="n">
        <x:f>B178*C178</x:f>
        <x:v>0</x:v>
      </x:c>
      <x:c r="G178" t="n">
        <x:f>MAX(0,MIN(1,(F178-E178+3)/6))</x:f>
        <x:v>0.5</x:v>
      </x:c>
      <x:c r="H178" t="n">
        <x:f>D178*G178</x:f>
        <x:v>0</x:v>
      </x:c>
    </x:row>
    <x:row r="179">
      <x:c r="D179" t="n">
        <x:f>B179*C179</x:f>
        <x:v>0</x:v>
      </x:c>
      <x:c r="G179" t="n">
        <x:f>MAX(0,MIN(1,(F179-E179+3)/6))</x:f>
        <x:v>0.5</x:v>
      </x:c>
      <x:c r="H179" t="n">
        <x:f>D179*G179</x:f>
        <x:v>0</x:v>
      </x:c>
    </x:row>
    <x:row r="180">
      <x:c r="D180" t="n">
        <x:f>B180*C180</x:f>
        <x:v>0</x:v>
      </x:c>
      <x:c r="G180" t="n">
        <x:f>MAX(0,MIN(1,(F180-E180+3)/6))</x:f>
        <x:v>0.5</x:v>
      </x:c>
      <x:c r="H180" t="n">
        <x:f>D180*G180</x:f>
        <x:v>0</x:v>
      </x:c>
    </x:row>
    <x:row r="181">
      <x:c r="D181" t="n">
        <x:f>B181*C181</x:f>
        <x:v>0</x:v>
      </x:c>
      <x:c r="G181" t="n">
        <x:f>MAX(0,MIN(1,(F181-E181+3)/6))</x:f>
        <x:v>0.5</x:v>
      </x:c>
      <x:c r="H181" t="n">
        <x:f>D181*G181</x:f>
        <x:v>0</x:v>
      </x:c>
    </x:row>
    <x:row r="182">
      <x:c r="D182" t="n">
        <x:f>B182*C182</x:f>
        <x:v>0</x:v>
      </x:c>
      <x:c r="G182" t="n">
        <x:f>MAX(0,MIN(1,(F182-E182+3)/6))</x:f>
        <x:v>0.5</x:v>
      </x:c>
      <x:c r="H182" t="n">
        <x:f>D182*G182</x:f>
        <x:v>0</x:v>
      </x:c>
    </x:row>
    <x:row r="183">
      <x:c r="D183" t="n">
        <x:f>B183*C183</x:f>
        <x:v>0</x:v>
      </x:c>
      <x:c r="G183" t="n">
        <x:f>MAX(0,MIN(1,(F183-E183+3)/6))</x:f>
        <x:v>0.5</x:v>
      </x:c>
      <x:c r="H183" t="n">
        <x:f>D183*G183</x:f>
        <x:v>0</x:v>
      </x:c>
    </x:row>
    <x:row r="184">
      <x:c r="D184" t="n">
        <x:f>B184*C184</x:f>
        <x:v>0</x:v>
      </x:c>
      <x:c r="G184" t="n">
        <x:f>MAX(0,MIN(1,(F184-E184+3)/6))</x:f>
        <x:v>0.5</x:v>
      </x:c>
      <x:c r="H184" t="n">
        <x:f>D184*G184</x:f>
        <x:v>0</x:v>
      </x:c>
    </x:row>
    <x:row r="185">
      <x:c r="D185" t="n">
        <x:f>B185*C185</x:f>
        <x:v>0</x:v>
      </x:c>
      <x:c r="G185" t="n">
        <x:f>MAX(0,MIN(1,(F185-E185+3)/6))</x:f>
        <x:v>0.5</x:v>
      </x:c>
      <x:c r="H185" t="n">
        <x:f>D185*G185</x:f>
        <x:v>0</x:v>
      </x:c>
    </x:row>
    <x:row r="186">
      <x:c r="D186" t="n">
        <x:f>B186*C186</x:f>
        <x:v>0</x:v>
      </x:c>
      <x:c r="G186" t="n">
        <x:f>MAX(0,MIN(1,(F186-E186+3)/6))</x:f>
        <x:v>0.5</x:v>
      </x:c>
      <x:c r="H186" t="n">
        <x:f>D186*G186</x:f>
        <x:v>0</x:v>
      </x:c>
    </x:row>
    <x:row r="187">
      <x:c r="D187" t="n">
        <x:f>B187*C187</x:f>
        <x:v>0</x:v>
      </x:c>
      <x:c r="G187" t="n">
        <x:f>MAX(0,MIN(1,(F187-E187+3)/6))</x:f>
        <x:v>0.5</x:v>
      </x:c>
      <x:c r="H187" t="n">
        <x:f>D187*G187</x:f>
        <x:v>0</x:v>
      </x:c>
    </x:row>
    <x:row r="188">
      <x:c r="D188" t="n">
        <x:f>B188*C188</x:f>
        <x:v>0</x:v>
      </x:c>
      <x:c r="G188" t="n">
        <x:f>MAX(0,MIN(1,(F188-E188+3)/6))</x:f>
        <x:v>0.5</x:v>
      </x:c>
      <x:c r="H188" t="n">
        <x:f>D188*G188</x:f>
        <x:v>0</x:v>
      </x:c>
    </x:row>
    <x:row r="189">
      <x:c r="D189" t="n">
        <x:f>B189*C189</x:f>
        <x:v>0</x:v>
      </x:c>
      <x:c r="G189" t="n">
        <x:f>MAX(0,MIN(1,(F189-E189+3)/6))</x:f>
        <x:v>0.5</x:v>
      </x:c>
      <x:c r="H189" t="n">
        <x:f>D189*G189</x:f>
        <x:v>0</x:v>
      </x:c>
    </x:row>
    <x:row r="190">
      <x:c r="D190" t="n">
        <x:f>B190*C190</x:f>
        <x:v>0</x:v>
      </x:c>
      <x:c r="G190" t="n">
        <x:f>MAX(0,MIN(1,(F190-E190+3)/6))</x:f>
        <x:v>0.5</x:v>
      </x:c>
      <x:c r="H190" t="n">
        <x:f>D190*G190</x:f>
        <x:v>0</x:v>
      </x:c>
    </x:row>
    <x:row r="191">
      <x:c r="D191" t="n">
        <x:f>B191*C191</x:f>
        <x:v>0</x:v>
      </x:c>
      <x:c r="G191" t="n">
        <x:f>MAX(0,MIN(1,(F191-E191+3)/6))</x:f>
        <x:v>0.5</x:v>
      </x:c>
      <x:c r="H191" t="n">
        <x:f>D191*G191</x:f>
        <x:v>0</x:v>
      </x:c>
    </x:row>
    <x:row r="192">
      <x:c r="D192" t="n">
        <x:f>B192*C192</x:f>
        <x:v>0</x:v>
      </x:c>
      <x:c r="G192" t="n">
        <x:f>MAX(0,MIN(1,(F192-E192+3)/6))</x:f>
        <x:v>0.5</x:v>
      </x:c>
      <x:c r="H192" t="n">
        <x:f>D192*G192</x:f>
        <x:v>0</x:v>
      </x:c>
    </x:row>
    <x:row r="193">
      <x:c r="D193" t="n">
        <x:f>B193*C193</x:f>
        <x:v>0</x:v>
      </x:c>
      <x:c r="G193" t="n">
        <x:f>MAX(0,MIN(1,(F193-E193+3)/6))</x:f>
        <x:v>0.5</x:v>
      </x:c>
      <x:c r="H193" t="n">
        <x:f>D193*G193</x:f>
        <x:v>0</x:v>
      </x:c>
    </x:row>
    <x:row r="194">
      <x:c r="D194" t="n">
        <x:f>B194*C194</x:f>
        <x:v>0</x:v>
      </x:c>
      <x:c r="G194" t="n">
        <x:f>MAX(0,MIN(1,(F194-E194+3)/6))</x:f>
        <x:v>0.5</x:v>
      </x:c>
      <x:c r="H194" t="n">
        <x:f>D194*G194</x:f>
        <x:v>0</x:v>
      </x:c>
    </x:row>
    <x:row r="195">
      <x:c r="D195" t="n">
        <x:f>B195*C195</x:f>
        <x:v>0</x:v>
      </x:c>
      <x:c r="G195" t="n">
        <x:f>MAX(0,MIN(1,(F195-E195+3)/6))</x:f>
        <x:v>0.5</x:v>
      </x:c>
      <x:c r="H195" t="n">
        <x:f>D195*G195</x:f>
        <x:v>0</x:v>
      </x:c>
    </x:row>
    <x:row r="196">
      <x:c r="D196" t="n">
        <x:f>B196*C196</x:f>
        <x:v>0</x:v>
      </x:c>
      <x:c r="G196" t="n">
        <x:f>MAX(0,MIN(1,(F196-E196+3)/6))</x:f>
        <x:v>0.5</x:v>
      </x:c>
      <x:c r="H196" t="n">
        <x:f>D196*G196</x:f>
        <x:v>0</x:v>
      </x:c>
    </x:row>
    <x:row r="197">
      <x:c r="D197" t="n">
        <x:f>B197*C197</x:f>
        <x:v>0</x:v>
      </x:c>
      <x:c r="G197" t="n">
        <x:f>MAX(0,MIN(1,(F197-E197+3)/6))</x:f>
        <x:v>0.5</x:v>
      </x:c>
      <x:c r="H197" t="n">
        <x:f>D197*G197</x:f>
        <x:v>0</x:v>
      </x:c>
    </x:row>
    <x:row r="198">
      <x:c r="D198" t="n">
        <x:f>B198*C198</x:f>
        <x:v>0</x:v>
      </x:c>
      <x:c r="G198" t="n">
        <x:f>MAX(0,MIN(1,(F198-E198+3)/6))</x:f>
        <x:v>0.5</x:v>
      </x:c>
      <x:c r="H198" t="n">
        <x:f>D198*G198</x:f>
        <x:v>0</x:v>
      </x:c>
    </x:row>
    <x:row r="199">
      <x:c r="D199" t="n">
        <x:f>B199*C199</x:f>
        <x:v>0</x:v>
      </x:c>
      <x:c r="G199" t="n">
        <x:f>MAX(0,MIN(1,(F199-E199+3)/6))</x:f>
        <x:v>0.5</x:v>
      </x:c>
      <x:c r="H199" t="n">
        <x:f>D199*G199</x:f>
        <x:v>0</x:v>
      </x:c>
    </x:row>
    <x:row r="200">
      <x:c r="D200" t="n">
        <x:f>B200*C200</x:f>
        <x:v>0</x:v>
      </x:c>
      <x:c r="G200" t="n">
        <x:f>MAX(0,MIN(1,(F200-E200+3)/6))</x:f>
        <x:v>0.5</x:v>
      </x:c>
      <x:c r="H200" t="n">
        <x:f>D200*G200</x:f>
        <x:v>0</x:v>
      </x:c>
    </x:row>
    <x:row r="201">
      <x:c r="D201" t="n">
        <x:f>B201*C201</x:f>
        <x:v>0</x:v>
      </x:c>
      <x:c r="G201" t="n">
        <x:f>MAX(0,MIN(1,(F201-E201+3)/6))</x:f>
        <x:v>0.5</x:v>
      </x:c>
      <x:c r="H201" t="n">
        <x:f>D201*G201</x:f>
        <x:v>0</x:v>
      </x:c>
    </x:row>
    <x:row r="202">
      <x:c r="D202" t="n">
        <x:f>B202*C202</x:f>
        <x:v>0</x:v>
      </x:c>
      <x:c r="G202" t="n">
        <x:f>MAX(0,MIN(1,(F202-E202+3)/6))</x:f>
        <x:v>0.5</x:v>
      </x:c>
      <x:c r="H202" t="n">
        <x:f>D202*G202</x:f>
        <x:v>0</x:v>
      </x:c>
    </x:row>
    <x:row r="203">
      <x:c r="D203" t="n">
        <x:f>B203*C203</x:f>
        <x:v>0</x:v>
      </x:c>
      <x:c r="G203" t="n">
        <x:f>MAX(0,MIN(1,(F203-E203+3)/6))</x:f>
        <x:v>0.5</x:v>
      </x:c>
      <x:c r="H203" t="n">
        <x:f>D203*G203</x:f>
        <x:v>0</x:v>
      </x:c>
    </x:row>
    <x:row r="204">
      <x:c r="D204" t="n">
        <x:f>B204*C204</x:f>
        <x:v>0</x:v>
      </x:c>
      <x:c r="G204" t="n">
        <x:f>MAX(0,MIN(1,(F204-E204+3)/6))</x:f>
        <x:v>0.5</x:v>
      </x:c>
      <x:c r="H204" t="n">
        <x:f>D204*G204</x:f>
        <x:v>0</x:v>
      </x:c>
    </x:row>
    <x:row r="205">
      <x:c r="D205" t="n">
        <x:f>B205*C205</x:f>
        <x:v>0</x:v>
      </x:c>
      <x:c r="G205" t="n">
        <x:f>MAX(0,MIN(1,(F205-E205+3)/6))</x:f>
        <x:v>0.5</x:v>
      </x:c>
      <x:c r="H205" t="n">
        <x:f>D205*G205</x:f>
        <x:v>0</x:v>
      </x:c>
    </x:row>
    <x:row r="206">
      <x:c r="D206" t="n">
        <x:f>B206*C206</x:f>
        <x:v>0</x:v>
      </x:c>
      <x:c r="G206" t="n">
        <x:f>MAX(0,MIN(1,(F206-E206+3)/6))</x:f>
        <x:v>0.5</x:v>
      </x:c>
      <x:c r="H206" t="n">
        <x:f>D206*G206</x:f>
        <x:v>0</x:v>
      </x:c>
    </x:row>
    <x:row r="207">
      <x:c r="D207" t="n">
        <x:f>B207*C207</x:f>
        <x:v>0</x:v>
      </x:c>
      <x:c r="G207" t="n">
        <x:f>MAX(0,MIN(1,(F207-E207+3)/6))</x:f>
        <x:v>0.5</x:v>
      </x:c>
      <x:c r="H207" t="n">
        <x:f>D207*G207</x:f>
        <x:v>0</x:v>
      </x:c>
    </x:row>
    <x:row r="208">
      <x:c r="D208" t="n">
        <x:f>B208*C208</x:f>
        <x:v>0</x:v>
      </x:c>
      <x:c r="G208" t="n">
        <x:f>MAX(0,MIN(1,(F208-E208+3)/6))</x:f>
        <x:v>0.5</x:v>
      </x:c>
      <x:c r="H208" t="n">
        <x:f>D208*G208</x:f>
        <x:v>0</x:v>
      </x:c>
    </x:row>
    <x:row r="209">
      <x:c r="D209" t="n">
        <x:f>B209*C209</x:f>
        <x:v>0</x:v>
      </x:c>
      <x:c r="G209" t="n">
        <x:f>MAX(0,MIN(1,(F209-E209+3)/6))</x:f>
        <x:v>0.5</x:v>
      </x:c>
      <x:c r="H209" t="n">
        <x:f>D209*G209</x:f>
        <x:v>0</x:v>
      </x:c>
    </x:row>
    <x:row r="210">
      <x:c r="D210" t="n">
        <x:f>B210*C210</x:f>
        <x:v>0</x:v>
      </x:c>
      <x:c r="G210" t="n">
        <x:f>MAX(0,MIN(1,(F210-E210+3)/6))</x:f>
        <x:v>0.5</x:v>
      </x:c>
      <x:c r="H210" t="n">
        <x:f>D210*G210</x:f>
        <x:v>0</x:v>
      </x:c>
    </x:row>
    <x:row r="211">
      <x:c r="D211" t="n">
        <x:f>B211*C211</x:f>
        <x:v>0</x:v>
      </x:c>
      <x:c r="G211" t="n">
        <x:f>MAX(0,MIN(1,(F211-E211+3)/6))</x:f>
        <x:v>0.5</x:v>
      </x:c>
      <x:c r="H211" t="n">
        <x:f>D211*G211</x:f>
        <x:v>0</x:v>
      </x:c>
    </x:row>
    <x:row r="212">
      <x:c r="D212" t="n">
        <x:f>B212*C212</x:f>
        <x:v>0</x:v>
      </x:c>
      <x:c r="G212" t="n">
        <x:f>MAX(0,MIN(1,(F212-E212+3)/6))</x:f>
        <x:v>0.5</x:v>
      </x:c>
      <x:c r="H212" t="n">
        <x:f>D212*G212</x:f>
        <x:v>0</x:v>
      </x:c>
    </x:row>
    <x:row r="213">
      <x:c r="D213" t="n">
        <x:f>B213*C213</x:f>
        <x:v>0</x:v>
      </x:c>
      <x:c r="G213" t="n">
        <x:f>MAX(0,MIN(1,(F213-E213+3)/6))</x:f>
        <x:v>0.5</x:v>
      </x:c>
      <x:c r="H213" t="n">
        <x:f>D213*G213</x:f>
        <x:v>0</x:v>
      </x:c>
    </x:row>
    <x:row r="214">
      <x:c r="D214" t="n">
        <x:f>B214*C214</x:f>
        <x:v>0</x:v>
      </x:c>
      <x:c r="G214" t="n">
        <x:f>MAX(0,MIN(1,(F214-E214+3)/6))</x:f>
        <x:v>0.5</x:v>
      </x:c>
      <x:c r="H214" t="n">
        <x:f>D214*G214</x:f>
        <x:v>0</x:v>
      </x:c>
    </x:row>
    <x:row r="215">
      <x:c r="D215" t="n">
        <x:f>B215*C215</x:f>
        <x:v>0</x:v>
      </x:c>
      <x:c r="G215" t="n">
        <x:f>MAX(0,MIN(1,(F215-E215+3)/6))</x:f>
        <x:v>0.5</x:v>
      </x:c>
      <x:c r="H215" t="n">
        <x:f>D215*G215</x:f>
        <x:v>0</x:v>
      </x:c>
    </x:row>
    <x:row r="216">
      <x:c r="D216" t="n">
        <x:f>B216*C216</x:f>
        <x:v>0</x:v>
      </x:c>
      <x:c r="G216" t="n">
        <x:f>MAX(0,MIN(1,(F216-E216+3)/6))</x:f>
        <x:v>0.5</x:v>
      </x:c>
      <x:c r="H216" t="n">
        <x:f>D216*G216</x:f>
        <x:v>0</x:v>
      </x:c>
    </x:row>
    <x:row r="217">
      <x:c r="D217" t="n">
        <x:f>B217*C217</x:f>
        <x:v>0</x:v>
      </x:c>
      <x:c r="G217" t="n">
        <x:f>MAX(0,MIN(1,(F217-E217+3)/6))</x:f>
        <x:v>0.5</x:v>
      </x:c>
      <x:c r="H217" t="n">
        <x:f>D217*G217</x:f>
        <x:v>0</x:v>
      </x:c>
    </x:row>
    <x:row r="218">
      <x:c r="D218" t="n">
        <x:f>B218*C218</x:f>
        <x:v>0</x:v>
      </x:c>
      <x:c r="G218" t="n">
        <x:f>MAX(0,MIN(1,(F218-E218+3)/6))</x:f>
        <x:v>0.5</x:v>
      </x:c>
      <x:c r="H218" t="n">
        <x:f>D218*G218</x:f>
        <x:v>0</x:v>
      </x:c>
    </x:row>
    <x:row r="219">
      <x:c r="D219" t="n">
        <x:f>B219*C219</x:f>
        <x:v>0</x:v>
      </x:c>
      <x:c r="G219" t="n">
        <x:f>MAX(0,MIN(1,(F219-E219+3)/6))</x:f>
        <x:v>0.5</x:v>
      </x:c>
      <x:c r="H219" t="n">
        <x:f>D219*G219</x:f>
        <x:v>0</x:v>
      </x:c>
    </x:row>
    <x:row r="220">
      <x:c r="D220" t="n">
        <x:f>B220*C220</x:f>
        <x:v>0</x:v>
      </x:c>
      <x:c r="G220" t="n">
        <x:f>MAX(0,MIN(1,(F220-E220+3)/6))</x:f>
        <x:v>0.5</x:v>
      </x:c>
      <x:c r="H220" t="n">
        <x:f>D220*G220</x:f>
        <x:v>0</x:v>
      </x:c>
    </x:row>
    <x:row r="221">
      <x:c r="D221" t="n">
        <x:f>B221*C221</x:f>
        <x:v>0</x:v>
      </x:c>
      <x:c r="G221" t="n">
        <x:f>MAX(0,MIN(1,(F221-E221+3)/6))</x:f>
        <x:v>0.5</x:v>
      </x:c>
      <x:c r="H221" t="n">
        <x:f>D221*G221</x:f>
        <x:v>0</x:v>
      </x:c>
    </x:row>
    <x:row r="222">
      <x:c r="D222" t="n">
        <x:f>B222*C222</x:f>
        <x:v>0</x:v>
      </x:c>
      <x:c r="G222" t="n">
        <x:f>MAX(0,MIN(1,(F222-E222+3)/6))</x:f>
        <x:v>0.5</x:v>
      </x:c>
      <x:c r="H222" t="n">
        <x:f>D222*G222</x:f>
        <x:v>0</x:v>
      </x:c>
    </x:row>
    <x:row r="223">
      <x:c r="D223" t="n">
        <x:f>B223*C223</x:f>
        <x:v>0</x:v>
      </x:c>
      <x:c r="G223" t="n">
        <x:f>MAX(0,MIN(1,(F223-E223+3)/6))</x:f>
        <x:v>0.5</x:v>
      </x:c>
      <x:c r="H223" t="n">
        <x:f>D223*G223</x:f>
        <x:v>0</x:v>
      </x:c>
    </x:row>
    <x:row r="224">
      <x:c r="D224" t="n">
        <x:f>B224*C224</x:f>
        <x:v>0</x:v>
      </x:c>
      <x:c r="G224" t="n">
        <x:f>MAX(0,MIN(1,(F224-E224+3)/6))</x:f>
        <x:v>0.5</x:v>
      </x:c>
      <x:c r="H224" t="n">
        <x:f>D224*G224</x:f>
        <x:v>0</x:v>
      </x:c>
    </x:row>
    <x:row r="225">
      <x:c r="D225" t="n">
        <x:f>B225*C225</x:f>
        <x:v>0</x:v>
      </x:c>
      <x:c r="G225" t="n">
        <x:f>MAX(0,MIN(1,(F225-E225+3)/6))</x:f>
        <x:v>0.5</x:v>
      </x:c>
      <x:c r="H225" t="n">
        <x:f>D225*G225</x:f>
        <x:v>0</x:v>
      </x:c>
    </x:row>
    <x:row r="226">
      <x:c r="D226" t="n">
        <x:f>B226*C226</x:f>
        <x:v>0</x:v>
      </x:c>
      <x:c r="G226" t="n">
        <x:f>MAX(0,MIN(1,(F226-E226+3)/6))</x:f>
        <x:v>0.5</x:v>
      </x:c>
      <x:c r="H226" t="n">
        <x:f>D226*G226</x:f>
        <x:v>0</x:v>
      </x:c>
    </x:row>
    <x:row r="227">
      <x:c r="D227" t="n">
        <x:f>B227*C227</x:f>
        <x:v>0</x:v>
      </x:c>
      <x:c r="G227" t="n">
        <x:f>MAX(0,MIN(1,(F227-E227+3)/6))</x:f>
        <x:v>0.5</x:v>
      </x:c>
      <x:c r="H227" t="n">
        <x:f>D227*G227</x:f>
        <x:v>0</x:v>
      </x:c>
    </x:row>
    <x:row r="228">
      <x:c r="D228" t="n">
        <x:f>B228*C228</x:f>
        <x:v>0</x:v>
      </x:c>
      <x:c r="G228" t="n">
        <x:f>MAX(0,MIN(1,(F228-E228+3)/6))</x:f>
        <x:v>0.5</x:v>
      </x:c>
      <x:c r="H228" t="n">
        <x:f>D228*G228</x:f>
        <x:v>0</x:v>
      </x:c>
    </x:row>
    <x:row r="229">
      <x:c r="D229" t="n">
        <x:f>B229*C229</x:f>
        <x:v>0</x:v>
      </x:c>
      <x:c r="G229" t="n">
        <x:f>MAX(0,MIN(1,(F229-E229+3)/6))</x:f>
        <x:v>0.5</x:v>
      </x:c>
      <x:c r="H229" t="n">
        <x:f>D229*G229</x:f>
        <x:v>0</x:v>
      </x:c>
    </x:row>
    <x:row r="230">
      <x:c r="D230" t="n">
        <x:f>B230*C230</x:f>
        <x:v>0</x:v>
      </x:c>
      <x:c r="G230" t="n">
        <x:f>MAX(0,MIN(1,(F230-E230+3)/6))</x:f>
        <x:v>0.5</x:v>
      </x:c>
      <x:c r="H230" t="n">
        <x:f>D230*G230</x:f>
        <x:v>0</x:v>
      </x:c>
    </x:row>
    <x:row r="231">
      <x:c r="D231" t="n">
        <x:f>B231*C231</x:f>
        <x:v>0</x:v>
      </x:c>
      <x:c r="G231" t="n">
        <x:f>MAX(0,MIN(1,(F231-E231+3)/6))</x:f>
        <x:v>0.5</x:v>
      </x:c>
      <x:c r="H231" t="n">
        <x:f>D231*G231</x:f>
        <x:v>0</x:v>
      </x:c>
    </x:row>
    <x:row r="232">
      <x:c r="D232" t="n">
        <x:f>B232*C232</x:f>
        <x:v>0</x:v>
      </x:c>
      <x:c r="G232" t="n">
        <x:f>MAX(0,MIN(1,(F232-E232+3)/6))</x:f>
        <x:v>0.5</x:v>
      </x:c>
      <x:c r="H232" t="n">
        <x:f>D232*G232</x:f>
        <x:v>0</x:v>
      </x:c>
    </x:row>
    <x:row r="233">
      <x:c r="D233" t="n">
        <x:f>B233*C233</x:f>
        <x:v>0</x:v>
      </x:c>
      <x:c r="G233" t="n">
        <x:f>MAX(0,MIN(1,(F233-E233+3)/6))</x:f>
        <x:v>0.5</x:v>
      </x:c>
      <x:c r="H233" t="n">
        <x:f>D233*G233</x:f>
        <x:v>0</x:v>
      </x:c>
    </x:row>
    <x:row r="234">
      <x:c r="D234" t="n">
        <x:f>B234*C234</x:f>
        <x:v>0</x:v>
      </x:c>
      <x:c r="G234" t="n">
        <x:f>MAX(0,MIN(1,(F234-E234+3)/6))</x:f>
        <x:v>0.5</x:v>
      </x:c>
      <x:c r="H234" t="n">
        <x:f>D234*G234</x:f>
        <x:v>0</x:v>
      </x:c>
    </x:row>
    <x:row r="235">
      <x:c r="D235" t="n">
        <x:f>B235*C235</x:f>
        <x:v>0</x:v>
      </x:c>
      <x:c r="G235" t="n">
        <x:f>MAX(0,MIN(1,(F235-E235+3)/6))</x:f>
        <x:v>0.5</x:v>
      </x:c>
      <x:c r="H235" t="n">
        <x:f>D235*G235</x:f>
        <x:v>0</x:v>
      </x:c>
    </x:row>
    <x:row r="236">
      <x:c r="D236" t="n">
        <x:f>B236*C236</x:f>
        <x:v>0</x:v>
      </x:c>
      <x:c r="G236" t="n">
        <x:f>MAX(0,MIN(1,(F236-E236+3)/6))</x:f>
        <x:v>0.5</x:v>
      </x:c>
      <x:c r="H236" t="n">
        <x:f>D236*G236</x:f>
        <x:v>0</x:v>
      </x:c>
    </x:row>
    <x:row r="237">
      <x:c r="D237" t="n">
        <x:f>B237*C237</x:f>
        <x:v>0</x:v>
      </x:c>
      <x:c r="G237" t="n">
        <x:f>MAX(0,MIN(1,(F237-E237+3)/6))</x:f>
        <x:v>0.5</x:v>
      </x:c>
      <x:c r="H237" t="n">
        <x:f>D237*G237</x:f>
        <x:v>0</x:v>
      </x:c>
    </x:row>
    <x:row r="238">
      <x:c r="D238" t="n">
        <x:f>B238*C238</x:f>
        <x:v>0</x:v>
      </x:c>
      <x:c r="G238" t="n">
        <x:f>MAX(0,MIN(1,(F238-E238+3)/6))</x:f>
        <x:v>0.5</x:v>
      </x:c>
      <x:c r="H238" t="n">
        <x:f>D238*G238</x:f>
        <x:v>0</x:v>
      </x:c>
    </x:row>
    <x:row r="239">
      <x:c r="D239" t="n">
        <x:f>B239*C239</x:f>
        <x:v>0</x:v>
      </x:c>
      <x:c r="G239" t="n">
        <x:f>MAX(0,MIN(1,(F239-E239+3)/6))</x:f>
        <x:v>0.5</x:v>
      </x:c>
      <x:c r="H239" t="n">
        <x:f>D239*G239</x:f>
        <x:v>0</x:v>
      </x:c>
    </x:row>
    <x:row r="240">
      <x:c r="D240" t="n">
        <x:f>B240*C240</x:f>
        <x:v>0</x:v>
      </x:c>
      <x:c r="G240" t="n">
        <x:f>MAX(0,MIN(1,(F240-E240+3)/6))</x:f>
        <x:v>0.5</x:v>
      </x:c>
      <x:c r="H240" t="n">
        <x:f>D240*G240</x:f>
        <x:v>0</x:v>
      </x:c>
    </x:row>
    <x:row r="241">
      <x:c r="D241" t="n">
        <x:f>B241*C241</x:f>
        <x:v>0</x:v>
      </x:c>
      <x:c r="G241" t="n">
        <x:f>MAX(0,MIN(1,(F241-E241+3)/6))</x:f>
        <x:v>0.5</x:v>
      </x:c>
      <x:c r="H241" t="n">
        <x:f>D241*G241</x:f>
        <x:v>0</x:v>
      </x:c>
    </x:row>
    <x:row r="242">
      <x:c r="D242" t="n">
        <x:f>B242*C242</x:f>
        <x:v>0</x:v>
      </x:c>
      <x:c r="G242" t="n">
        <x:f>MAX(0,MIN(1,(F242-E242+3)/6))</x:f>
        <x:v>0.5</x:v>
      </x:c>
      <x:c r="H242" t="n">
        <x:f>D242*G242</x:f>
        <x:v>0</x:v>
      </x:c>
    </x:row>
    <x:row r="243">
      <x:c r="D243" t="n">
        <x:f>B243*C243</x:f>
        <x:v>0</x:v>
      </x:c>
      <x:c r="G243" t="n">
        <x:f>MAX(0,MIN(1,(F243-E243+3)/6))</x:f>
        <x:v>0.5</x:v>
      </x:c>
      <x:c r="H243" t="n">
        <x:f>D243*G243</x:f>
        <x:v>0</x:v>
      </x:c>
    </x:row>
    <x:row r="244">
      <x:c r="D244" t="n">
        <x:f>B244*C244</x:f>
        <x:v>0</x:v>
      </x:c>
      <x:c r="G244" t="n">
        <x:f>MAX(0,MIN(1,(F244-E244+3)/6))</x:f>
        <x:v>0.5</x:v>
      </x:c>
      <x:c r="H244" t="n">
        <x:f>D244*G244</x:f>
        <x:v>0</x:v>
      </x:c>
    </x:row>
    <x:row r="245">
      <x:c r="D245" t="n">
        <x:f>B245*C245</x:f>
        <x:v>0</x:v>
      </x:c>
      <x:c r="G245" t="n">
        <x:f>MAX(0,MIN(1,(F245-E245+3)/6))</x:f>
        <x:v>0.5</x:v>
      </x:c>
      <x:c r="H245" t="n">
        <x:f>D245*G245</x:f>
        <x:v>0</x:v>
      </x:c>
    </x:row>
    <x:row r="246">
      <x:c r="D246" t="n">
        <x:f>B246*C246</x:f>
        <x:v>0</x:v>
      </x:c>
      <x:c r="G246" t="n">
        <x:f>MAX(0,MIN(1,(F246-E246+3)/6))</x:f>
        <x:v>0.5</x:v>
      </x:c>
      <x:c r="H246" t="n">
        <x:f>D246*G246</x:f>
        <x:v>0</x:v>
      </x:c>
    </x:row>
    <x:row r="247">
      <x:c r="D247" t="n">
        <x:f>B247*C247</x:f>
        <x:v>0</x:v>
      </x:c>
      <x:c r="G247" t="n">
        <x:f>MAX(0,MIN(1,(F247-E247+3)/6))</x:f>
        <x:v>0.5</x:v>
      </x:c>
      <x:c r="H247" t="n">
        <x:f>D247*G247</x:f>
        <x:v>0</x:v>
      </x:c>
    </x:row>
    <x:row r="248">
      <x:c r="D248" t="n">
        <x:f>B248*C248</x:f>
        <x:v>0</x:v>
      </x:c>
      <x:c r="G248" t="n">
        <x:f>MAX(0,MIN(1,(F248-E248+3)/6))</x:f>
        <x:v>0.5</x:v>
      </x:c>
      <x:c r="H248" t="n">
        <x:f>D248*G248</x:f>
        <x:v>0</x:v>
      </x:c>
    </x:row>
    <x:row r="249">
      <x:c r="D249" t="n">
        <x:f>B249*C249</x:f>
        <x:v>0</x:v>
      </x:c>
      <x:c r="G249" t="n">
        <x:f>MAX(0,MIN(1,(F249-E249+3)/6))</x:f>
        <x:v>0.5</x:v>
      </x:c>
      <x:c r="H249" t="n">
        <x:f>D249*G249</x:f>
        <x:v>0</x:v>
      </x:c>
    </x:row>
    <x:row r="250">
      <x:c r="D250" t="n">
        <x:f>B250*C250</x:f>
        <x:v>0</x:v>
      </x:c>
      <x:c r="G250" t="n">
        <x:f>MAX(0,MIN(1,(F250-E250+3)/6))</x:f>
        <x:v>0.5</x:v>
      </x:c>
      <x:c r="H250" t="n">
        <x:f>D250*G250</x:f>
        <x:v>0</x:v>
      </x:c>
    </x:row>
    <x:row r="251">
      <x:c r="D251" t="n">
        <x:f>B251*C251</x:f>
        <x:v>0</x:v>
      </x:c>
      <x:c r="G251" t="n">
        <x:f>MAX(0,MIN(1,(F251-E251+3)/6))</x:f>
        <x:v>0.5</x:v>
      </x:c>
      <x:c r="H251" t="n">
        <x:f>D251*G251</x:f>
        <x:v>0</x:v>
      </x:c>
    </x:row>
    <x:row r="252">
      <x:c r="D252" t="n">
        <x:f>B252*C252</x:f>
        <x:v>0</x:v>
      </x:c>
      <x:c r="G252" t="n">
        <x:f>MAX(0,MIN(1,(F252-E252+3)/6))</x:f>
        <x:v>0.5</x:v>
      </x:c>
      <x:c r="H252" t="n">
        <x:f>D252*G252</x:f>
        <x:v>0</x:v>
      </x:c>
    </x:row>
    <x:row r="253">
      <x:c r="D253" t="n">
        <x:f>B253*C253</x:f>
        <x:v>0</x:v>
      </x:c>
      <x:c r="G253" t="n">
        <x:f>MAX(0,MIN(1,(F253-E253+3)/6))</x:f>
        <x:v>0.5</x:v>
      </x:c>
      <x:c r="H253" t="n">
        <x:f>D253*G253</x:f>
        <x:v>0</x:v>
      </x:c>
    </x:row>
    <x:row r="254">
      <x:c r="D254" t="n">
        <x:f>B254*C254</x:f>
        <x:v>0</x:v>
      </x:c>
      <x:c r="G254" t="n">
        <x:f>MAX(0,MIN(1,(F254-E254+3)/6))</x:f>
        <x:v>0.5</x:v>
      </x:c>
      <x:c r="H254" t="n">
        <x:f>D254*G254</x:f>
        <x:v>0</x:v>
      </x:c>
    </x:row>
    <x:row r="255">
      <x:c r="D255" t="n">
        <x:f>B255*C255</x:f>
        <x:v>0</x:v>
      </x:c>
      <x:c r="G255" t="n">
        <x:f>MAX(0,MIN(1,(F255-E255+3)/6))</x:f>
        <x:v>0.5</x:v>
      </x:c>
      <x:c r="H255" t="n">
        <x:f>D255*G255</x:f>
        <x:v>0</x:v>
      </x:c>
    </x:row>
    <x:row r="256">
      <x:c r="D256" t="n">
        <x:f>B256*C256</x:f>
        <x:v>0</x:v>
      </x:c>
      <x:c r="G256" t="n">
        <x:f>MAX(0,MIN(1,(F256-E256+3)/6))</x:f>
        <x:v>0.5</x:v>
      </x:c>
      <x:c r="H256" t="n">
        <x:f>D256*G256</x:f>
        <x:v>0</x:v>
      </x:c>
    </x:row>
    <x:row r="257">
      <x:c r="D257" t="n">
        <x:f>B257*C257</x:f>
        <x:v>0</x:v>
      </x:c>
      <x:c r="G257" t="n">
        <x:f>MAX(0,MIN(1,(F257-E257+3)/6))</x:f>
        <x:v>0.5</x:v>
      </x:c>
      <x:c r="H257" t="n">
        <x:f>D257*G257</x:f>
        <x:v>0</x:v>
      </x:c>
    </x:row>
    <x:row r="258">
      <x:c r="D258" t="n">
        <x:f>B258*C258</x:f>
        <x:v>0</x:v>
      </x:c>
      <x:c r="G258" t="n">
        <x:f>MAX(0,MIN(1,(F258-E258+3)/6))</x:f>
        <x:v>0.5</x:v>
      </x:c>
      <x:c r="H258" t="n">
        <x:f>D258*G258</x:f>
        <x:v>0</x:v>
      </x:c>
    </x:row>
    <x:row r="259">
      <x:c r="D259" t="n">
        <x:f>B259*C259</x:f>
        <x:v>0</x:v>
      </x:c>
      <x:c r="G259" t="n">
        <x:f>MAX(0,MIN(1,(F259-E259+3)/6))</x:f>
        <x:v>0.5</x:v>
      </x:c>
      <x:c r="H259" t="n">
        <x:f>D259*G259</x:f>
        <x:v>0</x:v>
      </x:c>
    </x:row>
    <x:row r="260">
      <x:c r="D260" t="n">
        <x:f>B260*C260</x:f>
        <x:v>0</x:v>
      </x:c>
      <x:c r="G260" t="n">
        <x:f>MAX(0,MIN(1,(F260-E260+3)/6))</x:f>
        <x:v>0.5</x:v>
      </x:c>
      <x:c r="H260" t="n">
        <x:f>D260*G260</x:f>
        <x:v>0</x:v>
      </x:c>
    </x:row>
    <x:row r="261">
      <x:c r="D261" t="n">
        <x:f>B261*C261</x:f>
        <x:v>0</x:v>
      </x:c>
      <x:c r="G261" t="n">
        <x:f>MAX(0,MIN(1,(F261-E261+3)/6))</x:f>
        <x:v>0.5</x:v>
      </x:c>
      <x:c r="H261" t="n">
        <x:f>D261*G261</x:f>
        <x:v>0</x:v>
      </x:c>
    </x:row>
    <x:row r="262">
      <x:c r="D262" t="n">
        <x:f>B262*C262</x:f>
        <x:v>0</x:v>
      </x:c>
      <x:c r="G262" t="n">
        <x:f>MAX(0,MIN(1,(F262-E262+3)/6))</x:f>
        <x:v>0.5</x:v>
      </x:c>
      <x:c r="H262" t="n">
        <x:f>D262*G262</x:f>
        <x:v>0</x:v>
      </x:c>
    </x:row>
    <x:row r="263">
      <x:c r="D263" t="n">
        <x:f>B263*C263</x:f>
        <x:v>0</x:v>
      </x:c>
      <x:c r="G263" t="n">
        <x:f>MAX(0,MIN(1,(F263-E263+3)/6))</x:f>
        <x:v>0.5</x:v>
      </x:c>
      <x:c r="H263" t="n">
        <x:f>D263*G263</x:f>
        <x:v>0</x:v>
      </x:c>
    </x:row>
    <x:row r="264">
      <x:c r="D264" t="n">
        <x:f>B264*C264</x:f>
        <x:v>0</x:v>
      </x:c>
      <x:c r="G264" t="n">
        <x:f>MAX(0,MIN(1,(F264-E264+3)/6))</x:f>
        <x:v>0.5</x:v>
      </x:c>
      <x:c r="H264" t="n">
        <x:f>D264*G264</x:f>
        <x:v>0</x:v>
      </x:c>
    </x:row>
    <x:row r="265">
      <x:c r="D265" t="n">
        <x:f>B265*C265</x:f>
        <x:v>0</x:v>
      </x:c>
      <x:c r="G265" t="n">
        <x:f>MAX(0,MIN(1,(F265-E265+3)/6))</x:f>
        <x:v>0.5</x:v>
      </x:c>
      <x:c r="H265" t="n">
        <x:f>D265*G265</x:f>
        <x:v>0</x:v>
      </x:c>
    </x:row>
    <x:row r="266">
      <x:c r="D266" t="n">
        <x:f>B266*C266</x:f>
        <x:v>0</x:v>
      </x:c>
      <x:c r="G266" t="n">
        <x:f>MAX(0,MIN(1,(F266-E266+3)/6))</x:f>
        <x:v>0.5</x:v>
      </x:c>
      <x:c r="H266" t="n">
        <x:f>D266*G266</x:f>
        <x:v>0</x:v>
      </x:c>
    </x:row>
    <x:row r="267">
      <x:c r="D267" t="n">
        <x:f>B267*C267</x:f>
        <x:v>0</x:v>
      </x:c>
      <x:c r="G267" t="n">
        <x:f>MAX(0,MIN(1,(F267-E267+3)/6))</x:f>
        <x:v>0.5</x:v>
      </x:c>
      <x:c r="H267" t="n">
        <x:f>D267*G267</x:f>
        <x:v>0</x:v>
      </x:c>
    </x:row>
    <x:row r="268">
      <x:c r="D268" t="n">
        <x:f>B268*C268</x:f>
        <x:v>0</x:v>
      </x:c>
      <x:c r="G268" t="n">
        <x:f>MAX(0,MIN(1,(F268-E268+3)/6))</x:f>
        <x:v>0.5</x:v>
      </x:c>
      <x:c r="H268" t="n">
        <x:f>D268*G268</x:f>
        <x:v>0</x:v>
      </x:c>
    </x:row>
    <x:row r="269">
      <x:c r="D269" t="n">
        <x:f>B269*C269</x:f>
        <x:v>0</x:v>
      </x:c>
      <x:c r="G269" t="n">
        <x:f>MAX(0,MIN(1,(F269-E269+3)/6))</x:f>
        <x:v>0.5</x:v>
      </x:c>
      <x:c r="H269" t="n">
        <x:f>D269*G269</x:f>
        <x:v>0</x:v>
      </x:c>
    </x:row>
    <x:row r="270">
      <x:c r="D270" t="n">
        <x:f>B270*C270</x:f>
        <x:v>0</x:v>
      </x:c>
      <x:c r="G270" t="n">
        <x:f>MAX(0,MIN(1,(F270-E270+3)/6))</x:f>
        <x:v>0.5</x:v>
      </x:c>
      <x:c r="H270" t="n">
        <x:f>D270*G270</x:f>
        <x:v>0</x:v>
      </x:c>
    </x:row>
    <x:row r="271">
      <x:c r="D271" t="n">
        <x:f>B271*C271</x:f>
        <x:v>0</x:v>
      </x:c>
      <x:c r="G271" t="n">
        <x:f>MAX(0,MIN(1,(F271-E271+3)/6))</x:f>
        <x:v>0.5</x:v>
      </x:c>
      <x:c r="H271" t="n">
        <x:f>D271*G271</x:f>
        <x:v>0</x:v>
      </x:c>
    </x:row>
    <x:row r="272">
      <x:c r="D272" t="n">
        <x:f>B272*C272</x:f>
        <x:v>0</x:v>
      </x:c>
      <x:c r="G272" t="n">
        <x:f>MAX(0,MIN(1,(F272-E272+3)/6))</x:f>
        <x:v>0.5</x:v>
      </x:c>
      <x:c r="H272" t="n">
        <x:f>D272*G272</x:f>
        <x:v>0</x:v>
      </x:c>
    </x:row>
    <x:row r="273">
      <x:c r="D273" t="n">
        <x:f>B273*C273</x:f>
        <x:v>0</x:v>
      </x:c>
      <x:c r="G273" t="n">
        <x:f>MAX(0,MIN(1,(F273-E273+3)/6))</x:f>
        <x:v>0.5</x:v>
      </x:c>
      <x:c r="H273" t="n">
        <x:f>D273*G273</x:f>
        <x:v>0</x:v>
      </x:c>
    </x:row>
    <x:row r="274">
      <x:c r="D274" t="n">
        <x:f>B274*C274</x:f>
        <x:v>0</x:v>
      </x:c>
      <x:c r="G274" t="n">
        <x:f>MAX(0,MIN(1,(F274-E274+3)/6))</x:f>
        <x:v>0.5</x:v>
      </x:c>
      <x:c r="H274" t="n">
        <x:f>D274*G274</x:f>
        <x:v>0</x:v>
      </x:c>
    </x:row>
    <x:row r="275">
      <x:c r="D275" t="n">
        <x:f>B275*C275</x:f>
        <x:v>0</x:v>
      </x:c>
      <x:c r="G275" t="n">
        <x:f>MAX(0,MIN(1,(F275-E275+3)/6))</x:f>
        <x:v>0.5</x:v>
      </x:c>
      <x:c r="H275" t="n">
        <x:f>D275*G275</x:f>
        <x:v>0</x:v>
      </x:c>
    </x:row>
    <x:row r="276">
      <x:c r="D276" t="n">
        <x:f>B276*C276</x:f>
        <x:v>0</x:v>
      </x:c>
      <x:c r="G276" t="n">
        <x:f>MAX(0,MIN(1,(F276-E276+3)/6))</x:f>
        <x:v>0.5</x:v>
      </x:c>
      <x:c r="H276" t="n">
        <x:f>D276*G276</x:f>
        <x:v>0</x:v>
      </x:c>
    </x:row>
    <x:row r="277">
      <x:c r="D277" t="n">
        <x:f>B277*C277</x:f>
        <x:v>0</x:v>
      </x:c>
      <x:c r="G277" t="n">
        <x:f>MAX(0,MIN(1,(F277-E277+3)/6))</x:f>
        <x:v>0.5</x:v>
      </x:c>
      <x:c r="H277" t="n">
        <x:f>D277*G277</x:f>
        <x:v>0</x:v>
      </x:c>
    </x:row>
    <x:row r="278">
      <x:c r="D278" t="n">
        <x:f>B278*C278</x:f>
        <x:v>0</x:v>
      </x:c>
      <x:c r="G278" t="n">
        <x:f>MAX(0,MIN(1,(F278-E278+3)/6))</x:f>
        <x:v>0.5</x:v>
      </x:c>
      <x:c r="H278" t="n">
        <x:f>D278*G278</x:f>
        <x:v>0</x:v>
      </x:c>
    </x:row>
    <x:row r="279">
      <x:c r="D279" t="n">
        <x:f>B279*C279</x:f>
        <x:v>0</x:v>
      </x:c>
      <x:c r="G279" t="n">
        <x:f>MAX(0,MIN(1,(F279-E279+3)/6))</x:f>
        <x:v>0.5</x:v>
      </x:c>
      <x:c r="H279" t="n">
        <x:f>D279*G279</x:f>
        <x:v>0</x:v>
      </x:c>
    </x:row>
    <x:row r="280">
      <x:c r="D280" t="n">
        <x:f>B280*C280</x:f>
        <x:v>0</x:v>
      </x:c>
      <x:c r="G280" t="n">
        <x:f>MAX(0,MIN(1,(F280-E280+3)/6))</x:f>
        <x:v>0.5</x:v>
      </x:c>
      <x:c r="H280" t="n">
        <x:f>D280*G280</x:f>
        <x:v>0</x:v>
      </x:c>
    </x:row>
    <x:row r="281">
      <x:c r="D281" t="n">
        <x:f>B281*C281</x:f>
        <x:v>0</x:v>
      </x:c>
      <x:c r="G281" t="n">
        <x:f>MAX(0,MIN(1,(F281-E281+3)/6))</x:f>
        <x:v>0.5</x:v>
      </x:c>
      <x:c r="H281" t="n">
        <x:f>D281*G281</x:f>
        <x:v>0</x:v>
      </x:c>
    </x:row>
    <x:row r="282">
      <x:c r="D282" t="n">
        <x:f>B282*C282</x:f>
        <x:v>0</x:v>
      </x:c>
      <x:c r="G282" t="n">
        <x:f>MAX(0,MIN(1,(F282-E282+3)/6))</x:f>
        <x:v>0.5</x:v>
      </x:c>
      <x:c r="H282" t="n">
        <x:f>D282*G282</x:f>
        <x:v>0</x:v>
      </x:c>
    </x:row>
    <x:row r="283">
      <x:c r="D283" t="n">
        <x:f>B283*C283</x:f>
        <x:v>0</x:v>
      </x:c>
      <x:c r="G283" t="n">
        <x:f>MAX(0,MIN(1,(F283-E283+3)/6))</x:f>
        <x:v>0.5</x:v>
      </x:c>
      <x:c r="H283" t="n">
        <x:f>D283*G283</x:f>
        <x:v>0</x:v>
      </x:c>
    </x:row>
    <x:row r="284">
      <x:c r="D284" t="n">
        <x:f>B284*C284</x:f>
        <x:v>0</x:v>
      </x:c>
      <x:c r="G284" t="n">
        <x:f>MAX(0,MIN(1,(F284-E284+3)/6))</x:f>
        <x:v>0.5</x:v>
      </x:c>
      <x:c r="H284" t="n">
        <x:f>D284*G284</x:f>
        <x:v>0</x:v>
      </x:c>
    </x:row>
    <x:row r="285">
      <x:c r="D285" t="n">
        <x:f>B285*C285</x:f>
        <x:v>0</x:v>
      </x:c>
      <x:c r="G285" t="n">
        <x:f>MAX(0,MIN(1,(F285-E285+3)/6))</x:f>
        <x:v>0.5</x:v>
      </x:c>
      <x:c r="H285" t="n">
        <x:f>D285*G285</x:f>
        <x:v>0</x:v>
      </x:c>
    </x:row>
    <x:row r="286">
      <x:c r="D286" t="n">
        <x:f>B286*C286</x:f>
        <x:v>0</x:v>
      </x:c>
      <x:c r="G286" t="n">
        <x:f>MAX(0,MIN(1,(F286-E286+3)/6))</x:f>
        <x:v>0.5</x:v>
      </x:c>
      <x:c r="H286" t="n">
        <x:f>D286*G286</x:f>
        <x:v>0</x:v>
      </x:c>
    </x:row>
    <x:row r="287">
      <x:c r="D287" t="n">
        <x:f>B287*C287</x:f>
        <x:v>0</x:v>
      </x:c>
      <x:c r="G287" t="n">
        <x:f>MAX(0,MIN(1,(F287-E287+3)/6))</x:f>
        <x:v>0.5</x:v>
      </x:c>
      <x:c r="H287" t="n">
        <x:f>D287*G287</x:f>
        <x:v>0</x:v>
      </x:c>
    </x:row>
    <x:row r="288">
      <x:c r="D288" t="n">
        <x:f>B288*C288</x:f>
        <x:v>0</x:v>
      </x:c>
      <x:c r="G288" t="n">
        <x:f>MAX(0,MIN(1,(F288-E288+3)/6))</x:f>
        <x:v>0.5</x:v>
      </x:c>
      <x:c r="H288" t="n">
        <x:f>D288*G288</x:f>
        <x:v>0</x:v>
      </x:c>
    </x:row>
    <x:row r="289">
      <x:c r="D289" t="n">
        <x:f>B289*C289</x:f>
        <x:v>0</x:v>
      </x:c>
      <x:c r="G289" t="n">
        <x:f>MAX(0,MIN(1,(F289-E289+3)/6))</x:f>
        <x:v>0.5</x:v>
      </x:c>
      <x:c r="H289" t="n">
        <x:f>D289*G289</x:f>
        <x:v>0</x:v>
      </x:c>
    </x:row>
    <x:row r="290">
      <x:c r="D290" t="n">
        <x:f>B290*C290</x:f>
        <x:v>0</x:v>
      </x:c>
      <x:c r="G290" t="n">
        <x:f>MAX(0,MIN(1,(F290-E290+3)/6))</x:f>
        <x:v>0.5</x:v>
      </x:c>
      <x:c r="H290" t="n">
        <x:f>D290*G290</x:f>
        <x:v>0</x:v>
      </x:c>
    </x:row>
    <x:row r="291">
      <x:c r="D291" t="n">
        <x:f>B291*C291</x:f>
        <x:v>0</x:v>
      </x:c>
      <x:c r="G291" t="n">
        <x:f>MAX(0,MIN(1,(F291-E291+3)/6))</x:f>
        <x:v>0.5</x:v>
      </x:c>
      <x:c r="H291" t="n">
        <x:f>D291*G291</x:f>
        <x:v>0</x:v>
      </x:c>
    </x:row>
    <x:row r="292">
      <x:c r="D292" t="n">
        <x:f>B292*C292</x:f>
        <x:v>0</x:v>
      </x:c>
      <x:c r="G292" t="n">
        <x:f>MAX(0,MIN(1,(F292-E292+3)/6))</x:f>
        <x:v>0.5</x:v>
      </x:c>
      <x:c r="H292" t="n">
        <x:f>D292*G292</x:f>
        <x:v>0</x:v>
      </x:c>
    </x:row>
    <x:row r="293">
      <x:c r="D293" t="n">
        <x:f>B293*C293</x:f>
        <x:v>0</x:v>
      </x:c>
      <x:c r="G293" t="n">
        <x:f>MAX(0,MIN(1,(F293-E293+3)/6))</x:f>
        <x:v>0.5</x:v>
      </x:c>
      <x:c r="H293" t="n">
        <x:f>D293*G293</x:f>
        <x:v>0</x:v>
      </x:c>
    </x:row>
    <x:row r="294">
      <x:c r="D294" t="n">
        <x:f>B294*C294</x:f>
        <x:v>0</x:v>
      </x:c>
      <x:c r="G294" t="n">
        <x:f>MAX(0,MIN(1,(F294-E294+3)/6))</x:f>
        <x:v>0.5</x:v>
      </x:c>
      <x:c r="H294" t="n">
        <x:f>D294*G294</x:f>
        <x:v>0</x:v>
      </x:c>
    </x:row>
    <x:row r="295">
      <x:c r="D295" t="n">
        <x:f>B295*C295</x:f>
        <x:v>0</x:v>
      </x:c>
      <x:c r="G295" t="n">
        <x:f>MAX(0,MIN(1,(F295-E295+3)/6))</x:f>
        <x:v>0.5</x:v>
      </x:c>
      <x:c r="H295" t="n">
        <x:f>D295*G295</x:f>
        <x:v>0</x:v>
      </x:c>
    </x:row>
    <x:row r="296">
      <x:c r="D296" t="n">
        <x:f>B296*C296</x:f>
        <x:v>0</x:v>
      </x:c>
      <x:c r="G296" t="n">
        <x:f>MAX(0,MIN(1,(F296-E296+3)/6))</x:f>
        <x:v>0.5</x:v>
      </x:c>
      <x:c r="H296" t="n">
        <x:f>D296*G296</x:f>
        <x:v>0</x:v>
      </x:c>
    </x:row>
    <x:row r="297">
      <x:c r="D297" t="n">
        <x:f>B297*C297</x:f>
        <x:v>0</x:v>
      </x:c>
      <x:c r="G297" t="n">
        <x:f>MAX(0,MIN(1,(F297-E297+3)/6))</x:f>
        <x:v>0.5</x:v>
      </x:c>
      <x:c r="H297" t="n">
        <x:f>D297*G297</x:f>
        <x:v>0</x:v>
      </x:c>
    </x:row>
    <x:row r="298">
      <x:c r="D298" t="n">
        <x:f>B298*C298</x:f>
        <x:v>0</x:v>
      </x:c>
      <x:c r="G298" t="n">
        <x:f>MAX(0,MIN(1,(F298-E298+3)/6))</x:f>
        <x:v>0.5</x:v>
      </x:c>
      <x:c r="H298" t="n">
        <x:f>D298*G298</x:f>
        <x:v>0</x:v>
      </x:c>
    </x:row>
    <x:row r="299">
      <x:c r="D299" t="n">
        <x:f>B299*C299</x:f>
        <x:v>0</x:v>
      </x:c>
      <x:c r="G299" t="n">
        <x:f>MAX(0,MIN(1,(F299-E299+3)/6))</x:f>
        <x:v>0.5</x:v>
      </x:c>
      <x:c r="H299" t="n">
        <x:f>D299*G299</x:f>
        <x:v>0</x:v>
      </x:c>
    </x:row>
    <x:row r="300">
      <x:c r="D300" t="n">
        <x:f>B300*C300</x:f>
        <x:v>0</x:v>
      </x:c>
      <x:c r="G300" t="n">
        <x:f>MAX(0,MIN(1,(F300-E300+3)/6))</x:f>
        <x:v>0.5</x:v>
      </x:c>
      <x:c r="H300" t="n">
        <x:f>D300*G300</x:f>
        <x:v>0</x:v>
      </x:c>
    </x:row>
    <x:row r="301">
      <x:c r="D301" t="n">
        <x:f>B301*C301</x:f>
        <x:v>0</x:v>
      </x:c>
      <x:c r="G301" t="n">
        <x:f>MAX(0,MIN(1,(F301-E301+3)/6))</x:f>
        <x:v>0.5</x:v>
      </x:c>
      <x:c r="H301" t="n">
        <x:f>D301*G301</x:f>
        <x:v>0</x:v>
      </x:c>
    </x:row>
    <x:row r="302">
      <x:c r="D302" t="n">
        <x:f>B302*C302</x:f>
        <x:v>0</x:v>
      </x:c>
      <x:c r="G302" t="n">
        <x:f>MAX(0,MIN(1,(F302-E302+3)/6))</x:f>
        <x:v>0.5</x:v>
      </x:c>
      <x:c r="H302" t="n">
        <x:f>D302*G302</x:f>
        <x:v>0</x:v>
      </x:c>
    </x:row>
    <x:row r="303">
      <x:c r="D303" t="n">
        <x:f>B303*C303</x:f>
        <x:v>0</x:v>
      </x:c>
      <x:c r="G303" t="n">
        <x:f>MAX(0,MIN(1,(F303-E303+3)/6))</x:f>
        <x:v>0.5</x:v>
      </x:c>
      <x:c r="H303" t="n">
        <x:f>D303*G303</x:f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68349928c624d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Loss Magnitude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Scenario ID</x:v>
      </x:c>
      <x:c r="B3" s="12" t="str">
        <x:v>Productivity Loss</x:v>
      </x:c>
      <x:c r="C3" s="12" t="str">
        <x:v>Response Cost</x:v>
      </x:c>
      <x:c r="D3" s="12" t="str">
        <x:v>Replacement Cost</x:v>
      </x:c>
      <x:c r="E3" s="12" t="str">
        <x:v>Fines / Legal</x:v>
      </x:c>
      <x:c r="F3" s="12" t="str">
        <x:v>Reputation / Revenue</x:v>
      </x:c>
      <x:c r="G3" s="12" t="str">
        <x:v>Secondary Loss</x:v>
      </x:c>
      <x:c r="H3" s="12" t="str">
        <x:v>Total Loss Magnitude</x:v>
      </x:c>
    </x:row>
    <x:row r="4">
      <x:c r="A4" s="20" t="str">
        <x:v>FAIR-001</x:v>
      </x:c>
      <x:c r="B4" s="20" t="n">
        <x:v>35000</x:v>
      </x:c>
      <x:c r="C4" s="20" t="n">
        <x:v>60000</x:v>
      </x:c>
      <x:c r="D4" s="20" t="n">
        <x:v>10000</x:v>
      </x:c>
      <x:c r="E4" s="20" t="n">
        <x:v>50000</x:v>
      </x:c>
      <x:c r="F4" s="20" t="n">
        <x:v>150000</x:v>
      </x:c>
      <x:c r="G4" s="20" t="n">
        <x:v>40000</x:v>
      </x:c>
      <x:c r="H4" s="20" t="n">
        <x:f>SUM(B4:G4)</x:f>
        <x:v>345000</x:v>
      </x:c>
    </x:row>
    <x:row r="5">
      <x:c r="A5" s="20" t="str">
        <x:v>FAIR-002</x:v>
      </x:c>
      <x:c r="B5" s="20" t="n">
        <x:v>120000</x:v>
      </x:c>
      <x:c r="C5" s="20" t="n">
        <x:v>180000</x:v>
      </x:c>
      <x:c r="D5" s="20" t="n">
        <x:v>30000</x:v>
      </x:c>
      <x:c r="E5" s="20" t="n">
        <x:v>25000</x:v>
      </x:c>
      <x:c r="F5" s="20" t="n">
        <x:v>90000</x:v>
      </x:c>
      <x:c r="G5" s="20" t="n">
        <x:v>50000</x:v>
      </x:c>
      <x:c r="H5" s="20" t="n">
        <x:f>SUM(B5:G5)</x:f>
        <x:v>495000</x:v>
      </x:c>
    </x:row>
    <x:row r="6">
      <x:c r="A6" s="20" t="str">
        <x:v>FAIR-003</x:v>
      </x:c>
      <x:c r="B6" s="20" t="n">
        <x:v>45000</x:v>
      </x:c>
      <x:c r="C6" s="20" t="n">
        <x:v>100000</x:v>
      </x:c>
      <x:c r="D6" s="20" t="n">
        <x:v>15000</x:v>
      </x:c>
      <x:c r="E6" s="20" t="n">
        <x:v>250000</x:v>
      </x:c>
      <x:c r="F6" s="20" t="n">
        <x:v>300000</x:v>
      </x:c>
      <x:c r="G6" s="20" t="n">
        <x:v>125000</x:v>
      </x:c>
      <x:c r="H6" s="20" t="n">
        <x:f>SUM(B6:G6)</x:f>
        <x:v>835000</x:v>
      </x:c>
    </x:row>
    <x:row r="7">
      <x:c r="A7" s="20"/>
      <x:c r="B7" s="20"/>
      <x:c r="C7" s="20"/>
      <x:c r="D7" s="20"/>
      <x:c r="E7" s="20"/>
      <x:c r="F7" s="20"/>
      <x:c r="G7" s="20"/>
      <x:c r="H7" s="20" t="n">
        <x:f>SUM(B7:G7)</x:f>
        <x:v>0</x:v>
      </x:c>
    </x:row>
    <x:row r="8">
      <x:c r="A8" s="20"/>
      <x:c r="B8" s="20"/>
      <x:c r="C8" s="20"/>
      <x:c r="D8" s="20"/>
      <x:c r="E8" s="20"/>
      <x:c r="F8" s="20"/>
      <x:c r="G8" s="20"/>
      <x:c r="H8" s="20" t="n">
        <x:f>SUM(B8:G8)</x:f>
        <x:v>0</x:v>
      </x:c>
    </x:row>
    <x:row r="9">
      <x:c r="A9" s="20"/>
      <x:c r="B9" s="20"/>
      <x:c r="C9" s="20"/>
      <x:c r="D9" s="20"/>
      <x:c r="E9" s="20"/>
      <x:c r="F9" s="20"/>
      <x:c r="G9" s="20"/>
      <x:c r="H9" s="20" t="n">
        <x:f>SUM(B9:G9)</x:f>
        <x:v>0</x:v>
      </x:c>
    </x:row>
    <x:row r="10">
      <x:c r="A10" s="20"/>
      <x:c r="B10" s="20"/>
      <x:c r="C10" s="20"/>
      <x:c r="D10" s="20"/>
      <x:c r="E10" s="20"/>
      <x:c r="F10" s="20"/>
      <x:c r="G10" s="20"/>
      <x:c r="H10" s="20" t="n">
        <x:f>SUM(B10:G10)</x:f>
        <x:v>0</x:v>
      </x:c>
    </x:row>
    <x:row r="11">
      <x:c r="A11" s="20"/>
      <x:c r="B11" s="20"/>
      <x:c r="C11" s="20"/>
      <x:c r="D11" s="20"/>
      <x:c r="E11" s="20"/>
      <x:c r="F11" s="20"/>
      <x:c r="G11" s="20"/>
      <x:c r="H11" s="20" t="n">
        <x:f>SUM(B11:G11)</x:f>
        <x:v>0</x:v>
      </x:c>
    </x:row>
    <x:row r="12">
      <x:c r="A12" s="20"/>
      <x:c r="B12" s="20"/>
      <x:c r="C12" s="20"/>
      <x:c r="D12" s="20"/>
      <x:c r="E12" s="20"/>
      <x:c r="F12" s="20"/>
      <x:c r="G12" s="20"/>
      <x:c r="H12" s="20" t="n">
        <x:f>SUM(B12:G12)</x:f>
        <x:v>0</x:v>
      </x:c>
    </x:row>
    <x:row r="13">
      <x:c r="A13" s="20"/>
      <x:c r="B13" s="20"/>
      <x:c r="C13" s="20"/>
      <x:c r="D13" s="20"/>
      <x:c r="E13" s="20"/>
      <x:c r="F13" s="20"/>
      <x:c r="G13" s="20"/>
      <x:c r="H13" s="20" t="n">
        <x:f>SUM(B13:G13)</x:f>
        <x:v>0</x:v>
      </x:c>
    </x:row>
    <x:row r="14">
      <x:c r="A14" s="20"/>
      <x:c r="B14" s="20"/>
      <x:c r="C14" s="20"/>
      <x:c r="D14" s="20"/>
      <x:c r="E14" s="20"/>
      <x:c r="F14" s="20"/>
      <x:c r="G14" s="20"/>
      <x:c r="H14" s="20" t="n">
        <x:f>SUM(B14:G14)</x:f>
        <x:v>0</x:v>
      </x:c>
    </x:row>
    <x:row r="15">
      <x:c r="A15" s="20"/>
      <x:c r="B15" s="20"/>
      <x:c r="C15" s="20"/>
      <x:c r="D15" s="20"/>
      <x:c r="E15" s="20"/>
      <x:c r="F15" s="20"/>
      <x:c r="G15" s="20"/>
      <x:c r="H15" s="20" t="n">
        <x:f>SUM(B15:G15)</x:f>
        <x:v>0</x:v>
      </x:c>
    </x:row>
    <x:row r="16">
      <x:c r="A16" s="20"/>
      <x:c r="B16" s="20"/>
      <x:c r="C16" s="20"/>
      <x:c r="D16" s="20"/>
      <x:c r="E16" s="20"/>
      <x:c r="F16" s="20"/>
      <x:c r="G16" s="20"/>
      <x:c r="H16" s="20" t="n">
        <x:f>SUM(B16:G16)</x:f>
        <x:v>0</x:v>
      </x:c>
    </x:row>
    <x:row r="17">
      <x:c r="A17" s="20"/>
      <x:c r="B17" s="20"/>
      <x:c r="C17" s="20"/>
      <x:c r="D17" s="20"/>
      <x:c r="E17" s="20"/>
      <x:c r="F17" s="20"/>
      <x:c r="G17" s="20"/>
      <x:c r="H17" s="20" t="n">
        <x:f>SUM(B17:G17)</x:f>
        <x:v>0</x:v>
      </x:c>
    </x:row>
    <x:row r="18">
      <x:c r="A18" s="20"/>
      <x:c r="B18" s="20"/>
      <x:c r="C18" s="20"/>
      <x:c r="D18" s="20"/>
      <x:c r="E18" s="20"/>
      <x:c r="F18" s="20"/>
      <x:c r="G18" s="20"/>
      <x:c r="H18" s="20" t="n">
        <x:f>SUM(B18:G18)</x:f>
        <x:v>0</x:v>
      </x:c>
    </x:row>
    <x:row r="19">
      <x:c r="A19" s="20"/>
      <x:c r="B19" s="20"/>
      <x:c r="C19" s="20"/>
      <x:c r="D19" s="20"/>
      <x:c r="E19" s="20"/>
      <x:c r="F19" s="20"/>
      <x:c r="G19" s="20"/>
      <x:c r="H19" s="20" t="n">
        <x:f>SUM(B19:G19)</x:f>
        <x:v>0</x:v>
      </x:c>
    </x:row>
    <x:row r="20">
      <x:c r="A20" s="20"/>
      <x:c r="B20" s="20"/>
      <x:c r="C20" s="20"/>
      <x:c r="D20" s="20"/>
      <x:c r="E20" s="20"/>
      <x:c r="F20" s="20"/>
      <x:c r="G20" s="20"/>
      <x:c r="H20" s="20" t="n">
        <x:f>SUM(B20:G20)</x:f>
        <x:v>0</x:v>
      </x:c>
    </x:row>
    <x:row r="21">
      <x:c r="H21" t="n">
        <x:f>SUM(B21:G21)</x:f>
        <x:v>0</x:v>
      </x:c>
    </x:row>
    <x:row r="22">
      <x:c r="H22" t="n">
        <x:f>SUM(B22:G22)</x:f>
        <x:v>0</x:v>
      </x:c>
    </x:row>
    <x:row r="23">
      <x:c r="H23" t="n">
        <x:f>SUM(B23:G23)</x:f>
        <x:v>0</x:v>
      </x:c>
    </x:row>
    <x:row r="24">
      <x:c r="H24" t="n">
        <x:f>SUM(B24:G24)</x:f>
        <x:v>0</x:v>
      </x:c>
    </x:row>
    <x:row r="25">
      <x:c r="H25" t="n">
        <x:f>SUM(B25:G25)</x:f>
        <x:v>0</x:v>
      </x:c>
    </x:row>
    <x:row r="26">
      <x:c r="H26" t="n">
        <x:f>SUM(B26:G26)</x:f>
        <x:v>0</x:v>
      </x:c>
    </x:row>
    <x:row r="27">
      <x:c r="H27" t="n">
        <x:f>SUM(B27:G27)</x:f>
        <x:v>0</x:v>
      </x:c>
    </x:row>
    <x:row r="28">
      <x:c r="H28" t="n">
        <x:f>SUM(B28:G28)</x:f>
        <x:v>0</x:v>
      </x:c>
    </x:row>
    <x:row r="29">
      <x:c r="H29" t="n">
        <x:f>SUM(B29:G29)</x:f>
        <x:v>0</x:v>
      </x:c>
    </x:row>
    <x:row r="30">
      <x:c r="H30" t="n">
        <x:f>SUM(B30:G30)</x:f>
        <x:v>0</x:v>
      </x:c>
    </x:row>
    <x:row r="31">
      <x:c r="H31" t="n">
        <x:f>SUM(B31:G31)</x:f>
        <x:v>0</x:v>
      </x:c>
    </x:row>
    <x:row r="32">
      <x:c r="H32" t="n">
        <x:f>SUM(B32:G32)</x:f>
        <x:v>0</x:v>
      </x:c>
    </x:row>
    <x:row r="33">
      <x:c r="H33" t="n">
        <x:f>SUM(B33:G33)</x:f>
        <x:v>0</x:v>
      </x:c>
    </x:row>
    <x:row r="34">
      <x:c r="H34" t="n">
        <x:f>SUM(B34:G34)</x:f>
        <x:v>0</x:v>
      </x:c>
    </x:row>
    <x:row r="35">
      <x:c r="H35" t="n">
        <x:f>SUM(B35:G35)</x:f>
        <x:v>0</x:v>
      </x:c>
    </x:row>
    <x:row r="36">
      <x:c r="H36" t="n">
        <x:f>SUM(B36:G36)</x:f>
        <x:v>0</x:v>
      </x:c>
    </x:row>
    <x:row r="37">
      <x:c r="H37" t="n">
        <x:f>SUM(B37:G37)</x:f>
        <x:v>0</x:v>
      </x:c>
    </x:row>
    <x:row r="38">
      <x:c r="H38" t="n">
        <x:f>SUM(B38:G38)</x:f>
        <x:v>0</x:v>
      </x:c>
    </x:row>
    <x:row r="39">
      <x:c r="H39" t="n">
        <x:f>SUM(B39:G39)</x:f>
        <x:v>0</x:v>
      </x:c>
    </x:row>
    <x:row r="40">
      <x:c r="H40" t="n">
        <x:f>SUM(B40:G40)</x:f>
        <x:v>0</x:v>
      </x:c>
    </x:row>
    <x:row r="41">
      <x:c r="H41" t="n">
        <x:f>SUM(B41:G41)</x:f>
        <x:v>0</x:v>
      </x:c>
    </x:row>
    <x:row r="42">
      <x:c r="H42" t="n">
        <x:f>SUM(B42:G42)</x:f>
        <x:v>0</x:v>
      </x:c>
    </x:row>
    <x:row r="43">
      <x:c r="H43" t="n">
        <x:f>SUM(B43:G43)</x:f>
        <x:v>0</x:v>
      </x:c>
    </x:row>
    <x:row r="44">
      <x:c r="H44" t="n">
        <x:f>SUM(B44:G44)</x:f>
        <x:v>0</x:v>
      </x:c>
    </x:row>
    <x:row r="45">
      <x:c r="H45" t="n">
        <x:f>SUM(B45:G45)</x:f>
        <x:v>0</x:v>
      </x:c>
    </x:row>
    <x:row r="46">
      <x:c r="H46" t="n">
        <x:f>SUM(B46:G46)</x:f>
        <x:v>0</x:v>
      </x:c>
    </x:row>
    <x:row r="47">
      <x:c r="H47" t="n">
        <x:f>SUM(B47:G47)</x:f>
        <x:v>0</x:v>
      </x:c>
    </x:row>
    <x:row r="48">
      <x:c r="H48" t="n">
        <x:f>SUM(B48:G48)</x:f>
        <x:v>0</x:v>
      </x:c>
    </x:row>
    <x:row r="49">
      <x:c r="H49" t="n">
        <x:f>SUM(B49:G49)</x:f>
        <x:v>0</x:v>
      </x:c>
    </x:row>
    <x:row r="50">
      <x:c r="H50" t="n">
        <x:f>SUM(B50:G50)</x:f>
        <x:v>0</x:v>
      </x:c>
    </x:row>
    <x:row r="51">
      <x:c r="H51" t="n">
        <x:f>SUM(B51:G51)</x:f>
        <x:v>0</x:v>
      </x:c>
    </x:row>
    <x:row r="52">
      <x:c r="H52" t="n">
        <x:f>SUM(B52:G52)</x:f>
        <x:v>0</x:v>
      </x:c>
    </x:row>
    <x:row r="53">
      <x:c r="H53" t="n">
        <x:f>SUM(B53:G53)</x:f>
        <x:v>0</x:v>
      </x:c>
    </x:row>
    <x:row r="54">
      <x:c r="H54" t="n">
        <x:f>SUM(B54:G54)</x:f>
        <x:v>0</x:v>
      </x:c>
    </x:row>
    <x:row r="55">
      <x:c r="H55" t="n">
        <x:f>SUM(B55:G55)</x:f>
        <x:v>0</x:v>
      </x:c>
    </x:row>
    <x:row r="56">
      <x:c r="H56" t="n">
        <x:f>SUM(B56:G56)</x:f>
        <x:v>0</x:v>
      </x:c>
    </x:row>
    <x:row r="57">
      <x:c r="H57" t="n">
        <x:f>SUM(B57:G57)</x:f>
        <x:v>0</x:v>
      </x:c>
    </x:row>
    <x:row r="58">
      <x:c r="H58" t="n">
        <x:f>SUM(B58:G58)</x:f>
        <x:v>0</x:v>
      </x:c>
    </x:row>
    <x:row r="59">
      <x:c r="H59" t="n">
        <x:f>SUM(B59:G59)</x:f>
        <x:v>0</x:v>
      </x:c>
    </x:row>
    <x:row r="60">
      <x:c r="H60" t="n">
        <x:f>SUM(B60:G60)</x:f>
        <x:v>0</x:v>
      </x:c>
    </x:row>
    <x:row r="61">
      <x:c r="H61" t="n">
        <x:f>SUM(B61:G61)</x:f>
        <x:v>0</x:v>
      </x:c>
    </x:row>
    <x:row r="62">
      <x:c r="H62" t="n">
        <x:f>SUM(B62:G62)</x:f>
        <x:v>0</x:v>
      </x:c>
    </x:row>
    <x:row r="63">
      <x:c r="H63" t="n">
        <x:f>SUM(B63:G63)</x:f>
        <x:v>0</x:v>
      </x:c>
    </x:row>
    <x:row r="64">
      <x:c r="H64" t="n">
        <x:f>SUM(B64:G64)</x:f>
        <x:v>0</x:v>
      </x:c>
    </x:row>
    <x:row r="65">
      <x:c r="H65" t="n">
        <x:f>SUM(B65:G65)</x:f>
        <x:v>0</x:v>
      </x:c>
    </x:row>
    <x:row r="66">
      <x:c r="H66" t="n">
        <x:f>SUM(B66:G66)</x:f>
        <x:v>0</x:v>
      </x:c>
    </x:row>
    <x:row r="67">
      <x:c r="H67" t="n">
        <x:f>SUM(B67:G67)</x:f>
        <x:v>0</x:v>
      </x:c>
    </x:row>
    <x:row r="68">
      <x:c r="H68" t="n">
        <x:f>SUM(B68:G68)</x:f>
        <x:v>0</x:v>
      </x:c>
    </x:row>
    <x:row r="69">
      <x:c r="H69" t="n">
        <x:f>SUM(B69:G69)</x:f>
        <x:v>0</x:v>
      </x:c>
    </x:row>
    <x:row r="70">
      <x:c r="H70" t="n">
        <x:f>SUM(B70:G70)</x:f>
        <x:v>0</x:v>
      </x:c>
    </x:row>
    <x:row r="71">
      <x:c r="H71" t="n">
        <x:f>SUM(B71:G71)</x:f>
        <x:v>0</x:v>
      </x:c>
    </x:row>
    <x:row r="72">
      <x:c r="H72" t="n">
        <x:f>SUM(B72:G72)</x:f>
        <x:v>0</x:v>
      </x:c>
    </x:row>
    <x:row r="73">
      <x:c r="H73" t="n">
        <x:f>SUM(B73:G73)</x:f>
        <x:v>0</x:v>
      </x:c>
    </x:row>
    <x:row r="74">
      <x:c r="H74" t="n">
        <x:f>SUM(B74:G74)</x:f>
        <x:v>0</x:v>
      </x:c>
    </x:row>
    <x:row r="75">
      <x:c r="H75" t="n">
        <x:f>SUM(B75:G75)</x:f>
        <x:v>0</x:v>
      </x:c>
    </x:row>
    <x:row r="76">
      <x:c r="H76" t="n">
        <x:f>SUM(B76:G76)</x:f>
        <x:v>0</x:v>
      </x:c>
    </x:row>
    <x:row r="77">
      <x:c r="H77" t="n">
        <x:f>SUM(B77:G77)</x:f>
        <x:v>0</x:v>
      </x:c>
    </x:row>
    <x:row r="78">
      <x:c r="H78" t="n">
        <x:f>SUM(B78:G78)</x:f>
        <x:v>0</x:v>
      </x:c>
    </x:row>
    <x:row r="79">
      <x:c r="H79" t="n">
        <x:f>SUM(B79:G79)</x:f>
        <x:v>0</x:v>
      </x:c>
    </x:row>
    <x:row r="80">
      <x:c r="H80" t="n">
        <x:f>SUM(B80:G80)</x:f>
        <x:v>0</x:v>
      </x:c>
    </x:row>
    <x:row r="81">
      <x:c r="H81" t="n">
        <x:f>SUM(B81:G81)</x:f>
        <x:v>0</x:v>
      </x:c>
    </x:row>
    <x:row r="82">
      <x:c r="H82" t="n">
        <x:f>SUM(B82:G82)</x:f>
        <x:v>0</x:v>
      </x:c>
    </x:row>
    <x:row r="83">
      <x:c r="H83" t="n">
        <x:f>SUM(B83:G83)</x:f>
        <x:v>0</x:v>
      </x:c>
    </x:row>
    <x:row r="84">
      <x:c r="H84" t="n">
        <x:f>SUM(B84:G84)</x:f>
        <x:v>0</x:v>
      </x:c>
    </x:row>
    <x:row r="85">
      <x:c r="H85" t="n">
        <x:f>SUM(B85:G85)</x:f>
        <x:v>0</x:v>
      </x:c>
    </x:row>
    <x:row r="86">
      <x:c r="H86" t="n">
        <x:f>SUM(B86:G86)</x:f>
        <x:v>0</x:v>
      </x:c>
    </x:row>
    <x:row r="87">
      <x:c r="H87" t="n">
        <x:f>SUM(B87:G87)</x:f>
        <x:v>0</x:v>
      </x:c>
    </x:row>
    <x:row r="88">
      <x:c r="H88" t="n">
        <x:f>SUM(B88:G88)</x:f>
        <x:v>0</x:v>
      </x:c>
    </x:row>
    <x:row r="89">
      <x:c r="H89" t="n">
        <x:f>SUM(B89:G89)</x:f>
        <x:v>0</x:v>
      </x:c>
    </x:row>
    <x:row r="90">
      <x:c r="H90" t="n">
        <x:f>SUM(B90:G90)</x:f>
        <x:v>0</x:v>
      </x:c>
    </x:row>
    <x:row r="91">
      <x:c r="H91" t="n">
        <x:f>SUM(B91:G91)</x:f>
        <x:v>0</x:v>
      </x:c>
    </x:row>
    <x:row r="92">
      <x:c r="H92" t="n">
        <x:f>SUM(B92:G92)</x:f>
        <x:v>0</x:v>
      </x:c>
    </x:row>
    <x:row r="93">
      <x:c r="H93" t="n">
        <x:f>SUM(B93:G93)</x:f>
        <x:v>0</x:v>
      </x:c>
    </x:row>
    <x:row r="94">
      <x:c r="H94" t="n">
        <x:f>SUM(B94:G94)</x:f>
        <x:v>0</x:v>
      </x:c>
    </x:row>
    <x:row r="95">
      <x:c r="H95" t="n">
        <x:f>SUM(B95:G95)</x:f>
        <x:v>0</x:v>
      </x:c>
    </x:row>
    <x:row r="96">
      <x:c r="H96" t="n">
        <x:f>SUM(B96:G96)</x:f>
        <x:v>0</x:v>
      </x:c>
    </x:row>
    <x:row r="97">
      <x:c r="H97" t="n">
        <x:f>SUM(B97:G97)</x:f>
        <x:v>0</x:v>
      </x:c>
    </x:row>
    <x:row r="98">
      <x:c r="H98" t="n">
        <x:f>SUM(B98:G98)</x:f>
        <x:v>0</x:v>
      </x:c>
    </x:row>
    <x:row r="99">
      <x:c r="H99" t="n">
        <x:f>SUM(B99:G99)</x:f>
        <x:v>0</x:v>
      </x:c>
    </x:row>
    <x:row r="100">
      <x:c r="H100" t="n">
        <x:f>SUM(B100:G100)</x:f>
        <x:v>0</x:v>
      </x:c>
    </x:row>
    <x:row r="101">
      <x:c r="H101" t="n">
        <x:f>SUM(B101:G101)</x:f>
        <x:v>0</x:v>
      </x:c>
    </x:row>
    <x:row r="102">
      <x:c r="H102" t="n">
        <x:f>SUM(B102:G102)</x:f>
        <x:v>0</x:v>
      </x:c>
    </x:row>
    <x:row r="103">
      <x:c r="H103" t="n">
        <x:f>SUM(B103:G103)</x:f>
        <x:v>0</x:v>
      </x:c>
    </x:row>
    <x:row r="104">
      <x:c r="H104" t="n">
        <x:f>SUM(B104:G104)</x:f>
        <x:v>0</x:v>
      </x:c>
    </x:row>
    <x:row r="105">
      <x:c r="H105" t="n">
        <x:f>SUM(B105:G105)</x:f>
        <x:v>0</x:v>
      </x:c>
    </x:row>
    <x:row r="106">
      <x:c r="H106" t="n">
        <x:f>SUM(B106:G106)</x:f>
        <x:v>0</x:v>
      </x:c>
    </x:row>
    <x:row r="107">
      <x:c r="H107" t="n">
        <x:f>SUM(B107:G107)</x:f>
        <x:v>0</x:v>
      </x:c>
    </x:row>
    <x:row r="108">
      <x:c r="H108" t="n">
        <x:f>SUM(B108:G108)</x:f>
        <x:v>0</x:v>
      </x:c>
    </x:row>
    <x:row r="109">
      <x:c r="H109" t="n">
        <x:f>SUM(B109:G109)</x:f>
        <x:v>0</x:v>
      </x:c>
    </x:row>
    <x:row r="110">
      <x:c r="H110" t="n">
        <x:f>SUM(B110:G110)</x:f>
        <x:v>0</x:v>
      </x:c>
    </x:row>
    <x:row r="111">
      <x:c r="H111" t="n">
        <x:f>SUM(B111:G111)</x:f>
        <x:v>0</x:v>
      </x:c>
    </x:row>
    <x:row r="112">
      <x:c r="H112" t="n">
        <x:f>SUM(B112:G112)</x:f>
        <x:v>0</x:v>
      </x:c>
    </x:row>
    <x:row r="113">
      <x:c r="H113" t="n">
        <x:f>SUM(B113:G113)</x:f>
        <x:v>0</x:v>
      </x:c>
    </x:row>
    <x:row r="114">
      <x:c r="H114" t="n">
        <x:f>SUM(B114:G114)</x:f>
        <x:v>0</x:v>
      </x:c>
    </x:row>
    <x:row r="115">
      <x:c r="H115" t="n">
        <x:f>SUM(B115:G115)</x:f>
        <x:v>0</x:v>
      </x:c>
    </x:row>
    <x:row r="116">
      <x:c r="H116" t="n">
        <x:f>SUM(B116:G116)</x:f>
        <x:v>0</x:v>
      </x:c>
    </x:row>
    <x:row r="117">
      <x:c r="H117" t="n">
        <x:f>SUM(B117:G117)</x:f>
        <x:v>0</x:v>
      </x:c>
    </x:row>
    <x:row r="118">
      <x:c r="H118" t="n">
        <x:f>SUM(B118:G118)</x:f>
        <x:v>0</x:v>
      </x:c>
    </x:row>
    <x:row r="119">
      <x:c r="H119" t="n">
        <x:f>SUM(B119:G119)</x:f>
        <x:v>0</x:v>
      </x:c>
    </x:row>
    <x:row r="120">
      <x:c r="H120" t="n">
        <x:f>SUM(B120:G120)</x:f>
        <x:v>0</x:v>
      </x:c>
    </x:row>
    <x:row r="121">
      <x:c r="H121" t="n">
        <x:f>SUM(B121:G121)</x:f>
        <x:v>0</x:v>
      </x:c>
    </x:row>
    <x:row r="122">
      <x:c r="H122" t="n">
        <x:f>SUM(B122:G122)</x:f>
        <x:v>0</x:v>
      </x:c>
    </x:row>
    <x:row r="123">
      <x:c r="H123" t="n">
        <x:f>SUM(B123:G123)</x:f>
        <x:v>0</x:v>
      </x:c>
    </x:row>
    <x:row r="124">
      <x:c r="H124" t="n">
        <x:f>SUM(B124:G124)</x:f>
        <x:v>0</x:v>
      </x:c>
    </x:row>
    <x:row r="125">
      <x:c r="H125" t="n">
        <x:f>SUM(B125:G125)</x:f>
        <x:v>0</x:v>
      </x:c>
    </x:row>
    <x:row r="126">
      <x:c r="H126" t="n">
        <x:f>SUM(B126:G126)</x:f>
        <x:v>0</x:v>
      </x:c>
    </x:row>
    <x:row r="127">
      <x:c r="H127" t="n">
        <x:f>SUM(B127:G127)</x:f>
        <x:v>0</x:v>
      </x:c>
    </x:row>
    <x:row r="128">
      <x:c r="H128" t="n">
        <x:f>SUM(B128:G128)</x:f>
        <x:v>0</x:v>
      </x:c>
    </x:row>
    <x:row r="129">
      <x:c r="H129" t="n">
        <x:f>SUM(B129:G129)</x:f>
        <x:v>0</x:v>
      </x:c>
    </x:row>
    <x:row r="130">
      <x:c r="H130" t="n">
        <x:f>SUM(B130:G130)</x:f>
        <x:v>0</x:v>
      </x:c>
    </x:row>
    <x:row r="131">
      <x:c r="H131" t="n">
        <x:f>SUM(B131:G131)</x:f>
        <x:v>0</x:v>
      </x:c>
    </x:row>
    <x:row r="132">
      <x:c r="H132" t="n">
        <x:f>SUM(B132:G132)</x:f>
        <x:v>0</x:v>
      </x:c>
    </x:row>
    <x:row r="133">
      <x:c r="H133" t="n">
        <x:f>SUM(B133:G133)</x:f>
        <x:v>0</x:v>
      </x:c>
    </x:row>
    <x:row r="134">
      <x:c r="H134" t="n">
        <x:f>SUM(B134:G134)</x:f>
        <x:v>0</x:v>
      </x:c>
    </x:row>
    <x:row r="135">
      <x:c r="H135" t="n">
        <x:f>SUM(B135:G135)</x:f>
        <x:v>0</x:v>
      </x:c>
    </x:row>
    <x:row r="136">
      <x:c r="H136" t="n">
        <x:f>SUM(B136:G136)</x:f>
        <x:v>0</x:v>
      </x:c>
    </x:row>
    <x:row r="137">
      <x:c r="H137" t="n">
        <x:f>SUM(B137:G137)</x:f>
        <x:v>0</x:v>
      </x:c>
    </x:row>
    <x:row r="138">
      <x:c r="H138" t="n">
        <x:f>SUM(B138:G138)</x:f>
        <x:v>0</x:v>
      </x:c>
    </x:row>
    <x:row r="139">
      <x:c r="H139" t="n">
        <x:f>SUM(B139:G139)</x:f>
        <x:v>0</x:v>
      </x:c>
    </x:row>
    <x:row r="140">
      <x:c r="H140" t="n">
        <x:f>SUM(B140:G140)</x:f>
        <x:v>0</x:v>
      </x:c>
    </x:row>
    <x:row r="141">
      <x:c r="H141" t="n">
        <x:f>SUM(B141:G141)</x:f>
        <x:v>0</x:v>
      </x:c>
    </x:row>
    <x:row r="142">
      <x:c r="H142" t="n">
        <x:f>SUM(B142:G142)</x:f>
        <x:v>0</x:v>
      </x:c>
    </x:row>
    <x:row r="143">
      <x:c r="H143" t="n">
        <x:f>SUM(B143:G143)</x:f>
        <x:v>0</x:v>
      </x:c>
    </x:row>
    <x:row r="144">
      <x:c r="H144" t="n">
        <x:f>SUM(B144:G144)</x:f>
        <x:v>0</x:v>
      </x:c>
    </x:row>
    <x:row r="145">
      <x:c r="H145" t="n">
        <x:f>SUM(B145:G145)</x:f>
        <x:v>0</x:v>
      </x:c>
    </x:row>
    <x:row r="146">
      <x:c r="H146" t="n">
        <x:f>SUM(B146:G146)</x:f>
        <x:v>0</x:v>
      </x:c>
    </x:row>
    <x:row r="147">
      <x:c r="H147" t="n">
        <x:f>SUM(B147:G147)</x:f>
        <x:v>0</x:v>
      </x:c>
    </x:row>
    <x:row r="148">
      <x:c r="H148" t="n">
        <x:f>SUM(B148:G148)</x:f>
        <x:v>0</x:v>
      </x:c>
    </x:row>
    <x:row r="149">
      <x:c r="H149" t="n">
        <x:f>SUM(B149:G149)</x:f>
        <x:v>0</x:v>
      </x:c>
    </x:row>
    <x:row r="150">
      <x:c r="H150" t="n">
        <x:f>SUM(B150:G150)</x:f>
        <x:v>0</x:v>
      </x:c>
    </x:row>
    <x:row r="151">
      <x:c r="H151" t="n">
        <x:f>SUM(B151:G151)</x:f>
        <x:v>0</x:v>
      </x:c>
    </x:row>
    <x:row r="152">
      <x:c r="H152" t="n">
        <x:f>SUM(B152:G152)</x:f>
        <x:v>0</x:v>
      </x:c>
    </x:row>
    <x:row r="153">
      <x:c r="H153" t="n">
        <x:f>SUM(B153:G153)</x:f>
        <x:v>0</x:v>
      </x:c>
    </x:row>
    <x:row r="154">
      <x:c r="H154" t="n">
        <x:f>SUM(B154:G154)</x:f>
        <x:v>0</x:v>
      </x:c>
    </x:row>
    <x:row r="155">
      <x:c r="H155" t="n">
        <x:f>SUM(B155:G155)</x:f>
        <x:v>0</x:v>
      </x:c>
    </x:row>
    <x:row r="156">
      <x:c r="H156" t="n">
        <x:f>SUM(B156:G156)</x:f>
        <x:v>0</x:v>
      </x:c>
    </x:row>
    <x:row r="157">
      <x:c r="H157" t="n">
        <x:f>SUM(B157:G157)</x:f>
        <x:v>0</x:v>
      </x:c>
    </x:row>
    <x:row r="158">
      <x:c r="H158" t="n">
        <x:f>SUM(B158:G158)</x:f>
        <x:v>0</x:v>
      </x:c>
    </x:row>
    <x:row r="159">
      <x:c r="H159" t="n">
        <x:f>SUM(B159:G159)</x:f>
        <x:v>0</x:v>
      </x:c>
    </x:row>
    <x:row r="160">
      <x:c r="H160" t="n">
        <x:f>SUM(B160:G160)</x:f>
        <x:v>0</x:v>
      </x:c>
    </x:row>
    <x:row r="161">
      <x:c r="H161" t="n">
        <x:f>SUM(B161:G161)</x:f>
        <x:v>0</x:v>
      </x:c>
    </x:row>
    <x:row r="162">
      <x:c r="H162" t="n">
        <x:f>SUM(B162:G162)</x:f>
        <x:v>0</x:v>
      </x:c>
    </x:row>
    <x:row r="163">
      <x:c r="H163" t="n">
        <x:f>SUM(B163:G163)</x:f>
        <x:v>0</x:v>
      </x:c>
    </x:row>
    <x:row r="164">
      <x:c r="H164" t="n">
        <x:f>SUM(B164:G164)</x:f>
        <x:v>0</x:v>
      </x:c>
    </x:row>
    <x:row r="165">
      <x:c r="H165" t="n">
        <x:f>SUM(B165:G165)</x:f>
        <x:v>0</x:v>
      </x:c>
    </x:row>
    <x:row r="166">
      <x:c r="H166" t="n">
        <x:f>SUM(B166:G166)</x:f>
        <x:v>0</x:v>
      </x:c>
    </x:row>
    <x:row r="167">
      <x:c r="H167" t="n">
        <x:f>SUM(B167:G167)</x:f>
        <x:v>0</x:v>
      </x:c>
    </x:row>
    <x:row r="168">
      <x:c r="H168" t="n">
        <x:f>SUM(B168:G168)</x:f>
        <x:v>0</x:v>
      </x:c>
    </x:row>
    <x:row r="169">
      <x:c r="H169" t="n">
        <x:f>SUM(B169:G169)</x:f>
        <x:v>0</x:v>
      </x:c>
    </x:row>
    <x:row r="170">
      <x:c r="H170" t="n">
        <x:f>SUM(B170:G170)</x:f>
        <x:v>0</x:v>
      </x:c>
    </x:row>
    <x:row r="171">
      <x:c r="H171" t="n">
        <x:f>SUM(B171:G171)</x:f>
        <x:v>0</x:v>
      </x:c>
    </x:row>
    <x:row r="172">
      <x:c r="H172" t="n">
        <x:f>SUM(B172:G172)</x:f>
        <x:v>0</x:v>
      </x:c>
    </x:row>
    <x:row r="173">
      <x:c r="H173" t="n">
        <x:f>SUM(B173:G173)</x:f>
        <x:v>0</x:v>
      </x:c>
    </x:row>
    <x:row r="174">
      <x:c r="H174" t="n">
        <x:f>SUM(B174:G174)</x:f>
        <x:v>0</x:v>
      </x:c>
    </x:row>
    <x:row r="175">
      <x:c r="H175" t="n">
        <x:f>SUM(B175:G175)</x:f>
        <x:v>0</x:v>
      </x:c>
    </x:row>
    <x:row r="176">
      <x:c r="H176" t="n">
        <x:f>SUM(B176:G176)</x:f>
        <x:v>0</x:v>
      </x:c>
    </x:row>
    <x:row r="177">
      <x:c r="H177" t="n">
        <x:f>SUM(B177:G177)</x:f>
        <x:v>0</x:v>
      </x:c>
    </x:row>
    <x:row r="178">
      <x:c r="H178" t="n">
        <x:f>SUM(B178:G178)</x:f>
        <x:v>0</x:v>
      </x:c>
    </x:row>
    <x:row r="179">
      <x:c r="H179" t="n">
        <x:f>SUM(B179:G179)</x:f>
        <x:v>0</x:v>
      </x:c>
    </x:row>
    <x:row r="180">
      <x:c r="H180" t="n">
        <x:f>SUM(B180:G180)</x:f>
        <x:v>0</x:v>
      </x:c>
    </x:row>
    <x:row r="181">
      <x:c r="H181" t="n">
        <x:f>SUM(B181:G181)</x:f>
        <x:v>0</x:v>
      </x:c>
    </x:row>
    <x:row r="182">
      <x:c r="H182" t="n">
        <x:f>SUM(B182:G182)</x:f>
        <x:v>0</x:v>
      </x:c>
    </x:row>
    <x:row r="183">
      <x:c r="H183" t="n">
        <x:f>SUM(B183:G183)</x:f>
        <x:v>0</x:v>
      </x:c>
    </x:row>
    <x:row r="184">
      <x:c r="H184" t="n">
        <x:f>SUM(B184:G184)</x:f>
        <x:v>0</x:v>
      </x:c>
    </x:row>
    <x:row r="185">
      <x:c r="H185" t="n">
        <x:f>SUM(B185:G185)</x:f>
        <x:v>0</x:v>
      </x:c>
    </x:row>
    <x:row r="186">
      <x:c r="H186" t="n">
        <x:f>SUM(B186:G186)</x:f>
        <x:v>0</x:v>
      </x:c>
    </x:row>
    <x:row r="187">
      <x:c r="H187" t="n">
        <x:f>SUM(B187:G187)</x:f>
        <x:v>0</x:v>
      </x:c>
    </x:row>
    <x:row r="188">
      <x:c r="H188" t="n">
        <x:f>SUM(B188:G188)</x:f>
        <x:v>0</x:v>
      </x:c>
    </x:row>
    <x:row r="189">
      <x:c r="H189" t="n">
        <x:f>SUM(B189:G189)</x:f>
        <x:v>0</x:v>
      </x:c>
    </x:row>
    <x:row r="190">
      <x:c r="H190" t="n">
        <x:f>SUM(B190:G190)</x:f>
        <x:v>0</x:v>
      </x:c>
    </x:row>
    <x:row r="191">
      <x:c r="H191" t="n">
        <x:f>SUM(B191:G191)</x:f>
        <x:v>0</x:v>
      </x:c>
    </x:row>
    <x:row r="192">
      <x:c r="H192" t="n">
        <x:f>SUM(B192:G192)</x:f>
        <x:v>0</x:v>
      </x:c>
    </x:row>
    <x:row r="193">
      <x:c r="H193" t="n">
        <x:f>SUM(B193:G193)</x:f>
        <x:v>0</x:v>
      </x:c>
    </x:row>
    <x:row r="194">
      <x:c r="H194" t="n">
        <x:f>SUM(B194:G194)</x:f>
        <x:v>0</x:v>
      </x:c>
    </x:row>
    <x:row r="195">
      <x:c r="H195" t="n">
        <x:f>SUM(B195:G195)</x:f>
        <x:v>0</x:v>
      </x:c>
    </x:row>
    <x:row r="196">
      <x:c r="H196" t="n">
        <x:f>SUM(B196:G196)</x:f>
        <x:v>0</x:v>
      </x:c>
    </x:row>
    <x:row r="197">
      <x:c r="H197" t="n">
        <x:f>SUM(B197:G197)</x:f>
        <x:v>0</x:v>
      </x:c>
    </x:row>
    <x:row r="198">
      <x:c r="H198" t="n">
        <x:f>SUM(B198:G198)</x:f>
        <x:v>0</x:v>
      </x:c>
    </x:row>
    <x:row r="199">
      <x:c r="H199" t="n">
        <x:f>SUM(B199:G199)</x:f>
        <x:v>0</x:v>
      </x:c>
    </x:row>
    <x:row r="200">
      <x:c r="H200" t="n">
        <x:f>SUM(B200:G200)</x:f>
        <x:v>0</x:v>
      </x:c>
    </x:row>
    <x:row r="201">
      <x:c r="H201" t="n">
        <x:f>SUM(B201:G201)</x:f>
        <x:v>0</x:v>
      </x:c>
    </x:row>
    <x:row r="202">
      <x:c r="H202" t="n">
        <x:f>SUM(B202:G202)</x:f>
        <x:v>0</x:v>
      </x:c>
    </x:row>
    <x:row r="203">
      <x:c r="H203" t="n">
        <x:f>SUM(B203:G203)</x:f>
        <x:v>0</x:v>
      </x:c>
    </x:row>
    <x:row r="204">
      <x:c r="H204" t="n">
        <x:f>SUM(B204:G204)</x:f>
        <x:v>0</x:v>
      </x:c>
    </x:row>
    <x:row r="205">
      <x:c r="H205" t="n">
        <x:f>SUM(B205:G205)</x:f>
        <x:v>0</x:v>
      </x:c>
    </x:row>
    <x:row r="206">
      <x:c r="H206" t="n">
        <x:f>SUM(B206:G206)</x:f>
        <x:v>0</x:v>
      </x:c>
    </x:row>
    <x:row r="207">
      <x:c r="H207" t="n">
        <x:f>SUM(B207:G207)</x:f>
        <x:v>0</x:v>
      </x:c>
    </x:row>
    <x:row r="208">
      <x:c r="H208" t="n">
        <x:f>SUM(B208:G208)</x:f>
        <x:v>0</x:v>
      </x:c>
    </x:row>
    <x:row r="209">
      <x:c r="H209" t="n">
        <x:f>SUM(B209:G209)</x:f>
        <x:v>0</x:v>
      </x:c>
    </x:row>
    <x:row r="210">
      <x:c r="H210" t="n">
        <x:f>SUM(B210:G210)</x:f>
        <x:v>0</x:v>
      </x:c>
    </x:row>
    <x:row r="211">
      <x:c r="H211" t="n">
        <x:f>SUM(B211:G211)</x:f>
        <x:v>0</x:v>
      </x:c>
    </x:row>
    <x:row r="212">
      <x:c r="H212" t="n">
        <x:f>SUM(B212:G212)</x:f>
        <x:v>0</x:v>
      </x:c>
    </x:row>
    <x:row r="213">
      <x:c r="H213" t="n">
        <x:f>SUM(B213:G213)</x:f>
        <x:v>0</x:v>
      </x:c>
    </x:row>
    <x:row r="214">
      <x:c r="H214" t="n">
        <x:f>SUM(B214:G214)</x:f>
        <x:v>0</x:v>
      </x:c>
    </x:row>
    <x:row r="215">
      <x:c r="H215" t="n">
        <x:f>SUM(B215:G215)</x:f>
        <x:v>0</x:v>
      </x:c>
    </x:row>
    <x:row r="216">
      <x:c r="H216" t="n">
        <x:f>SUM(B216:G216)</x:f>
        <x:v>0</x:v>
      </x:c>
    </x:row>
    <x:row r="217">
      <x:c r="H217" t="n">
        <x:f>SUM(B217:G217)</x:f>
        <x:v>0</x:v>
      </x:c>
    </x:row>
    <x:row r="218">
      <x:c r="H218" t="n">
        <x:f>SUM(B218:G218)</x:f>
        <x:v>0</x:v>
      </x:c>
    </x:row>
    <x:row r="219">
      <x:c r="H219" t="n">
        <x:f>SUM(B219:G219)</x:f>
        <x:v>0</x:v>
      </x:c>
    </x:row>
    <x:row r="220">
      <x:c r="H220" t="n">
        <x:f>SUM(B220:G220)</x:f>
        <x:v>0</x:v>
      </x:c>
    </x:row>
    <x:row r="221">
      <x:c r="H221" t="n">
        <x:f>SUM(B221:G221)</x:f>
        <x:v>0</x:v>
      </x:c>
    </x:row>
    <x:row r="222">
      <x:c r="H222" t="n">
        <x:f>SUM(B222:G222)</x:f>
        <x:v>0</x:v>
      </x:c>
    </x:row>
    <x:row r="223">
      <x:c r="H223" t="n">
        <x:f>SUM(B223:G223)</x:f>
        <x:v>0</x:v>
      </x:c>
    </x:row>
    <x:row r="224">
      <x:c r="H224" t="n">
        <x:f>SUM(B224:G224)</x:f>
        <x:v>0</x:v>
      </x:c>
    </x:row>
    <x:row r="225">
      <x:c r="H225" t="n">
        <x:f>SUM(B225:G225)</x:f>
        <x:v>0</x:v>
      </x:c>
    </x:row>
    <x:row r="226">
      <x:c r="H226" t="n">
        <x:f>SUM(B226:G226)</x:f>
        <x:v>0</x:v>
      </x:c>
    </x:row>
    <x:row r="227">
      <x:c r="H227" t="n">
        <x:f>SUM(B227:G227)</x:f>
        <x:v>0</x:v>
      </x:c>
    </x:row>
    <x:row r="228">
      <x:c r="H228" t="n">
        <x:f>SUM(B228:G228)</x:f>
        <x:v>0</x:v>
      </x:c>
    </x:row>
    <x:row r="229">
      <x:c r="H229" t="n">
        <x:f>SUM(B229:G229)</x:f>
        <x:v>0</x:v>
      </x:c>
    </x:row>
    <x:row r="230">
      <x:c r="H230" t="n">
        <x:f>SUM(B230:G230)</x:f>
        <x:v>0</x:v>
      </x:c>
    </x:row>
    <x:row r="231">
      <x:c r="H231" t="n">
        <x:f>SUM(B231:G231)</x:f>
        <x:v>0</x:v>
      </x:c>
    </x:row>
    <x:row r="232">
      <x:c r="H232" t="n">
        <x:f>SUM(B232:G232)</x:f>
        <x:v>0</x:v>
      </x:c>
    </x:row>
    <x:row r="233">
      <x:c r="H233" t="n">
        <x:f>SUM(B233:G233)</x:f>
        <x:v>0</x:v>
      </x:c>
    </x:row>
    <x:row r="234">
      <x:c r="H234" t="n">
        <x:f>SUM(B234:G234)</x:f>
        <x:v>0</x:v>
      </x:c>
    </x:row>
    <x:row r="235">
      <x:c r="H235" t="n">
        <x:f>SUM(B235:G235)</x:f>
        <x:v>0</x:v>
      </x:c>
    </x:row>
    <x:row r="236">
      <x:c r="H236" t="n">
        <x:f>SUM(B236:G236)</x:f>
        <x:v>0</x:v>
      </x:c>
    </x:row>
    <x:row r="237">
      <x:c r="H237" t="n">
        <x:f>SUM(B237:G237)</x:f>
        <x:v>0</x:v>
      </x:c>
    </x:row>
    <x:row r="238">
      <x:c r="H238" t="n">
        <x:f>SUM(B238:G238)</x:f>
        <x:v>0</x:v>
      </x:c>
    </x:row>
    <x:row r="239">
      <x:c r="H239" t="n">
        <x:f>SUM(B239:G239)</x:f>
        <x:v>0</x:v>
      </x:c>
    </x:row>
    <x:row r="240">
      <x:c r="H240" t="n">
        <x:f>SUM(B240:G240)</x:f>
        <x:v>0</x:v>
      </x:c>
    </x:row>
    <x:row r="241">
      <x:c r="H241" t="n">
        <x:f>SUM(B241:G241)</x:f>
        <x:v>0</x:v>
      </x:c>
    </x:row>
    <x:row r="242">
      <x:c r="H242" t="n">
        <x:f>SUM(B242:G242)</x:f>
        <x:v>0</x:v>
      </x:c>
    </x:row>
    <x:row r="243">
      <x:c r="H243" t="n">
        <x:f>SUM(B243:G243)</x:f>
        <x:v>0</x:v>
      </x:c>
    </x:row>
    <x:row r="244">
      <x:c r="H244" t="n">
        <x:f>SUM(B244:G244)</x:f>
        <x:v>0</x:v>
      </x:c>
    </x:row>
    <x:row r="245">
      <x:c r="H245" t="n">
        <x:f>SUM(B245:G245)</x:f>
        <x:v>0</x:v>
      </x:c>
    </x:row>
    <x:row r="246">
      <x:c r="H246" t="n">
        <x:f>SUM(B246:G246)</x:f>
        <x:v>0</x:v>
      </x:c>
    </x:row>
    <x:row r="247">
      <x:c r="H247" t="n">
        <x:f>SUM(B247:G247)</x:f>
        <x:v>0</x:v>
      </x:c>
    </x:row>
    <x:row r="248">
      <x:c r="H248" t="n">
        <x:f>SUM(B248:G248)</x:f>
        <x:v>0</x:v>
      </x:c>
    </x:row>
    <x:row r="249">
      <x:c r="H249" t="n">
        <x:f>SUM(B249:G249)</x:f>
        <x:v>0</x:v>
      </x:c>
    </x:row>
    <x:row r="250">
      <x:c r="H250" t="n">
        <x:f>SUM(B250:G250)</x:f>
        <x:v>0</x:v>
      </x:c>
    </x:row>
    <x:row r="251">
      <x:c r="H251" t="n">
        <x:f>SUM(B251:G251)</x:f>
        <x:v>0</x:v>
      </x:c>
    </x:row>
    <x:row r="252">
      <x:c r="H252" t="n">
        <x:f>SUM(B252:G252)</x:f>
        <x:v>0</x:v>
      </x:c>
    </x:row>
    <x:row r="253">
      <x:c r="H253" t="n">
        <x:f>SUM(B253:G253)</x:f>
        <x:v>0</x:v>
      </x:c>
    </x:row>
    <x:row r="254">
      <x:c r="H254" t="n">
        <x:f>SUM(B254:G254)</x:f>
        <x:v>0</x:v>
      </x:c>
    </x:row>
    <x:row r="255">
      <x:c r="H255" t="n">
        <x:f>SUM(B255:G255)</x:f>
        <x:v>0</x:v>
      </x:c>
    </x:row>
    <x:row r="256">
      <x:c r="H256" t="n">
        <x:f>SUM(B256:G256)</x:f>
        <x:v>0</x:v>
      </x:c>
    </x:row>
    <x:row r="257">
      <x:c r="H257" t="n">
        <x:f>SUM(B257:G257)</x:f>
        <x:v>0</x:v>
      </x:c>
    </x:row>
    <x:row r="258">
      <x:c r="H258" t="n">
        <x:f>SUM(B258:G258)</x:f>
        <x:v>0</x:v>
      </x:c>
    </x:row>
    <x:row r="259">
      <x:c r="H259" t="n">
        <x:f>SUM(B259:G259)</x:f>
        <x:v>0</x:v>
      </x:c>
    </x:row>
    <x:row r="260">
      <x:c r="H260" t="n">
        <x:f>SUM(B260:G260)</x:f>
        <x:v>0</x:v>
      </x:c>
    </x:row>
    <x:row r="261">
      <x:c r="H261" t="n">
        <x:f>SUM(B261:G261)</x:f>
        <x:v>0</x:v>
      </x:c>
    </x:row>
    <x:row r="262">
      <x:c r="H262" t="n">
        <x:f>SUM(B262:G262)</x:f>
        <x:v>0</x:v>
      </x:c>
    </x:row>
    <x:row r="263">
      <x:c r="H263" t="n">
        <x:f>SUM(B263:G263)</x:f>
        <x:v>0</x:v>
      </x:c>
    </x:row>
    <x:row r="264">
      <x:c r="H264" t="n">
        <x:f>SUM(B264:G264)</x:f>
        <x:v>0</x:v>
      </x:c>
    </x:row>
    <x:row r="265">
      <x:c r="H265" t="n">
        <x:f>SUM(B265:G265)</x:f>
        <x:v>0</x:v>
      </x:c>
    </x:row>
    <x:row r="266">
      <x:c r="H266" t="n">
        <x:f>SUM(B266:G266)</x:f>
        <x:v>0</x:v>
      </x:c>
    </x:row>
    <x:row r="267">
      <x:c r="H267" t="n">
        <x:f>SUM(B267:G267)</x:f>
        <x:v>0</x:v>
      </x:c>
    </x:row>
    <x:row r="268">
      <x:c r="H268" t="n">
        <x:f>SUM(B268:G268)</x:f>
        <x:v>0</x:v>
      </x:c>
    </x:row>
    <x:row r="269">
      <x:c r="H269" t="n">
        <x:f>SUM(B269:G269)</x:f>
        <x:v>0</x:v>
      </x:c>
    </x:row>
    <x:row r="270">
      <x:c r="H270" t="n">
        <x:f>SUM(B270:G270)</x:f>
        <x:v>0</x:v>
      </x:c>
    </x:row>
    <x:row r="271">
      <x:c r="H271" t="n">
        <x:f>SUM(B271:G271)</x:f>
        <x:v>0</x:v>
      </x:c>
    </x:row>
    <x:row r="272">
      <x:c r="H272" t="n">
        <x:f>SUM(B272:G272)</x:f>
        <x:v>0</x:v>
      </x:c>
    </x:row>
    <x:row r="273">
      <x:c r="H273" t="n">
        <x:f>SUM(B273:G273)</x:f>
        <x:v>0</x:v>
      </x:c>
    </x:row>
    <x:row r="274">
      <x:c r="H274" t="n">
        <x:f>SUM(B274:G274)</x:f>
        <x:v>0</x:v>
      </x:c>
    </x:row>
    <x:row r="275">
      <x:c r="H275" t="n">
        <x:f>SUM(B275:G275)</x:f>
        <x:v>0</x:v>
      </x:c>
    </x:row>
    <x:row r="276">
      <x:c r="H276" t="n">
        <x:f>SUM(B276:G276)</x:f>
        <x:v>0</x:v>
      </x:c>
    </x:row>
    <x:row r="277">
      <x:c r="H277" t="n">
        <x:f>SUM(B277:G277)</x:f>
        <x:v>0</x:v>
      </x:c>
    </x:row>
    <x:row r="278">
      <x:c r="H278" t="n">
        <x:f>SUM(B278:G278)</x:f>
        <x:v>0</x:v>
      </x:c>
    </x:row>
    <x:row r="279">
      <x:c r="H279" t="n">
        <x:f>SUM(B279:G279)</x:f>
        <x:v>0</x:v>
      </x:c>
    </x:row>
    <x:row r="280">
      <x:c r="H280" t="n">
        <x:f>SUM(B280:G280)</x:f>
        <x:v>0</x:v>
      </x:c>
    </x:row>
    <x:row r="281">
      <x:c r="H281" t="n">
        <x:f>SUM(B281:G281)</x:f>
        <x:v>0</x:v>
      </x:c>
    </x:row>
    <x:row r="282">
      <x:c r="H282" t="n">
        <x:f>SUM(B282:G282)</x:f>
        <x:v>0</x:v>
      </x:c>
    </x:row>
    <x:row r="283">
      <x:c r="H283" t="n">
        <x:f>SUM(B283:G283)</x:f>
        <x:v>0</x:v>
      </x:c>
    </x:row>
    <x:row r="284">
      <x:c r="H284" t="n">
        <x:f>SUM(B284:G284)</x:f>
        <x:v>0</x:v>
      </x:c>
    </x:row>
    <x:row r="285">
      <x:c r="H285" t="n">
        <x:f>SUM(B285:G285)</x:f>
        <x:v>0</x:v>
      </x:c>
    </x:row>
    <x:row r="286">
      <x:c r="H286" t="n">
        <x:f>SUM(B286:G286)</x:f>
        <x:v>0</x:v>
      </x:c>
    </x:row>
    <x:row r="287">
      <x:c r="H287" t="n">
        <x:f>SUM(B287:G287)</x:f>
        <x:v>0</x:v>
      </x:c>
    </x:row>
    <x:row r="288">
      <x:c r="H288" t="n">
        <x:f>SUM(B288:G288)</x:f>
        <x:v>0</x:v>
      </x:c>
    </x:row>
    <x:row r="289">
      <x:c r="H289" t="n">
        <x:f>SUM(B289:G289)</x:f>
        <x:v>0</x:v>
      </x:c>
    </x:row>
    <x:row r="290">
      <x:c r="H290" t="n">
        <x:f>SUM(B290:G290)</x:f>
        <x:v>0</x:v>
      </x:c>
    </x:row>
    <x:row r="291">
      <x:c r="H291" t="n">
        <x:f>SUM(B291:G291)</x:f>
        <x:v>0</x:v>
      </x:c>
    </x:row>
    <x:row r="292">
      <x:c r="H292" t="n">
        <x:f>SUM(B292:G292)</x:f>
        <x:v>0</x:v>
      </x:c>
    </x:row>
    <x:row r="293">
      <x:c r="H293" t="n">
        <x:f>SUM(B293:G293)</x:f>
        <x:v>0</x:v>
      </x:c>
    </x:row>
    <x:row r="294">
      <x:c r="H294" t="n">
        <x:f>SUM(B294:G294)</x:f>
        <x:v>0</x:v>
      </x:c>
    </x:row>
    <x:row r="295">
      <x:c r="H295" t="n">
        <x:f>SUM(B295:G295)</x:f>
        <x:v>0</x:v>
      </x:c>
    </x:row>
    <x:row r="296">
      <x:c r="H296" t="n">
        <x:f>SUM(B296:G296)</x:f>
        <x:v>0</x:v>
      </x:c>
    </x:row>
    <x:row r="297">
      <x:c r="H297" t="n">
        <x:f>SUM(B297:G297)</x:f>
        <x:v>0</x:v>
      </x:c>
    </x:row>
    <x:row r="298">
      <x:c r="H298" t="n">
        <x:f>SUM(B298:G298)</x:f>
        <x:v>0</x:v>
      </x:c>
    </x:row>
    <x:row r="299">
      <x:c r="H299" t="n">
        <x:f>SUM(B299:G299)</x:f>
        <x:v>0</x:v>
      </x:c>
    </x:row>
    <x:row r="300">
      <x:c r="H300" t="n">
        <x:f>SUM(B300:G300)</x:f>
        <x:v>0</x:v>
      </x:c>
    </x:row>
    <x:row r="301">
      <x:c r="H301" t="n">
        <x:f>SUM(B301:G301)</x:f>
        <x:v>0</x:v>
      </x:c>
    </x:row>
    <x:row r="302">
      <x:c r="H302" t="n">
        <x:f>SUM(B302:G302)</x:f>
        <x:v>0</x:v>
      </x:c>
    </x:row>
    <x:row r="303">
      <x:c r="H303" t="n">
        <x:f>SUM(B303:G303)</x:f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55823e5b50348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Risk Results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Scenario ID</x:v>
      </x:c>
      <x:c r="B3" s="12" t="str">
        <x:v>Loss Event Frequency</x:v>
      </x:c>
      <x:c r="C3" s="12" t="str">
        <x:v>Total Loss Magnitude</x:v>
      </x:c>
      <x:c r="D3" s="12" t="str">
        <x:v>Annualized Loss Exposure</x:v>
      </x:c>
      <x:c r="E3" s="12" t="str">
        <x:v>Risk Tier</x:v>
      </x:c>
      <x:c r="F3" s="12" t="str">
        <x:v>Decision</x:v>
      </x:c>
      <x:c r="G3" s="12" t="str">
        <x:v>Owner</x:v>
      </x:c>
      <x:c r="H3" s="12" t="str">
        <x:v>Status</x:v>
      </x:c>
    </x:row>
    <x:row r="4">
      <x:c r="A4" s="20" t="str">
        <x:v>FAIR-001</x:v>
      </x:c>
      <x:c r="B4" s="20" t="n">
        <x:f>'Frequency Analysis'!H4</x:f>
        <x:v>14.399999999999999</x:v>
      </x:c>
      <x:c r="C4" s="20" t="n">
        <x:f>'Loss Magnitude'!H4</x:f>
        <x:v>345000</x:v>
      </x:c>
      <x:c r="D4" s="20" t="n">
        <x:f>B4*C4</x:f>
        <x:v>4967999.999999999</x:v>
      </x:c>
      <x:c r="E4" s="20" t="str">
        <x:f>IF(D4&gt;=500000,"Critical",IF(D4&gt;=250000,"High",IF(D4&gt;=100000,"Moderate","Low")))</x:f>
        <x:v>Critical</x:v>
      </x:c>
      <x:c r="F4" s="20" t="str">
        <x:v>Reduce</x:v>
      </x:c>
      <x:c r="G4" s="20" t="str">
        <x:v>Risk Owner</x:v>
      </x:c>
      <x:c r="H4" s="20" t="str">
        <x:v>In Progress</x:v>
      </x:c>
    </x:row>
    <x:row r="5">
      <x:c r="A5" s="20" t="str">
        <x:v>FAIR-002</x:v>
      </x:c>
      <x:c r="B5" s="20" t="n">
        <x:f>'Frequency Analysis'!H5</x:f>
        <x:v>3</x:v>
      </x:c>
      <x:c r="C5" s="20" t="n">
        <x:f>'Loss Magnitude'!H5</x:f>
        <x:v>495000</x:v>
      </x:c>
      <x:c r="D5" s="20" t="n">
        <x:f>B5*C5</x:f>
        <x:v>1485000</x:v>
      </x:c>
      <x:c r="E5" s="20" t="str">
        <x:f>IF(D5&gt;=500000,"Critical",IF(D5&gt;=250000,"High",IF(D5&gt;=100000,"Moderate","Low")))</x:f>
        <x:v>Critical</x:v>
      </x:c>
      <x:c r="F5" s="20" t="str">
        <x:v>Reduce / Transfer</x:v>
      </x:c>
      <x:c r="G5" s="20" t="str">
        <x:v>Risk Owner</x:v>
      </x:c>
      <x:c r="H5" s="20" t="str">
        <x:v>Planned</x:v>
      </x:c>
    </x:row>
    <x:row r="6">
      <x:c r="A6" s="20" t="str">
        <x:v>FAIR-003</x:v>
      </x:c>
      <x:c r="B6" s="20" t="n">
        <x:f>'Frequency Analysis'!H6</x:f>
        <x:v>0.26666666666666666</x:v>
      </x:c>
      <x:c r="C6" s="20" t="n">
        <x:f>'Loss Magnitude'!H6</x:f>
        <x:v>835000</x:v>
      </x:c>
      <x:c r="D6" s="20" t="n">
        <x:f>B6*C6</x:f>
        <x:v>222666.66666666666</x:v>
      </x:c>
      <x:c r="E6" s="20" t="str">
        <x:f>IF(D6&gt;=500000,"Critical",IF(D6&gt;=250000,"High",IF(D6&gt;=100000,"Moderate","Low")))</x:f>
        <x:v>Moderate</x:v>
      </x:c>
      <x:c r="F6" s="20" t="str">
        <x:v>Reduce</x:v>
      </x:c>
      <x:c r="G6" s="20" t="str">
        <x:v>Risk Owner</x:v>
      </x:c>
      <x:c r="H6" s="20" t="str">
        <x:v>Needs Review</x:v>
      </x:c>
    </x:row>
    <x:row r="7">
      <x:c r="A7" s="20"/>
      <x:c r="B7" s="20" t="n">
        <x:f>'Frequency Analysis'!H7</x:f>
        <x:v>0</x:v>
      </x:c>
      <x:c r="C7" s="20" t="n">
        <x:f>'Loss Magnitude'!H7</x:f>
        <x:v>0</x:v>
      </x:c>
      <x:c r="D7" s="20" t="n">
        <x:f>B7*C7</x:f>
        <x:v>0</x:v>
      </x:c>
      <x:c r="E7" s="20" t="str">
        <x:f>IF(D7&gt;=500000,"Critical",IF(D7&gt;=250000,"High",IF(D7&gt;=100000,"Moderate","Low")))</x:f>
        <x:v>Low</x:v>
      </x:c>
      <x:c r="F7" s="20"/>
      <x:c r="G7" s="20"/>
      <x:c r="H7" s="20"/>
    </x:row>
    <x:row r="8">
      <x:c r="A8" s="20"/>
      <x:c r="B8" s="20" t="n">
        <x:f>'Frequency Analysis'!H8</x:f>
        <x:v>0</x:v>
      </x:c>
      <x:c r="C8" s="20" t="n">
        <x:f>'Loss Magnitude'!H8</x:f>
        <x:v>0</x:v>
      </x:c>
      <x:c r="D8" s="20" t="n">
        <x:f>B8*C8</x:f>
        <x:v>0</x:v>
      </x:c>
      <x:c r="E8" s="20" t="str">
        <x:f>IF(D8&gt;=500000,"Critical",IF(D8&gt;=250000,"High",IF(D8&gt;=100000,"Moderate","Low")))</x:f>
        <x:v>Low</x:v>
      </x:c>
      <x:c r="F8" s="20"/>
      <x:c r="G8" s="20"/>
      <x:c r="H8" s="20"/>
    </x:row>
    <x:row r="9">
      <x:c r="A9" s="20"/>
      <x:c r="B9" s="20" t="n">
        <x:f>'Frequency Analysis'!H9</x:f>
        <x:v>0</x:v>
      </x:c>
      <x:c r="C9" s="20" t="n">
        <x:f>'Loss Magnitude'!H9</x:f>
        <x:v>0</x:v>
      </x:c>
      <x:c r="D9" s="20" t="n">
        <x:f>B9*C9</x:f>
        <x:v>0</x:v>
      </x:c>
      <x:c r="E9" s="20" t="str">
        <x:f>IF(D9&gt;=500000,"Critical",IF(D9&gt;=250000,"High",IF(D9&gt;=100000,"Moderate","Low")))</x:f>
        <x:v>Low</x:v>
      </x:c>
      <x:c r="F9" s="20"/>
      <x:c r="G9" s="20"/>
      <x:c r="H9" s="20"/>
    </x:row>
    <x:row r="10">
      <x:c r="A10" s="20"/>
      <x:c r="B10" s="20" t="n">
        <x:f>'Frequency Analysis'!H10</x:f>
        <x:v>0</x:v>
      </x:c>
      <x:c r="C10" s="20" t="n">
        <x:f>'Loss Magnitude'!H10</x:f>
        <x:v>0</x:v>
      </x:c>
      <x:c r="D10" s="20" t="n">
        <x:f>B10*C10</x:f>
        <x:v>0</x:v>
      </x:c>
      <x:c r="E10" s="20" t="str">
        <x:f>IF(D10&gt;=500000,"Critical",IF(D10&gt;=250000,"High",IF(D10&gt;=100000,"Moderate","Low")))</x:f>
        <x:v>Low</x:v>
      </x:c>
      <x:c r="F10" s="20"/>
      <x:c r="G10" s="20"/>
      <x:c r="H10" s="20"/>
    </x:row>
    <x:row r="11">
      <x:c r="A11" s="20"/>
      <x:c r="B11" s="20" t="n">
        <x:f>'Frequency Analysis'!H11</x:f>
        <x:v>0</x:v>
      </x:c>
      <x:c r="C11" s="20" t="n">
        <x:f>'Loss Magnitude'!H11</x:f>
        <x:v>0</x:v>
      </x:c>
      <x:c r="D11" s="20" t="n">
        <x:f>B11*C11</x:f>
        <x:v>0</x:v>
      </x:c>
      <x:c r="E11" s="20" t="str">
        <x:f>IF(D11&gt;=500000,"Critical",IF(D11&gt;=250000,"High",IF(D11&gt;=100000,"Moderate","Low")))</x:f>
        <x:v>Low</x:v>
      </x:c>
      <x:c r="F11" s="20"/>
      <x:c r="G11" s="20"/>
      <x:c r="H11" s="20"/>
    </x:row>
    <x:row r="12">
      <x:c r="A12" s="20"/>
      <x:c r="B12" s="20" t="n">
        <x:f>'Frequency Analysis'!H12</x:f>
        <x:v>0</x:v>
      </x:c>
      <x:c r="C12" s="20" t="n">
        <x:f>'Loss Magnitude'!H12</x:f>
        <x:v>0</x:v>
      </x:c>
      <x:c r="D12" s="20" t="n">
        <x:f>B12*C12</x:f>
        <x:v>0</x:v>
      </x:c>
      <x:c r="E12" s="20" t="str">
        <x:f>IF(D12&gt;=500000,"Critical",IF(D12&gt;=250000,"High",IF(D12&gt;=100000,"Moderate","Low")))</x:f>
        <x:v>Low</x:v>
      </x:c>
      <x:c r="F12" s="20"/>
      <x:c r="G12" s="20"/>
      <x:c r="H12" s="20"/>
    </x:row>
    <x:row r="13">
      <x:c r="A13" s="20"/>
      <x:c r="B13" s="20" t="n">
        <x:f>'Frequency Analysis'!H13</x:f>
        <x:v>0</x:v>
      </x:c>
      <x:c r="C13" s="20" t="n">
        <x:f>'Loss Magnitude'!H13</x:f>
        <x:v>0</x:v>
      </x:c>
      <x:c r="D13" s="20" t="n">
        <x:f>B13*C13</x:f>
        <x:v>0</x:v>
      </x:c>
      <x:c r="E13" s="20" t="str">
        <x:f>IF(D13&gt;=500000,"Critical",IF(D13&gt;=250000,"High",IF(D13&gt;=100000,"Moderate","Low")))</x:f>
        <x:v>Low</x:v>
      </x:c>
      <x:c r="F13" s="20"/>
      <x:c r="G13" s="20"/>
      <x:c r="H13" s="20"/>
    </x:row>
    <x:row r="14">
      <x:c r="A14" s="20"/>
      <x:c r="B14" s="20" t="n">
        <x:f>'Frequency Analysis'!H14</x:f>
        <x:v>0</x:v>
      </x:c>
      <x:c r="C14" s="20" t="n">
        <x:f>'Loss Magnitude'!H14</x:f>
        <x:v>0</x:v>
      </x:c>
      <x:c r="D14" s="20" t="n">
        <x:f>B14*C14</x:f>
        <x:v>0</x:v>
      </x:c>
      <x:c r="E14" s="20" t="str">
        <x:f>IF(D14&gt;=500000,"Critical",IF(D14&gt;=250000,"High",IF(D14&gt;=100000,"Moderate","Low")))</x:f>
        <x:v>Low</x:v>
      </x:c>
      <x:c r="F14" s="20"/>
      <x:c r="G14" s="20"/>
      <x:c r="H14" s="20"/>
    </x:row>
    <x:row r="15">
      <x:c r="A15" s="20"/>
      <x:c r="B15" s="20" t="n">
        <x:f>'Frequency Analysis'!H15</x:f>
        <x:v>0</x:v>
      </x:c>
      <x:c r="C15" s="20" t="n">
        <x:f>'Loss Magnitude'!H15</x:f>
        <x:v>0</x:v>
      </x:c>
      <x:c r="D15" s="20" t="n">
        <x:f>B15*C15</x:f>
        <x:v>0</x:v>
      </x:c>
      <x:c r="E15" s="20" t="str">
        <x:f>IF(D15&gt;=500000,"Critical",IF(D15&gt;=250000,"High",IF(D15&gt;=100000,"Moderate","Low")))</x:f>
        <x:v>Low</x:v>
      </x:c>
      <x:c r="F15" s="20"/>
      <x:c r="G15" s="20"/>
      <x:c r="H15" s="20"/>
    </x:row>
    <x:row r="16">
      <x:c r="A16" s="20"/>
      <x:c r="B16" s="20" t="n">
        <x:f>'Frequency Analysis'!H16</x:f>
        <x:v>0</x:v>
      </x:c>
      <x:c r="C16" s="20" t="n">
        <x:f>'Loss Magnitude'!H16</x:f>
        <x:v>0</x:v>
      </x:c>
      <x:c r="D16" s="20" t="n">
        <x:f>B16*C16</x:f>
        <x:v>0</x:v>
      </x:c>
      <x:c r="E16" s="20" t="str">
        <x:f>IF(D16&gt;=500000,"Critical",IF(D16&gt;=250000,"High",IF(D16&gt;=100000,"Moderate","Low")))</x:f>
        <x:v>Low</x:v>
      </x:c>
      <x:c r="F16" s="20"/>
      <x:c r="G16" s="20"/>
      <x:c r="H16" s="20"/>
    </x:row>
    <x:row r="17">
      <x:c r="A17" s="20"/>
      <x:c r="B17" s="20" t="n">
        <x:f>'Frequency Analysis'!H17</x:f>
        <x:v>0</x:v>
      </x:c>
      <x:c r="C17" s="20" t="n">
        <x:f>'Loss Magnitude'!H17</x:f>
        <x:v>0</x:v>
      </x:c>
      <x:c r="D17" s="20" t="n">
        <x:f>B17*C17</x:f>
        <x:v>0</x:v>
      </x:c>
      <x:c r="E17" s="20" t="str">
        <x:f>IF(D17&gt;=500000,"Critical",IF(D17&gt;=250000,"High",IF(D17&gt;=100000,"Moderate","Low")))</x:f>
        <x:v>Low</x:v>
      </x:c>
      <x:c r="F17" s="20"/>
      <x:c r="G17" s="20"/>
      <x:c r="H17" s="20"/>
    </x:row>
    <x:row r="18">
      <x:c r="A18" s="20"/>
      <x:c r="B18" s="20" t="n">
        <x:f>'Frequency Analysis'!H18</x:f>
        <x:v>0</x:v>
      </x:c>
      <x:c r="C18" s="20" t="n">
        <x:f>'Loss Magnitude'!H18</x:f>
        <x:v>0</x:v>
      </x:c>
      <x:c r="D18" s="20" t="n">
        <x:f>B18*C18</x:f>
        <x:v>0</x:v>
      </x:c>
      <x:c r="E18" s="20" t="str">
        <x:f>IF(D18&gt;=500000,"Critical",IF(D18&gt;=250000,"High",IF(D18&gt;=100000,"Moderate","Low")))</x:f>
        <x:v>Low</x:v>
      </x:c>
      <x:c r="F18" s="20"/>
      <x:c r="G18" s="20"/>
      <x:c r="H18" s="20"/>
    </x:row>
    <x:row r="19">
      <x:c r="A19" s="20"/>
      <x:c r="B19" s="20" t="n">
        <x:f>'Frequency Analysis'!H19</x:f>
        <x:v>0</x:v>
      </x:c>
      <x:c r="C19" s="20" t="n">
        <x:f>'Loss Magnitude'!H19</x:f>
        <x:v>0</x:v>
      </x:c>
      <x:c r="D19" s="20" t="n">
        <x:f>B19*C19</x:f>
        <x:v>0</x:v>
      </x:c>
      <x:c r="E19" s="20" t="str">
        <x:f>IF(D19&gt;=500000,"Critical",IF(D19&gt;=250000,"High",IF(D19&gt;=100000,"Moderate","Low")))</x:f>
        <x:v>Low</x:v>
      </x:c>
      <x:c r="F19" s="20"/>
      <x:c r="G19" s="20"/>
      <x:c r="H19" s="20"/>
    </x:row>
    <x:row r="20">
      <x:c r="A20" s="20"/>
      <x:c r="B20" s="20" t="n">
        <x:f>'Frequency Analysis'!H20</x:f>
        <x:v>0</x:v>
      </x:c>
      <x:c r="C20" s="20" t="n">
        <x:f>'Loss Magnitude'!H20</x:f>
        <x:v>0</x:v>
      </x:c>
      <x:c r="D20" s="20" t="n">
        <x:f>B20*C20</x:f>
        <x:v>0</x:v>
      </x:c>
      <x:c r="E20" s="20" t="str">
        <x:f>IF(D20&gt;=500000,"Critical",IF(D20&gt;=250000,"High",IF(D20&gt;=100000,"Moderate","Low")))</x:f>
        <x:v>Low</x:v>
      </x:c>
      <x:c r="F20" s="20"/>
      <x:c r="G20" s="20"/>
      <x:c r="H20" s="20"/>
    </x:row>
    <x:row r="21">
      <x:c r="B21" t="n">
        <x:f>'Frequency Analysis'!H21</x:f>
        <x:v>0</x:v>
      </x:c>
      <x:c r="C21" t="n">
        <x:f>'Loss Magnitude'!H21</x:f>
        <x:v>0</x:v>
      </x:c>
      <x:c r="D21" t="n">
        <x:f>B21*C21</x:f>
        <x:v>0</x:v>
      </x:c>
      <x:c r="E21" t="str">
        <x:f>IF(D21&gt;=500000,"Critical",IF(D21&gt;=250000,"High",IF(D21&gt;=100000,"Moderate","Low")))</x:f>
        <x:v>Low</x:v>
      </x:c>
    </x:row>
    <x:row r="22">
      <x:c r="B22" t="n">
        <x:f>'Frequency Analysis'!H22</x:f>
        <x:v>0</x:v>
      </x:c>
      <x:c r="C22" t="n">
        <x:f>'Loss Magnitude'!H22</x:f>
        <x:v>0</x:v>
      </x:c>
      <x:c r="D22" t="n">
        <x:f>B22*C22</x:f>
        <x:v>0</x:v>
      </x:c>
      <x:c r="E22" t="str">
        <x:f>IF(D22&gt;=500000,"Critical",IF(D22&gt;=250000,"High",IF(D22&gt;=100000,"Moderate","Low")))</x:f>
        <x:v>Low</x:v>
      </x:c>
    </x:row>
    <x:row r="23">
      <x:c r="B23" t="n">
        <x:f>'Frequency Analysis'!H23</x:f>
        <x:v>0</x:v>
      </x:c>
      <x:c r="C23" t="n">
        <x:f>'Loss Magnitude'!H23</x:f>
        <x:v>0</x:v>
      </x:c>
      <x:c r="D23" t="n">
        <x:f>B23*C23</x:f>
        <x:v>0</x:v>
      </x:c>
      <x:c r="E23" t="str">
        <x:f>IF(D23&gt;=500000,"Critical",IF(D23&gt;=250000,"High",IF(D23&gt;=100000,"Moderate","Low")))</x:f>
        <x:v>Low</x:v>
      </x:c>
    </x:row>
    <x:row r="24">
      <x:c r="B24" t="n">
        <x:f>'Frequency Analysis'!H24</x:f>
        <x:v>0</x:v>
      </x:c>
      <x:c r="C24" t="n">
        <x:f>'Loss Magnitude'!H24</x:f>
        <x:v>0</x:v>
      </x:c>
      <x:c r="D24" t="n">
        <x:f>B24*C24</x:f>
        <x:v>0</x:v>
      </x:c>
      <x:c r="E24" t="str">
        <x:f>IF(D24&gt;=500000,"Critical",IF(D24&gt;=250000,"High",IF(D24&gt;=100000,"Moderate","Low")))</x:f>
        <x:v>Low</x:v>
      </x:c>
    </x:row>
    <x:row r="25">
      <x:c r="B25" t="n">
        <x:f>'Frequency Analysis'!H25</x:f>
        <x:v>0</x:v>
      </x:c>
      <x:c r="C25" t="n">
        <x:f>'Loss Magnitude'!H25</x:f>
        <x:v>0</x:v>
      </x:c>
      <x:c r="D25" t="n">
        <x:f>B25*C25</x:f>
        <x:v>0</x:v>
      </x:c>
      <x:c r="E25" t="str">
        <x:f>IF(D25&gt;=500000,"Critical",IF(D25&gt;=250000,"High",IF(D25&gt;=100000,"Moderate","Low")))</x:f>
        <x:v>Low</x:v>
      </x:c>
    </x:row>
    <x:row r="26">
      <x:c r="B26" t="n">
        <x:f>'Frequency Analysis'!H26</x:f>
        <x:v>0</x:v>
      </x:c>
      <x:c r="C26" t="n">
        <x:f>'Loss Magnitude'!H26</x:f>
        <x:v>0</x:v>
      </x:c>
      <x:c r="D26" t="n">
        <x:f>B26*C26</x:f>
        <x:v>0</x:v>
      </x:c>
      <x:c r="E26" t="str">
        <x:f>IF(D26&gt;=500000,"Critical",IF(D26&gt;=250000,"High",IF(D26&gt;=100000,"Moderate","Low")))</x:f>
        <x:v>Low</x:v>
      </x:c>
    </x:row>
    <x:row r="27">
      <x:c r="B27" t="n">
        <x:f>'Frequency Analysis'!H27</x:f>
        <x:v>0</x:v>
      </x:c>
      <x:c r="C27" t="n">
        <x:f>'Loss Magnitude'!H27</x:f>
        <x:v>0</x:v>
      </x:c>
      <x:c r="D27" t="n">
        <x:f>B27*C27</x:f>
        <x:v>0</x:v>
      </x:c>
      <x:c r="E27" t="str">
        <x:f>IF(D27&gt;=500000,"Critical",IF(D27&gt;=250000,"High",IF(D27&gt;=100000,"Moderate","Low")))</x:f>
        <x:v>Low</x:v>
      </x:c>
    </x:row>
    <x:row r="28">
      <x:c r="B28" t="n">
        <x:f>'Frequency Analysis'!H28</x:f>
        <x:v>0</x:v>
      </x:c>
      <x:c r="C28" t="n">
        <x:f>'Loss Magnitude'!H28</x:f>
        <x:v>0</x:v>
      </x:c>
      <x:c r="D28" t="n">
        <x:f>B28*C28</x:f>
        <x:v>0</x:v>
      </x:c>
      <x:c r="E28" t="str">
        <x:f>IF(D28&gt;=500000,"Critical",IF(D28&gt;=250000,"High",IF(D28&gt;=100000,"Moderate","Low")))</x:f>
        <x:v>Low</x:v>
      </x:c>
    </x:row>
    <x:row r="29">
      <x:c r="B29" t="n">
        <x:f>'Frequency Analysis'!H29</x:f>
        <x:v>0</x:v>
      </x:c>
      <x:c r="C29" t="n">
        <x:f>'Loss Magnitude'!H29</x:f>
        <x:v>0</x:v>
      </x:c>
      <x:c r="D29" t="n">
        <x:f>B29*C29</x:f>
        <x:v>0</x:v>
      </x:c>
      <x:c r="E29" t="str">
        <x:f>IF(D29&gt;=500000,"Critical",IF(D29&gt;=250000,"High",IF(D29&gt;=100000,"Moderate","Low")))</x:f>
        <x:v>Low</x:v>
      </x:c>
    </x:row>
    <x:row r="30">
      <x:c r="B30" t="n">
        <x:f>'Frequency Analysis'!H30</x:f>
        <x:v>0</x:v>
      </x:c>
      <x:c r="C30" t="n">
        <x:f>'Loss Magnitude'!H30</x:f>
        <x:v>0</x:v>
      </x:c>
      <x:c r="D30" t="n">
        <x:f>B30*C30</x:f>
        <x:v>0</x:v>
      </x:c>
      <x:c r="E30" t="str">
        <x:f>IF(D30&gt;=500000,"Critical",IF(D30&gt;=250000,"High",IF(D30&gt;=100000,"Moderate","Low")))</x:f>
        <x:v>Low</x:v>
      </x:c>
    </x:row>
    <x:row r="31">
      <x:c r="B31" t="n">
        <x:f>'Frequency Analysis'!H31</x:f>
        <x:v>0</x:v>
      </x:c>
      <x:c r="C31" t="n">
        <x:f>'Loss Magnitude'!H31</x:f>
        <x:v>0</x:v>
      </x:c>
      <x:c r="D31" t="n">
        <x:f>B31*C31</x:f>
        <x:v>0</x:v>
      </x:c>
      <x:c r="E31" t="str">
        <x:f>IF(D31&gt;=500000,"Critical",IF(D31&gt;=250000,"High",IF(D31&gt;=100000,"Moderate","Low")))</x:f>
        <x:v>Low</x:v>
      </x:c>
    </x:row>
    <x:row r="32">
      <x:c r="B32" t="n">
        <x:f>'Frequency Analysis'!H32</x:f>
        <x:v>0</x:v>
      </x:c>
      <x:c r="C32" t="n">
        <x:f>'Loss Magnitude'!H32</x:f>
        <x:v>0</x:v>
      </x:c>
      <x:c r="D32" t="n">
        <x:f>B32*C32</x:f>
        <x:v>0</x:v>
      </x:c>
      <x:c r="E32" t="str">
        <x:f>IF(D32&gt;=500000,"Critical",IF(D32&gt;=250000,"High",IF(D32&gt;=100000,"Moderate","Low")))</x:f>
        <x:v>Low</x:v>
      </x:c>
    </x:row>
    <x:row r="33">
      <x:c r="B33" t="n">
        <x:f>'Frequency Analysis'!H33</x:f>
        <x:v>0</x:v>
      </x:c>
      <x:c r="C33" t="n">
        <x:f>'Loss Magnitude'!H33</x:f>
        <x:v>0</x:v>
      </x:c>
      <x:c r="D33" t="n">
        <x:f>B33*C33</x:f>
        <x:v>0</x:v>
      </x:c>
      <x:c r="E33" t="str">
        <x:f>IF(D33&gt;=500000,"Critical",IF(D33&gt;=250000,"High",IF(D33&gt;=100000,"Moderate","Low")))</x:f>
        <x:v>Low</x:v>
      </x:c>
    </x:row>
    <x:row r="34">
      <x:c r="B34" t="n">
        <x:f>'Frequency Analysis'!H34</x:f>
        <x:v>0</x:v>
      </x:c>
      <x:c r="C34" t="n">
        <x:f>'Loss Magnitude'!H34</x:f>
        <x:v>0</x:v>
      </x:c>
      <x:c r="D34" t="n">
        <x:f>B34*C34</x:f>
        <x:v>0</x:v>
      </x:c>
      <x:c r="E34" t="str">
        <x:f>IF(D34&gt;=500000,"Critical",IF(D34&gt;=250000,"High",IF(D34&gt;=100000,"Moderate","Low")))</x:f>
        <x:v>Low</x:v>
      </x:c>
    </x:row>
    <x:row r="35">
      <x:c r="B35" t="n">
        <x:f>'Frequency Analysis'!H35</x:f>
        <x:v>0</x:v>
      </x:c>
      <x:c r="C35" t="n">
        <x:f>'Loss Magnitude'!H35</x:f>
        <x:v>0</x:v>
      </x:c>
      <x:c r="D35" t="n">
        <x:f>B35*C35</x:f>
        <x:v>0</x:v>
      </x:c>
      <x:c r="E35" t="str">
        <x:f>IF(D35&gt;=500000,"Critical",IF(D35&gt;=250000,"High",IF(D35&gt;=100000,"Moderate","Low")))</x:f>
        <x:v>Low</x:v>
      </x:c>
    </x:row>
    <x:row r="36">
      <x:c r="B36" t="n">
        <x:f>'Frequency Analysis'!H36</x:f>
        <x:v>0</x:v>
      </x:c>
      <x:c r="C36" t="n">
        <x:f>'Loss Magnitude'!H36</x:f>
        <x:v>0</x:v>
      </x:c>
      <x:c r="D36" t="n">
        <x:f>B36*C36</x:f>
        <x:v>0</x:v>
      </x:c>
      <x:c r="E36" t="str">
        <x:f>IF(D36&gt;=500000,"Critical",IF(D36&gt;=250000,"High",IF(D36&gt;=100000,"Moderate","Low")))</x:f>
        <x:v>Low</x:v>
      </x:c>
    </x:row>
    <x:row r="37">
      <x:c r="B37" t="n">
        <x:f>'Frequency Analysis'!H37</x:f>
        <x:v>0</x:v>
      </x:c>
      <x:c r="C37" t="n">
        <x:f>'Loss Magnitude'!H37</x:f>
        <x:v>0</x:v>
      </x:c>
      <x:c r="D37" t="n">
        <x:f>B37*C37</x:f>
        <x:v>0</x:v>
      </x:c>
      <x:c r="E37" t="str">
        <x:f>IF(D37&gt;=500000,"Critical",IF(D37&gt;=250000,"High",IF(D37&gt;=100000,"Moderate","Low")))</x:f>
        <x:v>Low</x:v>
      </x:c>
    </x:row>
    <x:row r="38">
      <x:c r="B38" t="n">
        <x:f>'Frequency Analysis'!H38</x:f>
        <x:v>0</x:v>
      </x:c>
      <x:c r="C38" t="n">
        <x:f>'Loss Magnitude'!H38</x:f>
        <x:v>0</x:v>
      </x:c>
      <x:c r="D38" t="n">
        <x:f>B38*C38</x:f>
        <x:v>0</x:v>
      </x:c>
      <x:c r="E38" t="str">
        <x:f>IF(D38&gt;=500000,"Critical",IF(D38&gt;=250000,"High",IF(D38&gt;=100000,"Moderate","Low")))</x:f>
        <x:v>Low</x:v>
      </x:c>
    </x:row>
    <x:row r="39">
      <x:c r="B39" t="n">
        <x:f>'Frequency Analysis'!H39</x:f>
        <x:v>0</x:v>
      </x:c>
      <x:c r="C39" t="n">
        <x:f>'Loss Magnitude'!H39</x:f>
        <x:v>0</x:v>
      </x:c>
      <x:c r="D39" t="n">
        <x:f>B39*C39</x:f>
        <x:v>0</x:v>
      </x:c>
      <x:c r="E39" t="str">
        <x:f>IF(D39&gt;=500000,"Critical",IF(D39&gt;=250000,"High",IF(D39&gt;=100000,"Moderate","Low")))</x:f>
        <x:v>Low</x:v>
      </x:c>
    </x:row>
    <x:row r="40">
      <x:c r="B40" t="n">
        <x:f>'Frequency Analysis'!H40</x:f>
        <x:v>0</x:v>
      </x:c>
      <x:c r="C40" t="n">
        <x:f>'Loss Magnitude'!H40</x:f>
        <x:v>0</x:v>
      </x:c>
      <x:c r="D40" t="n">
        <x:f>B40*C40</x:f>
        <x:v>0</x:v>
      </x:c>
      <x:c r="E40" t="str">
        <x:f>IF(D40&gt;=500000,"Critical",IF(D40&gt;=250000,"High",IF(D40&gt;=100000,"Moderate","Low")))</x:f>
        <x:v>Low</x:v>
      </x:c>
    </x:row>
    <x:row r="41">
      <x:c r="B41" t="n">
        <x:f>'Frequency Analysis'!H41</x:f>
        <x:v>0</x:v>
      </x:c>
      <x:c r="C41" t="n">
        <x:f>'Loss Magnitude'!H41</x:f>
        <x:v>0</x:v>
      </x:c>
      <x:c r="D41" t="n">
        <x:f>B41*C41</x:f>
        <x:v>0</x:v>
      </x:c>
      <x:c r="E41" t="str">
        <x:f>IF(D41&gt;=500000,"Critical",IF(D41&gt;=250000,"High",IF(D41&gt;=100000,"Moderate","Low")))</x:f>
        <x:v>Low</x:v>
      </x:c>
    </x:row>
    <x:row r="42">
      <x:c r="B42" t="n">
        <x:f>'Frequency Analysis'!H42</x:f>
        <x:v>0</x:v>
      </x:c>
      <x:c r="C42" t="n">
        <x:f>'Loss Magnitude'!H42</x:f>
        <x:v>0</x:v>
      </x:c>
      <x:c r="D42" t="n">
        <x:f>B42*C42</x:f>
        <x:v>0</x:v>
      </x:c>
      <x:c r="E42" t="str">
        <x:f>IF(D42&gt;=500000,"Critical",IF(D42&gt;=250000,"High",IF(D42&gt;=100000,"Moderate","Low")))</x:f>
        <x:v>Low</x:v>
      </x:c>
    </x:row>
    <x:row r="43">
      <x:c r="B43" t="n">
        <x:f>'Frequency Analysis'!H43</x:f>
        <x:v>0</x:v>
      </x:c>
      <x:c r="C43" t="n">
        <x:f>'Loss Magnitude'!H43</x:f>
        <x:v>0</x:v>
      </x:c>
      <x:c r="D43" t="n">
        <x:f>B43*C43</x:f>
        <x:v>0</x:v>
      </x:c>
      <x:c r="E43" t="str">
        <x:f>IF(D43&gt;=500000,"Critical",IF(D43&gt;=250000,"High",IF(D43&gt;=100000,"Moderate","Low")))</x:f>
        <x:v>Low</x:v>
      </x:c>
    </x:row>
    <x:row r="44">
      <x:c r="B44" t="n">
        <x:f>'Frequency Analysis'!H44</x:f>
        <x:v>0</x:v>
      </x:c>
      <x:c r="C44" t="n">
        <x:f>'Loss Magnitude'!H44</x:f>
        <x:v>0</x:v>
      </x:c>
      <x:c r="D44" t="n">
        <x:f>B44*C44</x:f>
        <x:v>0</x:v>
      </x:c>
      <x:c r="E44" t="str">
        <x:f>IF(D44&gt;=500000,"Critical",IF(D44&gt;=250000,"High",IF(D44&gt;=100000,"Moderate","Low")))</x:f>
        <x:v>Low</x:v>
      </x:c>
    </x:row>
    <x:row r="45">
      <x:c r="B45" t="n">
        <x:f>'Frequency Analysis'!H45</x:f>
        <x:v>0</x:v>
      </x:c>
      <x:c r="C45" t="n">
        <x:f>'Loss Magnitude'!H45</x:f>
        <x:v>0</x:v>
      </x:c>
      <x:c r="D45" t="n">
        <x:f>B45*C45</x:f>
        <x:v>0</x:v>
      </x:c>
      <x:c r="E45" t="str">
        <x:f>IF(D45&gt;=500000,"Critical",IF(D45&gt;=250000,"High",IF(D45&gt;=100000,"Moderate","Low")))</x:f>
        <x:v>Low</x:v>
      </x:c>
    </x:row>
    <x:row r="46">
      <x:c r="B46" t="n">
        <x:f>'Frequency Analysis'!H46</x:f>
        <x:v>0</x:v>
      </x:c>
      <x:c r="C46" t="n">
        <x:f>'Loss Magnitude'!H46</x:f>
        <x:v>0</x:v>
      </x:c>
      <x:c r="D46" t="n">
        <x:f>B46*C46</x:f>
        <x:v>0</x:v>
      </x:c>
      <x:c r="E46" t="str">
        <x:f>IF(D46&gt;=500000,"Critical",IF(D46&gt;=250000,"High",IF(D46&gt;=100000,"Moderate","Low")))</x:f>
        <x:v>Low</x:v>
      </x:c>
    </x:row>
    <x:row r="47">
      <x:c r="B47" t="n">
        <x:f>'Frequency Analysis'!H47</x:f>
        <x:v>0</x:v>
      </x:c>
      <x:c r="C47" t="n">
        <x:f>'Loss Magnitude'!H47</x:f>
        <x:v>0</x:v>
      </x:c>
      <x:c r="D47" t="n">
        <x:f>B47*C47</x:f>
        <x:v>0</x:v>
      </x:c>
      <x:c r="E47" t="str">
        <x:f>IF(D47&gt;=500000,"Critical",IF(D47&gt;=250000,"High",IF(D47&gt;=100000,"Moderate","Low")))</x:f>
        <x:v>Low</x:v>
      </x:c>
    </x:row>
    <x:row r="48">
      <x:c r="B48" t="n">
        <x:f>'Frequency Analysis'!H48</x:f>
        <x:v>0</x:v>
      </x:c>
      <x:c r="C48" t="n">
        <x:f>'Loss Magnitude'!H48</x:f>
        <x:v>0</x:v>
      </x:c>
      <x:c r="D48" t="n">
        <x:f>B48*C48</x:f>
        <x:v>0</x:v>
      </x:c>
      <x:c r="E48" t="str">
        <x:f>IF(D48&gt;=500000,"Critical",IF(D48&gt;=250000,"High",IF(D48&gt;=100000,"Moderate","Low")))</x:f>
        <x:v>Low</x:v>
      </x:c>
    </x:row>
    <x:row r="49">
      <x:c r="B49" t="n">
        <x:f>'Frequency Analysis'!H49</x:f>
        <x:v>0</x:v>
      </x:c>
      <x:c r="C49" t="n">
        <x:f>'Loss Magnitude'!H49</x:f>
        <x:v>0</x:v>
      </x:c>
      <x:c r="D49" t="n">
        <x:f>B49*C49</x:f>
        <x:v>0</x:v>
      </x:c>
      <x:c r="E49" t="str">
        <x:f>IF(D49&gt;=500000,"Critical",IF(D49&gt;=250000,"High",IF(D49&gt;=100000,"Moderate","Low")))</x:f>
        <x:v>Low</x:v>
      </x:c>
    </x:row>
    <x:row r="50">
      <x:c r="B50" t="n">
        <x:f>'Frequency Analysis'!H50</x:f>
        <x:v>0</x:v>
      </x:c>
      <x:c r="C50" t="n">
        <x:f>'Loss Magnitude'!H50</x:f>
        <x:v>0</x:v>
      </x:c>
      <x:c r="D50" t="n">
        <x:f>B50*C50</x:f>
        <x:v>0</x:v>
      </x:c>
      <x:c r="E50" t="str">
        <x:f>IF(D50&gt;=500000,"Critical",IF(D50&gt;=250000,"High",IF(D50&gt;=100000,"Moderate","Low")))</x:f>
        <x:v>Low</x:v>
      </x:c>
    </x:row>
    <x:row r="51">
      <x:c r="B51" t="n">
        <x:f>'Frequency Analysis'!H51</x:f>
        <x:v>0</x:v>
      </x:c>
      <x:c r="C51" t="n">
        <x:f>'Loss Magnitude'!H51</x:f>
        <x:v>0</x:v>
      </x:c>
      <x:c r="D51" t="n">
        <x:f>B51*C51</x:f>
        <x:v>0</x:v>
      </x:c>
      <x:c r="E51" t="str">
        <x:f>IF(D51&gt;=500000,"Critical",IF(D51&gt;=250000,"High",IF(D51&gt;=100000,"Moderate","Low")))</x:f>
        <x:v>Low</x:v>
      </x:c>
    </x:row>
    <x:row r="52">
      <x:c r="B52" t="n">
        <x:f>'Frequency Analysis'!H52</x:f>
        <x:v>0</x:v>
      </x:c>
      <x:c r="C52" t="n">
        <x:f>'Loss Magnitude'!H52</x:f>
        <x:v>0</x:v>
      </x:c>
      <x:c r="D52" t="n">
        <x:f>B52*C52</x:f>
        <x:v>0</x:v>
      </x:c>
      <x:c r="E52" t="str">
        <x:f>IF(D52&gt;=500000,"Critical",IF(D52&gt;=250000,"High",IF(D52&gt;=100000,"Moderate","Low")))</x:f>
        <x:v>Low</x:v>
      </x:c>
    </x:row>
    <x:row r="53">
      <x:c r="B53" t="n">
        <x:f>'Frequency Analysis'!H53</x:f>
        <x:v>0</x:v>
      </x:c>
      <x:c r="C53" t="n">
        <x:f>'Loss Magnitude'!H53</x:f>
        <x:v>0</x:v>
      </x:c>
      <x:c r="D53" t="n">
        <x:f>B53*C53</x:f>
        <x:v>0</x:v>
      </x:c>
      <x:c r="E53" t="str">
        <x:f>IF(D53&gt;=500000,"Critical",IF(D53&gt;=250000,"High",IF(D53&gt;=100000,"Moderate","Low")))</x:f>
        <x:v>Low</x:v>
      </x:c>
    </x:row>
    <x:row r="54">
      <x:c r="B54" t="n">
        <x:f>'Frequency Analysis'!H54</x:f>
        <x:v>0</x:v>
      </x:c>
      <x:c r="C54" t="n">
        <x:f>'Loss Magnitude'!H54</x:f>
        <x:v>0</x:v>
      </x:c>
      <x:c r="D54" t="n">
        <x:f>B54*C54</x:f>
        <x:v>0</x:v>
      </x:c>
      <x:c r="E54" t="str">
        <x:f>IF(D54&gt;=500000,"Critical",IF(D54&gt;=250000,"High",IF(D54&gt;=100000,"Moderate","Low")))</x:f>
        <x:v>Low</x:v>
      </x:c>
    </x:row>
    <x:row r="55">
      <x:c r="B55" t="n">
        <x:f>'Frequency Analysis'!H55</x:f>
        <x:v>0</x:v>
      </x:c>
      <x:c r="C55" t="n">
        <x:f>'Loss Magnitude'!H55</x:f>
        <x:v>0</x:v>
      </x:c>
      <x:c r="D55" t="n">
        <x:f>B55*C55</x:f>
        <x:v>0</x:v>
      </x:c>
      <x:c r="E55" t="str">
        <x:f>IF(D55&gt;=500000,"Critical",IF(D55&gt;=250000,"High",IF(D55&gt;=100000,"Moderate","Low")))</x:f>
        <x:v>Low</x:v>
      </x:c>
    </x:row>
    <x:row r="56">
      <x:c r="B56" t="n">
        <x:f>'Frequency Analysis'!H56</x:f>
        <x:v>0</x:v>
      </x:c>
      <x:c r="C56" t="n">
        <x:f>'Loss Magnitude'!H56</x:f>
        <x:v>0</x:v>
      </x:c>
      <x:c r="D56" t="n">
        <x:f>B56*C56</x:f>
        <x:v>0</x:v>
      </x:c>
      <x:c r="E56" t="str">
        <x:f>IF(D56&gt;=500000,"Critical",IF(D56&gt;=250000,"High",IF(D56&gt;=100000,"Moderate","Low")))</x:f>
        <x:v>Low</x:v>
      </x:c>
    </x:row>
    <x:row r="57">
      <x:c r="B57" t="n">
        <x:f>'Frequency Analysis'!H57</x:f>
        <x:v>0</x:v>
      </x:c>
      <x:c r="C57" t="n">
        <x:f>'Loss Magnitude'!H57</x:f>
        <x:v>0</x:v>
      </x:c>
      <x:c r="D57" t="n">
        <x:f>B57*C57</x:f>
        <x:v>0</x:v>
      </x:c>
      <x:c r="E57" t="str">
        <x:f>IF(D57&gt;=500000,"Critical",IF(D57&gt;=250000,"High",IF(D57&gt;=100000,"Moderate","Low")))</x:f>
        <x:v>Low</x:v>
      </x:c>
    </x:row>
    <x:row r="58">
      <x:c r="B58" t="n">
        <x:f>'Frequency Analysis'!H58</x:f>
        <x:v>0</x:v>
      </x:c>
      <x:c r="C58" t="n">
        <x:f>'Loss Magnitude'!H58</x:f>
        <x:v>0</x:v>
      </x:c>
      <x:c r="D58" t="n">
        <x:f>B58*C58</x:f>
        <x:v>0</x:v>
      </x:c>
      <x:c r="E58" t="str">
        <x:f>IF(D58&gt;=500000,"Critical",IF(D58&gt;=250000,"High",IF(D58&gt;=100000,"Moderate","Low")))</x:f>
        <x:v>Low</x:v>
      </x:c>
    </x:row>
    <x:row r="59">
      <x:c r="B59" t="n">
        <x:f>'Frequency Analysis'!H59</x:f>
        <x:v>0</x:v>
      </x:c>
      <x:c r="C59" t="n">
        <x:f>'Loss Magnitude'!H59</x:f>
        <x:v>0</x:v>
      </x:c>
      <x:c r="D59" t="n">
        <x:f>B59*C59</x:f>
        <x:v>0</x:v>
      </x:c>
      <x:c r="E59" t="str">
        <x:f>IF(D59&gt;=500000,"Critical",IF(D59&gt;=250000,"High",IF(D59&gt;=100000,"Moderate","Low")))</x:f>
        <x:v>Low</x:v>
      </x:c>
    </x:row>
    <x:row r="60">
      <x:c r="B60" t="n">
        <x:f>'Frequency Analysis'!H60</x:f>
        <x:v>0</x:v>
      </x:c>
      <x:c r="C60" t="n">
        <x:f>'Loss Magnitude'!H60</x:f>
        <x:v>0</x:v>
      </x:c>
      <x:c r="D60" t="n">
        <x:f>B60*C60</x:f>
        <x:v>0</x:v>
      </x:c>
      <x:c r="E60" t="str">
        <x:f>IF(D60&gt;=500000,"Critical",IF(D60&gt;=250000,"High",IF(D60&gt;=100000,"Moderate","Low")))</x:f>
        <x:v>Low</x:v>
      </x:c>
    </x:row>
    <x:row r="61">
      <x:c r="B61" t="n">
        <x:f>'Frequency Analysis'!H61</x:f>
        <x:v>0</x:v>
      </x:c>
      <x:c r="C61" t="n">
        <x:f>'Loss Magnitude'!H61</x:f>
        <x:v>0</x:v>
      </x:c>
      <x:c r="D61" t="n">
        <x:f>B61*C61</x:f>
        <x:v>0</x:v>
      </x:c>
      <x:c r="E61" t="str">
        <x:f>IF(D61&gt;=500000,"Critical",IF(D61&gt;=250000,"High",IF(D61&gt;=100000,"Moderate","Low")))</x:f>
        <x:v>Low</x:v>
      </x:c>
    </x:row>
    <x:row r="62">
      <x:c r="B62" t="n">
        <x:f>'Frequency Analysis'!H62</x:f>
        <x:v>0</x:v>
      </x:c>
      <x:c r="C62" t="n">
        <x:f>'Loss Magnitude'!H62</x:f>
        <x:v>0</x:v>
      </x:c>
      <x:c r="D62" t="n">
        <x:f>B62*C62</x:f>
        <x:v>0</x:v>
      </x:c>
      <x:c r="E62" t="str">
        <x:f>IF(D62&gt;=500000,"Critical",IF(D62&gt;=250000,"High",IF(D62&gt;=100000,"Moderate","Low")))</x:f>
        <x:v>Low</x:v>
      </x:c>
    </x:row>
    <x:row r="63">
      <x:c r="B63" t="n">
        <x:f>'Frequency Analysis'!H63</x:f>
        <x:v>0</x:v>
      </x:c>
      <x:c r="C63" t="n">
        <x:f>'Loss Magnitude'!H63</x:f>
        <x:v>0</x:v>
      </x:c>
      <x:c r="D63" t="n">
        <x:f>B63*C63</x:f>
        <x:v>0</x:v>
      </x:c>
      <x:c r="E63" t="str">
        <x:f>IF(D63&gt;=500000,"Critical",IF(D63&gt;=250000,"High",IF(D63&gt;=100000,"Moderate","Low")))</x:f>
        <x:v>Low</x:v>
      </x:c>
    </x:row>
    <x:row r="64">
      <x:c r="B64" t="n">
        <x:f>'Frequency Analysis'!H64</x:f>
        <x:v>0</x:v>
      </x:c>
      <x:c r="C64" t="n">
        <x:f>'Loss Magnitude'!H64</x:f>
        <x:v>0</x:v>
      </x:c>
      <x:c r="D64" t="n">
        <x:f>B64*C64</x:f>
        <x:v>0</x:v>
      </x:c>
      <x:c r="E64" t="str">
        <x:f>IF(D64&gt;=500000,"Critical",IF(D64&gt;=250000,"High",IF(D64&gt;=100000,"Moderate","Low")))</x:f>
        <x:v>Low</x:v>
      </x:c>
    </x:row>
    <x:row r="65">
      <x:c r="B65" t="n">
        <x:f>'Frequency Analysis'!H65</x:f>
        <x:v>0</x:v>
      </x:c>
      <x:c r="C65" t="n">
        <x:f>'Loss Magnitude'!H65</x:f>
        <x:v>0</x:v>
      </x:c>
      <x:c r="D65" t="n">
        <x:f>B65*C65</x:f>
        <x:v>0</x:v>
      </x:c>
      <x:c r="E65" t="str">
        <x:f>IF(D65&gt;=500000,"Critical",IF(D65&gt;=250000,"High",IF(D65&gt;=100000,"Moderate","Low")))</x:f>
        <x:v>Low</x:v>
      </x:c>
    </x:row>
    <x:row r="66">
      <x:c r="B66" t="n">
        <x:f>'Frequency Analysis'!H66</x:f>
        <x:v>0</x:v>
      </x:c>
      <x:c r="C66" t="n">
        <x:f>'Loss Magnitude'!H66</x:f>
        <x:v>0</x:v>
      </x:c>
      <x:c r="D66" t="n">
        <x:f>B66*C66</x:f>
        <x:v>0</x:v>
      </x:c>
      <x:c r="E66" t="str">
        <x:f>IF(D66&gt;=500000,"Critical",IF(D66&gt;=250000,"High",IF(D66&gt;=100000,"Moderate","Low")))</x:f>
        <x:v>Low</x:v>
      </x:c>
    </x:row>
    <x:row r="67">
      <x:c r="B67" t="n">
        <x:f>'Frequency Analysis'!H67</x:f>
        <x:v>0</x:v>
      </x:c>
      <x:c r="C67" t="n">
        <x:f>'Loss Magnitude'!H67</x:f>
        <x:v>0</x:v>
      </x:c>
      <x:c r="D67" t="n">
        <x:f>B67*C67</x:f>
        <x:v>0</x:v>
      </x:c>
      <x:c r="E67" t="str">
        <x:f>IF(D67&gt;=500000,"Critical",IF(D67&gt;=250000,"High",IF(D67&gt;=100000,"Moderate","Low")))</x:f>
        <x:v>Low</x:v>
      </x:c>
    </x:row>
    <x:row r="68">
      <x:c r="B68" t="n">
        <x:f>'Frequency Analysis'!H68</x:f>
        <x:v>0</x:v>
      </x:c>
      <x:c r="C68" t="n">
        <x:f>'Loss Magnitude'!H68</x:f>
        <x:v>0</x:v>
      </x:c>
      <x:c r="D68" t="n">
        <x:f>B68*C68</x:f>
        <x:v>0</x:v>
      </x:c>
      <x:c r="E68" t="str">
        <x:f>IF(D68&gt;=500000,"Critical",IF(D68&gt;=250000,"High",IF(D68&gt;=100000,"Moderate","Low")))</x:f>
        <x:v>Low</x:v>
      </x:c>
    </x:row>
    <x:row r="69">
      <x:c r="B69" t="n">
        <x:f>'Frequency Analysis'!H69</x:f>
        <x:v>0</x:v>
      </x:c>
      <x:c r="C69" t="n">
        <x:f>'Loss Magnitude'!H69</x:f>
        <x:v>0</x:v>
      </x:c>
      <x:c r="D69" t="n">
        <x:f>B69*C69</x:f>
        <x:v>0</x:v>
      </x:c>
      <x:c r="E69" t="str">
        <x:f>IF(D69&gt;=500000,"Critical",IF(D69&gt;=250000,"High",IF(D69&gt;=100000,"Moderate","Low")))</x:f>
        <x:v>Low</x:v>
      </x:c>
    </x:row>
    <x:row r="70">
      <x:c r="B70" t="n">
        <x:f>'Frequency Analysis'!H70</x:f>
        <x:v>0</x:v>
      </x:c>
      <x:c r="C70" t="n">
        <x:f>'Loss Magnitude'!H70</x:f>
        <x:v>0</x:v>
      </x:c>
      <x:c r="D70" t="n">
        <x:f>B70*C70</x:f>
        <x:v>0</x:v>
      </x:c>
      <x:c r="E70" t="str">
        <x:f>IF(D70&gt;=500000,"Critical",IF(D70&gt;=250000,"High",IF(D70&gt;=100000,"Moderate","Low")))</x:f>
        <x:v>Low</x:v>
      </x:c>
    </x:row>
    <x:row r="71">
      <x:c r="B71" t="n">
        <x:f>'Frequency Analysis'!H71</x:f>
        <x:v>0</x:v>
      </x:c>
      <x:c r="C71" t="n">
        <x:f>'Loss Magnitude'!H71</x:f>
        <x:v>0</x:v>
      </x:c>
      <x:c r="D71" t="n">
        <x:f>B71*C71</x:f>
        <x:v>0</x:v>
      </x:c>
      <x:c r="E71" t="str">
        <x:f>IF(D71&gt;=500000,"Critical",IF(D71&gt;=250000,"High",IF(D71&gt;=100000,"Moderate","Low")))</x:f>
        <x:v>Low</x:v>
      </x:c>
    </x:row>
    <x:row r="72">
      <x:c r="B72" t="n">
        <x:f>'Frequency Analysis'!H72</x:f>
        <x:v>0</x:v>
      </x:c>
      <x:c r="C72" t="n">
        <x:f>'Loss Magnitude'!H72</x:f>
        <x:v>0</x:v>
      </x:c>
      <x:c r="D72" t="n">
        <x:f>B72*C72</x:f>
        <x:v>0</x:v>
      </x:c>
      <x:c r="E72" t="str">
        <x:f>IF(D72&gt;=500000,"Critical",IF(D72&gt;=250000,"High",IF(D72&gt;=100000,"Moderate","Low")))</x:f>
        <x:v>Low</x:v>
      </x:c>
    </x:row>
    <x:row r="73">
      <x:c r="B73" t="n">
        <x:f>'Frequency Analysis'!H73</x:f>
        <x:v>0</x:v>
      </x:c>
      <x:c r="C73" t="n">
        <x:f>'Loss Magnitude'!H73</x:f>
        <x:v>0</x:v>
      </x:c>
      <x:c r="D73" t="n">
        <x:f>B73*C73</x:f>
        <x:v>0</x:v>
      </x:c>
      <x:c r="E73" t="str">
        <x:f>IF(D73&gt;=500000,"Critical",IF(D73&gt;=250000,"High",IF(D73&gt;=100000,"Moderate","Low")))</x:f>
        <x:v>Low</x:v>
      </x:c>
    </x:row>
    <x:row r="74">
      <x:c r="B74" t="n">
        <x:f>'Frequency Analysis'!H74</x:f>
        <x:v>0</x:v>
      </x:c>
      <x:c r="C74" t="n">
        <x:f>'Loss Magnitude'!H74</x:f>
        <x:v>0</x:v>
      </x:c>
      <x:c r="D74" t="n">
        <x:f>B74*C74</x:f>
        <x:v>0</x:v>
      </x:c>
      <x:c r="E74" t="str">
        <x:f>IF(D74&gt;=500000,"Critical",IF(D74&gt;=250000,"High",IF(D74&gt;=100000,"Moderate","Low")))</x:f>
        <x:v>Low</x:v>
      </x:c>
    </x:row>
    <x:row r="75">
      <x:c r="B75" t="n">
        <x:f>'Frequency Analysis'!H75</x:f>
        <x:v>0</x:v>
      </x:c>
      <x:c r="C75" t="n">
        <x:f>'Loss Magnitude'!H75</x:f>
        <x:v>0</x:v>
      </x:c>
      <x:c r="D75" t="n">
        <x:f>B75*C75</x:f>
        <x:v>0</x:v>
      </x:c>
      <x:c r="E75" t="str">
        <x:f>IF(D75&gt;=500000,"Critical",IF(D75&gt;=250000,"High",IF(D75&gt;=100000,"Moderate","Low")))</x:f>
        <x:v>Low</x:v>
      </x:c>
    </x:row>
    <x:row r="76">
      <x:c r="B76" t="n">
        <x:f>'Frequency Analysis'!H76</x:f>
        <x:v>0</x:v>
      </x:c>
      <x:c r="C76" t="n">
        <x:f>'Loss Magnitude'!H76</x:f>
        <x:v>0</x:v>
      </x:c>
      <x:c r="D76" t="n">
        <x:f>B76*C76</x:f>
        <x:v>0</x:v>
      </x:c>
      <x:c r="E76" t="str">
        <x:f>IF(D76&gt;=500000,"Critical",IF(D76&gt;=250000,"High",IF(D76&gt;=100000,"Moderate","Low")))</x:f>
        <x:v>Low</x:v>
      </x:c>
    </x:row>
    <x:row r="77">
      <x:c r="B77" t="n">
        <x:f>'Frequency Analysis'!H77</x:f>
        <x:v>0</x:v>
      </x:c>
      <x:c r="C77" t="n">
        <x:f>'Loss Magnitude'!H77</x:f>
        <x:v>0</x:v>
      </x:c>
      <x:c r="D77" t="n">
        <x:f>B77*C77</x:f>
        <x:v>0</x:v>
      </x:c>
      <x:c r="E77" t="str">
        <x:f>IF(D77&gt;=500000,"Critical",IF(D77&gt;=250000,"High",IF(D77&gt;=100000,"Moderate","Low")))</x:f>
        <x:v>Low</x:v>
      </x:c>
    </x:row>
    <x:row r="78">
      <x:c r="B78" t="n">
        <x:f>'Frequency Analysis'!H78</x:f>
        <x:v>0</x:v>
      </x:c>
      <x:c r="C78" t="n">
        <x:f>'Loss Magnitude'!H78</x:f>
        <x:v>0</x:v>
      </x:c>
      <x:c r="D78" t="n">
        <x:f>B78*C78</x:f>
        <x:v>0</x:v>
      </x:c>
      <x:c r="E78" t="str">
        <x:f>IF(D78&gt;=500000,"Critical",IF(D78&gt;=250000,"High",IF(D78&gt;=100000,"Moderate","Low")))</x:f>
        <x:v>Low</x:v>
      </x:c>
    </x:row>
    <x:row r="79">
      <x:c r="B79" t="n">
        <x:f>'Frequency Analysis'!H79</x:f>
        <x:v>0</x:v>
      </x:c>
      <x:c r="C79" t="n">
        <x:f>'Loss Magnitude'!H79</x:f>
        <x:v>0</x:v>
      </x:c>
      <x:c r="D79" t="n">
        <x:f>B79*C79</x:f>
        <x:v>0</x:v>
      </x:c>
      <x:c r="E79" t="str">
        <x:f>IF(D79&gt;=500000,"Critical",IF(D79&gt;=250000,"High",IF(D79&gt;=100000,"Moderate","Low")))</x:f>
        <x:v>Low</x:v>
      </x:c>
    </x:row>
    <x:row r="80">
      <x:c r="B80" t="n">
        <x:f>'Frequency Analysis'!H80</x:f>
        <x:v>0</x:v>
      </x:c>
      <x:c r="C80" t="n">
        <x:f>'Loss Magnitude'!H80</x:f>
        <x:v>0</x:v>
      </x:c>
      <x:c r="D80" t="n">
        <x:f>B80*C80</x:f>
        <x:v>0</x:v>
      </x:c>
      <x:c r="E80" t="str">
        <x:f>IF(D80&gt;=500000,"Critical",IF(D80&gt;=250000,"High",IF(D80&gt;=100000,"Moderate","Low")))</x:f>
        <x:v>Low</x:v>
      </x:c>
    </x:row>
    <x:row r="81">
      <x:c r="B81" t="n">
        <x:f>'Frequency Analysis'!H81</x:f>
        <x:v>0</x:v>
      </x:c>
      <x:c r="C81" t="n">
        <x:f>'Loss Magnitude'!H81</x:f>
        <x:v>0</x:v>
      </x:c>
      <x:c r="D81" t="n">
        <x:f>B81*C81</x:f>
        <x:v>0</x:v>
      </x:c>
      <x:c r="E81" t="str">
        <x:f>IF(D81&gt;=500000,"Critical",IF(D81&gt;=250000,"High",IF(D81&gt;=100000,"Moderate","Low")))</x:f>
        <x:v>Low</x:v>
      </x:c>
    </x:row>
    <x:row r="82">
      <x:c r="B82" t="n">
        <x:f>'Frequency Analysis'!H82</x:f>
        <x:v>0</x:v>
      </x:c>
      <x:c r="C82" t="n">
        <x:f>'Loss Magnitude'!H82</x:f>
        <x:v>0</x:v>
      </x:c>
      <x:c r="D82" t="n">
        <x:f>B82*C82</x:f>
        <x:v>0</x:v>
      </x:c>
      <x:c r="E82" t="str">
        <x:f>IF(D82&gt;=500000,"Critical",IF(D82&gt;=250000,"High",IF(D82&gt;=100000,"Moderate","Low")))</x:f>
        <x:v>Low</x:v>
      </x:c>
    </x:row>
    <x:row r="83">
      <x:c r="B83" t="n">
        <x:f>'Frequency Analysis'!H83</x:f>
        <x:v>0</x:v>
      </x:c>
      <x:c r="C83" t="n">
        <x:f>'Loss Magnitude'!H83</x:f>
        <x:v>0</x:v>
      </x:c>
      <x:c r="D83" t="n">
        <x:f>B83*C83</x:f>
        <x:v>0</x:v>
      </x:c>
      <x:c r="E83" t="str">
        <x:f>IF(D83&gt;=500000,"Critical",IF(D83&gt;=250000,"High",IF(D83&gt;=100000,"Moderate","Low")))</x:f>
        <x:v>Low</x:v>
      </x:c>
    </x:row>
    <x:row r="84">
      <x:c r="B84" t="n">
        <x:f>'Frequency Analysis'!H84</x:f>
        <x:v>0</x:v>
      </x:c>
      <x:c r="C84" t="n">
        <x:f>'Loss Magnitude'!H84</x:f>
        <x:v>0</x:v>
      </x:c>
      <x:c r="D84" t="n">
        <x:f>B84*C84</x:f>
        <x:v>0</x:v>
      </x:c>
      <x:c r="E84" t="str">
        <x:f>IF(D84&gt;=500000,"Critical",IF(D84&gt;=250000,"High",IF(D84&gt;=100000,"Moderate","Low")))</x:f>
        <x:v>Low</x:v>
      </x:c>
    </x:row>
    <x:row r="85">
      <x:c r="B85" t="n">
        <x:f>'Frequency Analysis'!H85</x:f>
        <x:v>0</x:v>
      </x:c>
      <x:c r="C85" t="n">
        <x:f>'Loss Magnitude'!H85</x:f>
        <x:v>0</x:v>
      </x:c>
      <x:c r="D85" t="n">
        <x:f>B85*C85</x:f>
        <x:v>0</x:v>
      </x:c>
      <x:c r="E85" t="str">
        <x:f>IF(D85&gt;=500000,"Critical",IF(D85&gt;=250000,"High",IF(D85&gt;=100000,"Moderate","Low")))</x:f>
        <x:v>Low</x:v>
      </x:c>
    </x:row>
    <x:row r="86">
      <x:c r="B86" t="n">
        <x:f>'Frequency Analysis'!H86</x:f>
        <x:v>0</x:v>
      </x:c>
      <x:c r="C86" t="n">
        <x:f>'Loss Magnitude'!H86</x:f>
        <x:v>0</x:v>
      </x:c>
      <x:c r="D86" t="n">
        <x:f>B86*C86</x:f>
        <x:v>0</x:v>
      </x:c>
      <x:c r="E86" t="str">
        <x:f>IF(D86&gt;=500000,"Critical",IF(D86&gt;=250000,"High",IF(D86&gt;=100000,"Moderate","Low")))</x:f>
        <x:v>Low</x:v>
      </x:c>
    </x:row>
    <x:row r="87">
      <x:c r="B87" t="n">
        <x:f>'Frequency Analysis'!H87</x:f>
        <x:v>0</x:v>
      </x:c>
      <x:c r="C87" t="n">
        <x:f>'Loss Magnitude'!H87</x:f>
        <x:v>0</x:v>
      </x:c>
      <x:c r="D87" t="n">
        <x:f>B87*C87</x:f>
        <x:v>0</x:v>
      </x:c>
      <x:c r="E87" t="str">
        <x:f>IF(D87&gt;=500000,"Critical",IF(D87&gt;=250000,"High",IF(D87&gt;=100000,"Moderate","Low")))</x:f>
        <x:v>Low</x:v>
      </x:c>
    </x:row>
    <x:row r="88">
      <x:c r="B88" t="n">
        <x:f>'Frequency Analysis'!H88</x:f>
        <x:v>0</x:v>
      </x:c>
      <x:c r="C88" t="n">
        <x:f>'Loss Magnitude'!H88</x:f>
        <x:v>0</x:v>
      </x:c>
      <x:c r="D88" t="n">
        <x:f>B88*C88</x:f>
        <x:v>0</x:v>
      </x:c>
      <x:c r="E88" t="str">
        <x:f>IF(D88&gt;=500000,"Critical",IF(D88&gt;=250000,"High",IF(D88&gt;=100000,"Moderate","Low")))</x:f>
        <x:v>Low</x:v>
      </x:c>
    </x:row>
    <x:row r="89">
      <x:c r="B89" t="n">
        <x:f>'Frequency Analysis'!H89</x:f>
        <x:v>0</x:v>
      </x:c>
      <x:c r="C89" t="n">
        <x:f>'Loss Magnitude'!H89</x:f>
        <x:v>0</x:v>
      </x:c>
      <x:c r="D89" t="n">
        <x:f>B89*C89</x:f>
        <x:v>0</x:v>
      </x:c>
      <x:c r="E89" t="str">
        <x:f>IF(D89&gt;=500000,"Critical",IF(D89&gt;=250000,"High",IF(D89&gt;=100000,"Moderate","Low")))</x:f>
        <x:v>Low</x:v>
      </x:c>
    </x:row>
    <x:row r="90">
      <x:c r="B90" t="n">
        <x:f>'Frequency Analysis'!H90</x:f>
        <x:v>0</x:v>
      </x:c>
      <x:c r="C90" t="n">
        <x:f>'Loss Magnitude'!H90</x:f>
        <x:v>0</x:v>
      </x:c>
      <x:c r="D90" t="n">
        <x:f>B90*C90</x:f>
        <x:v>0</x:v>
      </x:c>
      <x:c r="E90" t="str">
        <x:f>IF(D90&gt;=500000,"Critical",IF(D90&gt;=250000,"High",IF(D90&gt;=100000,"Moderate","Low")))</x:f>
        <x:v>Low</x:v>
      </x:c>
    </x:row>
    <x:row r="91">
      <x:c r="B91" t="n">
        <x:f>'Frequency Analysis'!H91</x:f>
        <x:v>0</x:v>
      </x:c>
      <x:c r="C91" t="n">
        <x:f>'Loss Magnitude'!H91</x:f>
        <x:v>0</x:v>
      </x:c>
      <x:c r="D91" t="n">
        <x:f>B91*C91</x:f>
        <x:v>0</x:v>
      </x:c>
      <x:c r="E91" t="str">
        <x:f>IF(D91&gt;=500000,"Critical",IF(D91&gt;=250000,"High",IF(D91&gt;=100000,"Moderate","Low")))</x:f>
        <x:v>Low</x:v>
      </x:c>
    </x:row>
    <x:row r="92">
      <x:c r="B92" t="n">
        <x:f>'Frequency Analysis'!H92</x:f>
        <x:v>0</x:v>
      </x:c>
      <x:c r="C92" t="n">
        <x:f>'Loss Magnitude'!H92</x:f>
        <x:v>0</x:v>
      </x:c>
      <x:c r="D92" t="n">
        <x:f>B92*C92</x:f>
        <x:v>0</x:v>
      </x:c>
      <x:c r="E92" t="str">
        <x:f>IF(D92&gt;=500000,"Critical",IF(D92&gt;=250000,"High",IF(D92&gt;=100000,"Moderate","Low")))</x:f>
        <x:v>Low</x:v>
      </x:c>
    </x:row>
    <x:row r="93">
      <x:c r="B93" t="n">
        <x:f>'Frequency Analysis'!H93</x:f>
        <x:v>0</x:v>
      </x:c>
      <x:c r="C93" t="n">
        <x:f>'Loss Magnitude'!H93</x:f>
        <x:v>0</x:v>
      </x:c>
      <x:c r="D93" t="n">
        <x:f>B93*C93</x:f>
        <x:v>0</x:v>
      </x:c>
      <x:c r="E93" t="str">
        <x:f>IF(D93&gt;=500000,"Critical",IF(D93&gt;=250000,"High",IF(D93&gt;=100000,"Moderate","Low")))</x:f>
        <x:v>Low</x:v>
      </x:c>
    </x:row>
    <x:row r="94">
      <x:c r="B94" t="n">
        <x:f>'Frequency Analysis'!H94</x:f>
        <x:v>0</x:v>
      </x:c>
      <x:c r="C94" t="n">
        <x:f>'Loss Magnitude'!H94</x:f>
        <x:v>0</x:v>
      </x:c>
      <x:c r="D94" t="n">
        <x:f>B94*C94</x:f>
        <x:v>0</x:v>
      </x:c>
      <x:c r="E94" t="str">
        <x:f>IF(D94&gt;=500000,"Critical",IF(D94&gt;=250000,"High",IF(D94&gt;=100000,"Moderate","Low")))</x:f>
        <x:v>Low</x:v>
      </x:c>
    </x:row>
    <x:row r="95">
      <x:c r="B95" t="n">
        <x:f>'Frequency Analysis'!H95</x:f>
        <x:v>0</x:v>
      </x:c>
      <x:c r="C95" t="n">
        <x:f>'Loss Magnitude'!H95</x:f>
        <x:v>0</x:v>
      </x:c>
      <x:c r="D95" t="n">
        <x:f>B95*C95</x:f>
        <x:v>0</x:v>
      </x:c>
      <x:c r="E95" t="str">
        <x:f>IF(D95&gt;=500000,"Critical",IF(D95&gt;=250000,"High",IF(D95&gt;=100000,"Moderate","Low")))</x:f>
        <x:v>Low</x:v>
      </x:c>
    </x:row>
    <x:row r="96">
      <x:c r="B96" t="n">
        <x:f>'Frequency Analysis'!H96</x:f>
        <x:v>0</x:v>
      </x:c>
      <x:c r="C96" t="n">
        <x:f>'Loss Magnitude'!H96</x:f>
        <x:v>0</x:v>
      </x:c>
      <x:c r="D96" t="n">
        <x:f>B96*C96</x:f>
        <x:v>0</x:v>
      </x:c>
      <x:c r="E96" t="str">
        <x:f>IF(D96&gt;=500000,"Critical",IF(D96&gt;=250000,"High",IF(D96&gt;=100000,"Moderate","Low")))</x:f>
        <x:v>Low</x:v>
      </x:c>
    </x:row>
    <x:row r="97">
      <x:c r="B97" t="n">
        <x:f>'Frequency Analysis'!H97</x:f>
        <x:v>0</x:v>
      </x:c>
      <x:c r="C97" t="n">
        <x:f>'Loss Magnitude'!H97</x:f>
        <x:v>0</x:v>
      </x:c>
      <x:c r="D97" t="n">
        <x:f>B97*C97</x:f>
        <x:v>0</x:v>
      </x:c>
      <x:c r="E97" t="str">
        <x:f>IF(D97&gt;=500000,"Critical",IF(D97&gt;=250000,"High",IF(D97&gt;=100000,"Moderate","Low")))</x:f>
        <x:v>Low</x:v>
      </x:c>
    </x:row>
    <x:row r="98">
      <x:c r="B98" t="n">
        <x:f>'Frequency Analysis'!H98</x:f>
        <x:v>0</x:v>
      </x:c>
      <x:c r="C98" t="n">
        <x:f>'Loss Magnitude'!H98</x:f>
        <x:v>0</x:v>
      </x:c>
      <x:c r="D98" t="n">
        <x:f>B98*C98</x:f>
        <x:v>0</x:v>
      </x:c>
      <x:c r="E98" t="str">
        <x:f>IF(D98&gt;=500000,"Critical",IF(D98&gt;=250000,"High",IF(D98&gt;=100000,"Moderate","Low")))</x:f>
        <x:v>Low</x:v>
      </x:c>
    </x:row>
    <x:row r="99">
      <x:c r="B99" t="n">
        <x:f>'Frequency Analysis'!H99</x:f>
        <x:v>0</x:v>
      </x:c>
      <x:c r="C99" t="n">
        <x:f>'Loss Magnitude'!H99</x:f>
        <x:v>0</x:v>
      </x:c>
      <x:c r="D99" t="n">
        <x:f>B99*C99</x:f>
        <x:v>0</x:v>
      </x:c>
      <x:c r="E99" t="str">
        <x:f>IF(D99&gt;=500000,"Critical",IF(D99&gt;=250000,"High",IF(D99&gt;=100000,"Moderate","Low")))</x:f>
        <x:v>Low</x:v>
      </x:c>
    </x:row>
    <x:row r="100">
      <x:c r="B100" t="n">
        <x:f>'Frequency Analysis'!H100</x:f>
        <x:v>0</x:v>
      </x:c>
      <x:c r="C100" t="n">
        <x:f>'Loss Magnitude'!H100</x:f>
        <x:v>0</x:v>
      </x:c>
      <x:c r="D100" t="n">
        <x:f>B100*C100</x:f>
        <x:v>0</x:v>
      </x:c>
      <x:c r="E100" t="str">
        <x:f>IF(D100&gt;=500000,"Critical",IF(D100&gt;=250000,"High",IF(D100&gt;=100000,"Moderate","Low")))</x:f>
        <x:v>Low</x:v>
      </x:c>
    </x:row>
    <x:row r="101">
      <x:c r="B101" t="n">
        <x:f>'Frequency Analysis'!H101</x:f>
        <x:v>0</x:v>
      </x:c>
      <x:c r="C101" t="n">
        <x:f>'Loss Magnitude'!H101</x:f>
        <x:v>0</x:v>
      </x:c>
      <x:c r="D101" t="n">
        <x:f>B101*C101</x:f>
        <x:v>0</x:v>
      </x:c>
      <x:c r="E101" t="str">
        <x:f>IF(D101&gt;=500000,"Critical",IF(D101&gt;=250000,"High",IF(D101&gt;=100000,"Moderate","Low")))</x:f>
        <x:v>Low</x:v>
      </x:c>
    </x:row>
    <x:row r="102">
      <x:c r="B102" t="n">
        <x:f>'Frequency Analysis'!H102</x:f>
        <x:v>0</x:v>
      </x:c>
      <x:c r="C102" t="n">
        <x:f>'Loss Magnitude'!H102</x:f>
        <x:v>0</x:v>
      </x:c>
      <x:c r="D102" t="n">
        <x:f>B102*C102</x:f>
        <x:v>0</x:v>
      </x:c>
      <x:c r="E102" t="str">
        <x:f>IF(D102&gt;=500000,"Critical",IF(D102&gt;=250000,"High",IF(D102&gt;=100000,"Moderate","Low")))</x:f>
        <x:v>Low</x:v>
      </x:c>
    </x:row>
    <x:row r="103">
      <x:c r="B103" t="n">
        <x:f>'Frequency Analysis'!H103</x:f>
        <x:v>0</x:v>
      </x:c>
      <x:c r="C103" t="n">
        <x:f>'Loss Magnitude'!H103</x:f>
        <x:v>0</x:v>
      </x:c>
      <x:c r="D103" t="n">
        <x:f>B103*C103</x:f>
        <x:v>0</x:v>
      </x:c>
      <x:c r="E103" t="str">
        <x:f>IF(D103&gt;=500000,"Critical",IF(D103&gt;=250000,"High",IF(D103&gt;=100000,"Moderate","Low")))</x:f>
        <x:v>Low</x:v>
      </x:c>
    </x:row>
    <x:row r="104">
      <x:c r="B104" t="n">
        <x:f>'Frequency Analysis'!H104</x:f>
        <x:v>0</x:v>
      </x:c>
      <x:c r="C104" t="n">
        <x:f>'Loss Magnitude'!H104</x:f>
        <x:v>0</x:v>
      </x:c>
      <x:c r="D104" t="n">
        <x:f>B104*C104</x:f>
        <x:v>0</x:v>
      </x:c>
      <x:c r="E104" t="str">
        <x:f>IF(D104&gt;=500000,"Critical",IF(D104&gt;=250000,"High",IF(D104&gt;=100000,"Moderate","Low")))</x:f>
        <x:v>Low</x:v>
      </x:c>
    </x:row>
    <x:row r="105">
      <x:c r="B105" t="n">
        <x:f>'Frequency Analysis'!H105</x:f>
        <x:v>0</x:v>
      </x:c>
      <x:c r="C105" t="n">
        <x:f>'Loss Magnitude'!H105</x:f>
        <x:v>0</x:v>
      </x:c>
      <x:c r="D105" t="n">
        <x:f>B105*C105</x:f>
        <x:v>0</x:v>
      </x:c>
      <x:c r="E105" t="str">
        <x:f>IF(D105&gt;=500000,"Critical",IF(D105&gt;=250000,"High",IF(D105&gt;=100000,"Moderate","Low")))</x:f>
        <x:v>Low</x:v>
      </x:c>
    </x:row>
    <x:row r="106">
      <x:c r="B106" t="n">
        <x:f>'Frequency Analysis'!H106</x:f>
        <x:v>0</x:v>
      </x:c>
      <x:c r="C106" t="n">
        <x:f>'Loss Magnitude'!H106</x:f>
        <x:v>0</x:v>
      </x:c>
      <x:c r="D106" t="n">
        <x:f>B106*C106</x:f>
        <x:v>0</x:v>
      </x:c>
      <x:c r="E106" t="str">
        <x:f>IF(D106&gt;=500000,"Critical",IF(D106&gt;=250000,"High",IF(D106&gt;=100000,"Moderate","Low")))</x:f>
        <x:v>Low</x:v>
      </x:c>
    </x:row>
    <x:row r="107">
      <x:c r="B107" t="n">
        <x:f>'Frequency Analysis'!H107</x:f>
        <x:v>0</x:v>
      </x:c>
      <x:c r="C107" t="n">
        <x:f>'Loss Magnitude'!H107</x:f>
        <x:v>0</x:v>
      </x:c>
      <x:c r="D107" t="n">
        <x:f>B107*C107</x:f>
        <x:v>0</x:v>
      </x:c>
      <x:c r="E107" t="str">
        <x:f>IF(D107&gt;=500000,"Critical",IF(D107&gt;=250000,"High",IF(D107&gt;=100000,"Moderate","Low")))</x:f>
        <x:v>Low</x:v>
      </x:c>
    </x:row>
    <x:row r="108">
      <x:c r="B108" t="n">
        <x:f>'Frequency Analysis'!H108</x:f>
        <x:v>0</x:v>
      </x:c>
      <x:c r="C108" t="n">
        <x:f>'Loss Magnitude'!H108</x:f>
        <x:v>0</x:v>
      </x:c>
      <x:c r="D108" t="n">
        <x:f>B108*C108</x:f>
        <x:v>0</x:v>
      </x:c>
      <x:c r="E108" t="str">
        <x:f>IF(D108&gt;=500000,"Critical",IF(D108&gt;=250000,"High",IF(D108&gt;=100000,"Moderate","Low")))</x:f>
        <x:v>Low</x:v>
      </x:c>
    </x:row>
    <x:row r="109">
      <x:c r="B109" t="n">
        <x:f>'Frequency Analysis'!H109</x:f>
        <x:v>0</x:v>
      </x:c>
      <x:c r="C109" t="n">
        <x:f>'Loss Magnitude'!H109</x:f>
        <x:v>0</x:v>
      </x:c>
      <x:c r="D109" t="n">
        <x:f>B109*C109</x:f>
        <x:v>0</x:v>
      </x:c>
      <x:c r="E109" t="str">
        <x:f>IF(D109&gt;=500000,"Critical",IF(D109&gt;=250000,"High",IF(D109&gt;=100000,"Moderate","Low")))</x:f>
        <x:v>Low</x:v>
      </x:c>
    </x:row>
    <x:row r="110">
      <x:c r="B110" t="n">
        <x:f>'Frequency Analysis'!H110</x:f>
        <x:v>0</x:v>
      </x:c>
      <x:c r="C110" t="n">
        <x:f>'Loss Magnitude'!H110</x:f>
        <x:v>0</x:v>
      </x:c>
      <x:c r="D110" t="n">
        <x:f>B110*C110</x:f>
        <x:v>0</x:v>
      </x:c>
      <x:c r="E110" t="str">
        <x:f>IF(D110&gt;=500000,"Critical",IF(D110&gt;=250000,"High",IF(D110&gt;=100000,"Moderate","Low")))</x:f>
        <x:v>Low</x:v>
      </x:c>
    </x:row>
    <x:row r="111">
      <x:c r="B111" t="n">
        <x:f>'Frequency Analysis'!H111</x:f>
        <x:v>0</x:v>
      </x:c>
      <x:c r="C111" t="n">
        <x:f>'Loss Magnitude'!H111</x:f>
        <x:v>0</x:v>
      </x:c>
      <x:c r="D111" t="n">
        <x:f>B111*C111</x:f>
        <x:v>0</x:v>
      </x:c>
      <x:c r="E111" t="str">
        <x:f>IF(D111&gt;=500000,"Critical",IF(D111&gt;=250000,"High",IF(D111&gt;=100000,"Moderate","Low")))</x:f>
        <x:v>Low</x:v>
      </x:c>
    </x:row>
    <x:row r="112">
      <x:c r="B112" t="n">
        <x:f>'Frequency Analysis'!H112</x:f>
        <x:v>0</x:v>
      </x:c>
      <x:c r="C112" t="n">
        <x:f>'Loss Magnitude'!H112</x:f>
        <x:v>0</x:v>
      </x:c>
      <x:c r="D112" t="n">
        <x:f>B112*C112</x:f>
        <x:v>0</x:v>
      </x:c>
      <x:c r="E112" t="str">
        <x:f>IF(D112&gt;=500000,"Critical",IF(D112&gt;=250000,"High",IF(D112&gt;=100000,"Moderate","Low")))</x:f>
        <x:v>Low</x:v>
      </x:c>
    </x:row>
    <x:row r="113">
      <x:c r="B113" t="n">
        <x:f>'Frequency Analysis'!H113</x:f>
        <x:v>0</x:v>
      </x:c>
      <x:c r="C113" t="n">
        <x:f>'Loss Magnitude'!H113</x:f>
        <x:v>0</x:v>
      </x:c>
      <x:c r="D113" t="n">
        <x:f>B113*C113</x:f>
        <x:v>0</x:v>
      </x:c>
      <x:c r="E113" t="str">
        <x:f>IF(D113&gt;=500000,"Critical",IF(D113&gt;=250000,"High",IF(D113&gt;=100000,"Moderate","Low")))</x:f>
        <x:v>Low</x:v>
      </x:c>
    </x:row>
    <x:row r="114">
      <x:c r="B114" t="n">
        <x:f>'Frequency Analysis'!H114</x:f>
        <x:v>0</x:v>
      </x:c>
      <x:c r="C114" t="n">
        <x:f>'Loss Magnitude'!H114</x:f>
        <x:v>0</x:v>
      </x:c>
      <x:c r="D114" t="n">
        <x:f>B114*C114</x:f>
        <x:v>0</x:v>
      </x:c>
      <x:c r="E114" t="str">
        <x:f>IF(D114&gt;=500000,"Critical",IF(D114&gt;=250000,"High",IF(D114&gt;=100000,"Moderate","Low")))</x:f>
        <x:v>Low</x:v>
      </x:c>
    </x:row>
    <x:row r="115">
      <x:c r="B115" t="n">
        <x:f>'Frequency Analysis'!H115</x:f>
        <x:v>0</x:v>
      </x:c>
      <x:c r="C115" t="n">
        <x:f>'Loss Magnitude'!H115</x:f>
        <x:v>0</x:v>
      </x:c>
      <x:c r="D115" t="n">
        <x:f>B115*C115</x:f>
        <x:v>0</x:v>
      </x:c>
      <x:c r="E115" t="str">
        <x:f>IF(D115&gt;=500000,"Critical",IF(D115&gt;=250000,"High",IF(D115&gt;=100000,"Moderate","Low")))</x:f>
        <x:v>Low</x:v>
      </x:c>
    </x:row>
    <x:row r="116">
      <x:c r="B116" t="n">
        <x:f>'Frequency Analysis'!H116</x:f>
        <x:v>0</x:v>
      </x:c>
      <x:c r="C116" t="n">
        <x:f>'Loss Magnitude'!H116</x:f>
        <x:v>0</x:v>
      </x:c>
      <x:c r="D116" t="n">
        <x:f>B116*C116</x:f>
        <x:v>0</x:v>
      </x:c>
      <x:c r="E116" t="str">
        <x:f>IF(D116&gt;=500000,"Critical",IF(D116&gt;=250000,"High",IF(D116&gt;=100000,"Moderate","Low")))</x:f>
        <x:v>Low</x:v>
      </x:c>
    </x:row>
    <x:row r="117">
      <x:c r="B117" t="n">
        <x:f>'Frequency Analysis'!H117</x:f>
        <x:v>0</x:v>
      </x:c>
      <x:c r="C117" t="n">
        <x:f>'Loss Magnitude'!H117</x:f>
        <x:v>0</x:v>
      </x:c>
      <x:c r="D117" t="n">
        <x:f>B117*C117</x:f>
        <x:v>0</x:v>
      </x:c>
      <x:c r="E117" t="str">
        <x:f>IF(D117&gt;=500000,"Critical",IF(D117&gt;=250000,"High",IF(D117&gt;=100000,"Moderate","Low")))</x:f>
        <x:v>Low</x:v>
      </x:c>
    </x:row>
    <x:row r="118">
      <x:c r="B118" t="n">
        <x:f>'Frequency Analysis'!H118</x:f>
        <x:v>0</x:v>
      </x:c>
      <x:c r="C118" t="n">
        <x:f>'Loss Magnitude'!H118</x:f>
        <x:v>0</x:v>
      </x:c>
      <x:c r="D118" t="n">
        <x:f>B118*C118</x:f>
        <x:v>0</x:v>
      </x:c>
      <x:c r="E118" t="str">
        <x:f>IF(D118&gt;=500000,"Critical",IF(D118&gt;=250000,"High",IF(D118&gt;=100000,"Moderate","Low")))</x:f>
        <x:v>Low</x:v>
      </x:c>
    </x:row>
    <x:row r="119">
      <x:c r="B119" t="n">
        <x:f>'Frequency Analysis'!H119</x:f>
        <x:v>0</x:v>
      </x:c>
      <x:c r="C119" t="n">
        <x:f>'Loss Magnitude'!H119</x:f>
        <x:v>0</x:v>
      </x:c>
      <x:c r="D119" t="n">
        <x:f>B119*C119</x:f>
        <x:v>0</x:v>
      </x:c>
      <x:c r="E119" t="str">
        <x:f>IF(D119&gt;=500000,"Critical",IF(D119&gt;=250000,"High",IF(D119&gt;=100000,"Moderate","Low")))</x:f>
        <x:v>Low</x:v>
      </x:c>
    </x:row>
    <x:row r="120">
      <x:c r="B120" t="n">
        <x:f>'Frequency Analysis'!H120</x:f>
        <x:v>0</x:v>
      </x:c>
      <x:c r="C120" t="n">
        <x:f>'Loss Magnitude'!H120</x:f>
        <x:v>0</x:v>
      </x:c>
      <x:c r="D120" t="n">
        <x:f>B120*C120</x:f>
        <x:v>0</x:v>
      </x:c>
      <x:c r="E120" t="str">
        <x:f>IF(D120&gt;=500000,"Critical",IF(D120&gt;=250000,"High",IF(D120&gt;=100000,"Moderate","Low")))</x:f>
        <x:v>Low</x:v>
      </x:c>
    </x:row>
    <x:row r="121">
      <x:c r="B121" t="n">
        <x:f>'Frequency Analysis'!H121</x:f>
        <x:v>0</x:v>
      </x:c>
      <x:c r="C121" t="n">
        <x:f>'Loss Magnitude'!H121</x:f>
        <x:v>0</x:v>
      </x:c>
      <x:c r="D121" t="n">
        <x:f>B121*C121</x:f>
        <x:v>0</x:v>
      </x:c>
      <x:c r="E121" t="str">
        <x:f>IF(D121&gt;=500000,"Critical",IF(D121&gt;=250000,"High",IF(D121&gt;=100000,"Moderate","Low")))</x:f>
        <x:v>Low</x:v>
      </x:c>
    </x:row>
    <x:row r="122">
      <x:c r="B122" t="n">
        <x:f>'Frequency Analysis'!H122</x:f>
        <x:v>0</x:v>
      </x:c>
      <x:c r="C122" t="n">
        <x:f>'Loss Magnitude'!H122</x:f>
        <x:v>0</x:v>
      </x:c>
      <x:c r="D122" t="n">
        <x:f>B122*C122</x:f>
        <x:v>0</x:v>
      </x:c>
      <x:c r="E122" t="str">
        <x:f>IF(D122&gt;=500000,"Critical",IF(D122&gt;=250000,"High",IF(D122&gt;=100000,"Moderate","Low")))</x:f>
        <x:v>Low</x:v>
      </x:c>
    </x:row>
    <x:row r="123">
      <x:c r="B123" t="n">
        <x:f>'Frequency Analysis'!H123</x:f>
        <x:v>0</x:v>
      </x:c>
      <x:c r="C123" t="n">
        <x:f>'Loss Magnitude'!H123</x:f>
        <x:v>0</x:v>
      </x:c>
      <x:c r="D123" t="n">
        <x:f>B123*C123</x:f>
        <x:v>0</x:v>
      </x:c>
      <x:c r="E123" t="str">
        <x:f>IF(D123&gt;=500000,"Critical",IF(D123&gt;=250000,"High",IF(D123&gt;=100000,"Moderate","Low")))</x:f>
        <x:v>Low</x:v>
      </x:c>
    </x:row>
    <x:row r="124">
      <x:c r="B124" t="n">
        <x:f>'Frequency Analysis'!H124</x:f>
        <x:v>0</x:v>
      </x:c>
      <x:c r="C124" t="n">
        <x:f>'Loss Magnitude'!H124</x:f>
        <x:v>0</x:v>
      </x:c>
      <x:c r="D124" t="n">
        <x:f>B124*C124</x:f>
        <x:v>0</x:v>
      </x:c>
      <x:c r="E124" t="str">
        <x:f>IF(D124&gt;=500000,"Critical",IF(D124&gt;=250000,"High",IF(D124&gt;=100000,"Moderate","Low")))</x:f>
        <x:v>Low</x:v>
      </x:c>
    </x:row>
    <x:row r="125">
      <x:c r="B125" t="n">
        <x:f>'Frequency Analysis'!H125</x:f>
        <x:v>0</x:v>
      </x:c>
      <x:c r="C125" t="n">
        <x:f>'Loss Magnitude'!H125</x:f>
        <x:v>0</x:v>
      </x:c>
      <x:c r="D125" t="n">
        <x:f>B125*C125</x:f>
        <x:v>0</x:v>
      </x:c>
      <x:c r="E125" t="str">
        <x:f>IF(D125&gt;=500000,"Critical",IF(D125&gt;=250000,"High",IF(D125&gt;=100000,"Moderate","Low")))</x:f>
        <x:v>Low</x:v>
      </x:c>
    </x:row>
    <x:row r="126">
      <x:c r="B126" t="n">
        <x:f>'Frequency Analysis'!H126</x:f>
        <x:v>0</x:v>
      </x:c>
      <x:c r="C126" t="n">
        <x:f>'Loss Magnitude'!H126</x:f>
        <x:v>0</x:v>
      </x:c>
      <x:c r="D126" t="n">
        <x:f>B126*C126</x:f>
        <x:v>0</x:v>
      </x:c>
      <x:c r="E126" t="str">
        <x:f>IF(D126&gt;=500000,"Critical",IF(D126&gt;=250000,"High",IF(D126&gt;=100000,"Moderate","Low")))</x:f>
        <x:v>Low</x:v>
      </x:c>
    </x:row>
    <x:row r="127">
      <x:c r="B127" t="n">
        <x:f>'Frequency Analysis'!H127</x:f>
        <x:v>0</x:v>
      </x:c>
      <x:c r="C127" t="n">
        <x:f>'Loss Magnitude'!H127</x:f>
        <x:v>0</x:v>
      </x:c>
      <x:c r="D127" t="n">
        <x:f>B127*C127</x:f>
        <x:v>0</x:v>
      </x:c>
      <x:c r="E127" t="str">
        <x:f>IF(D127&gt;=500000,"Critical",IF(D127&gt;=250000,"High",IF(D127&gt;=100000,"Moderate","Low")))</x:f>
        <x:v>Low</x:v>
      </x:c>
    </x:row>
    <x:row r="128">
      <x:c r="B128" t="n">
        <x:f>'Frequency Analysis'!H128</x:f>
        <x:v>0</x:v>
      </x:c>
      <x:c r="C128" t="n">
        <x:f>'Loss Magnitude'!H128</x:f>
        <x:v>0</x:v>
      </x:c>
      <x:c r="D128" t="n">
        <x:f>B128*C128</x:f>
        <x:v>0</x:v>
      </x:c>
      <x:c r="E128" t="str">
        <x:f>IF(D128&gt;=500000,"Critical",IF(D128&gt;=250000,"High",IF(D128&gt;=100000,"Moderate","Low")))</x:f>
        <x:v>Low</x:v>
      </x:c>
    </x:row>
    <x:row r="129">
      <x:c r="B129" t="n">
        <x:f>'Frequency Analysis'!H129</x:f>
        <x:v>0</x:v>
      </x:c>
      <x:c r="C129" t="n">
        <x:f>'Loss Magnitude'!H129</x:f>
        <x:v>0</x:v>
      </x:c>
      <x:c r="D129" t="n">
        <x:f>B129*C129</x:f>
        <x:v>0</x:v>
      </x:c>
      <x:c r="E129" t="str">
        <x:f>IF(D129&gt;=500000,"Critical",IF(D129&gt;=250000,"High",IF(D129&gt;=100000,"Moderate","Low")))</x:f>
        <x:v>Low</x:v>
      </x:c>
    </x:row>
    <x:row r="130">
      <x:c r="B130" t="n">
        <x:f>'Frequency Analysis'!H130</x:f>
        <x:v>0</x:v>
      </x:c>
      <x:c r="C130" t="n">
        <x:f>'Loss Magnitude'!H130</x:f>
        <x:v>0</x:v>
      </x:c>
      <x:c r="D130" t="n">
        <x:f>B130*C130</x:f>
        <x:v>0</x:v>
      </x:c>
      <x:c r="E130" t="str">
        <x:f>IF(D130&gt;=500000,"Critical",IF(D130&gt;=250000,"High",IF(D130&gt;=100000,"Moderate","Low")))</x:f>
        <x:v>Low</x:v>
      </x:c>
    </x:row>
    <x:row r="131">
      <x:c r="B131" t="n">
        <x:f>'Frequency Analysis'!H131</x:f>
        <x:v>0</x:v>
      </x:c>
      <x:c r="C131" t="n">
        <x:f>'Loss Magnitude'!H131</x:f>
        <x:v>0</x:v>
      </x:c>
      <x:c r="D131" t="n">
        <x:f>B131*C131</x:f>
        <x:v>0</x:v>
      </x:c>
      <x:c r="E131" t="str">
        <x:f>IF(D131&gt;=500000,"Critical",IF(D131&gt;=250000,"High",IF(D131&gt;=100000,"Moderate","Low")))</x:f>
        <x:v>Low</x:v>
      </x:c>
    </x:row>
    <x:row r="132">
      <x:c r="B132" t="n">
        <x:f>'Frequency Analysis'!H132</x:f>
        <x:v>0</x:v>
      </x:c>
      <x:c r="C132" t="n">
        <x:f>'Loss Magnitude'!H132</x:f>
        <x:v>0</x:v>
      </x:c>
      <x:c r="D132" t="n">
        <x:f>B132*C132</x:f>
        <x:v>0</x:v>
      </x:c>
      <x:c r="E132" t="str">
        <x:f>IF(D132&gt;=500000,"Critical",IF(D132&gt;=250000,"High",IF(D132&gt;=100000,"Moderate","Low")))</x:f>
        <x:v>Low</x:v>
      </x:c>
    </x:row>
    <x:row r="133">
      <x:c r="B133" t="n">
        <x:f>'Frequency Analysis'!H133</x:f>
        <x:v>0</x:v>
      </x:c>
      <x:c r="C133" t="n">
        <x:f>'Loss Magnitude'!H133</x:f>
        <x:v>0</x:v>
      </x:c>
      <x:c r="D133" t="n">
        <x:f>B133*C133</x:f>
        <x:v>0</x:v>
      </x:c>
      <x:c r="E133" t="str">
        <x:f>IF(D133&gt;=500000,"Critical",IF(D133&gt;=250000,"High",IF(D133&gt;=100000,"Moderate","Low")))</x:f>
        <x:v>Low</x:v>
      </x:c>
    </x:row>
    <x:row r="134">
      <x:c r="B134" t="n">
        <x:f>'Frequency Analysis'!H134</x:f>
        <x:v>0</x:v>
      </x:c>
      <x:c r="C134" t="n">
        <x:f>'Loss Magnitude'!H134</x:f>
        <x:v>0</x:v>
      </x:c>
      <x:c r="D134" t="n">
        <x:f>B134*C134</x:f>
        <x:v>0</x:v>
      </x:c>
      <x:c r="E134" t="str">
        <x:f>IF(D134&gt;=500000,"Critical",IF(D134&gt;=250000,"High",IF(D134&gt;=100000,"Moderate","Low")))</x:f>
        <x:v>Low</x:v>
      </x:c>
    </x:row>
    <x:row r="135">
      <x:c r="B135" t="n">
        <x:f>'Frequency Analysis'!H135</x:f>
        <x:v>0</x:v>
      </x:c>
      <x:c r="C135" t="n">
        <x:f>'Loss Magnitude'!H135</x:f>
        <x:v>0</x:v>
      </x:c>
      <x:c r="D135" t="n">
        <x:f>B135*C135</x:f>
        <x:v>0</x:v>
      </x:c>
      <x:c r="E135" t="str">
        <x:f>IF(D135&gt;=500000,"Critical",IF(D135&gt;=250000,"High",IF(D135&gt;=100000,"Moderate","Low")))</x:f>
        <x:v>Low</x:v>
      </x:c>
    </x:row>
    <x:row r="136">
      <x:c r="B136" t="n">
        <x:f>'Frequency Analysis'!H136</x:f>
        <x:v>0</x:v>
      </x:c>
      <x:c r="C136" t="n">
        <x:f>'Loss Magnitude'!H136</x:f>
        <x:v>0</x:v>
      </x:c>
      <x:c r="D136" t="n">
        <x:f>B136*C136</x:f>
        <x:v>0</x:v>
      </x:c>
      <x:c r="E136" t="str">
        <x:f>IF(D136&gt;=500000,"Critical",IF(D136&gt;=250000,"High",IF(D136&gt;=100000,"Moderate","Low")))</x:f>
        <x:v>Low</x:v>
      </x:c>
    </x:row>
    <x:row r="137">
      <x:c r="B137" t="n">
        <x:f>'Frequency Analysis'!H137</x:f>
        <x:v>0</x:v>
      </x:c>
      <x:c r="C137" t="n">
        <x:f>'Loss Magnitude'!H137</x:f>
        <x:v>0</x:v>
      </x:c>
      <x:c r="D137" t="n">
        <x:f>B137*C137</x:f>
        <x:v>0</x:v>
      </x:c>
      <x:c r="E137" t="str">
        <x:f>IF(D137&gt;=500000,"Critical",IF(D137&gt;=250000,"High",IF(D137&gt;=100000,"Moderate","Low")))</x:f>
        <x:v>Low</x:v>
      </x:c>
    </x:row>
    <x:row r="138">
      <x:c r="B138" t="n">
        <x:f>'Frequency Analysis'!H138</x:f>
        <x:v>0</x:v>
      </x:c>
      <x:c r="C138" t="n">
        <x:f>'Loss Magnitude'!H138</x:f>
        <x:v>0</x:v>
      </x:c>
      <x:c r="D138" t="n">
        <x:f>B138*C138</x:f>
        <x:v>0</x:v>
      </x:c>
      <x:c r="E138" t="str">
        <x:f>IF(D138&gt;=500000,"Critical",IF(D138&gt;=250000,"High",IF(D138&gt;=100000,"Moderate","Low")))</x:f>
        <x:v>Low</x:v>
      </x:c>
    </x:row>
    <x:row r="139">
      <x:c r="B139" t="n">
        <x:f>'Frequency Analysis'!H139</x:f>
        <x:v>0</x:v>
      </x:c>
      <x:c r="C139" t="n">
        <x:f>'Loss Magnitude'!H139</x:f>
        <x:v>0</x:v>
      </x:c>
      <x:c r="D139" t="n">
        <x:f>B139*C139</x:f>
        <x:v>0</x:v>
      </x:c>
      <x:c r="E139" t="str">
        <x:f>IF(D139&gt;=500000,"Critical",IF(D139&gt;=250000,"High",IF(D139&gt;=100000,"Moderate","Low")))</x:f>
        <x:v>Low</x:v>
      </x:c>
    </x:row>
    <x:row r="140">
      <x:c r="B140" t="n">
        <x:f>'Frequency Analysis'!H140</x:f>
        <x:v>0</x:v>
      </x:c>
      <x:c r="C140" t="n">
        <x:f>'Loss Magnitude'!H140</x:f>
        <x:v>0</x:v>
      </x:c>
      <x:c r="D140" t="n">
        <x:f>B140*C140</x:f>
        <x:v>0</x:v>
      </x:c>
      <x:c r="E140" t="str">
        <x:f>IF(D140&gt;=500000,"Critical",IF(D140&gt;=250000,"High",IF(D140&gt;=100000,"Moderate","Low")))</x:f>
        <x:v>Low</x:v>
      </x:c>
    </x:row>
    <x:row r="141">
      <x:c r="B141" t="n">
        <x:f>'Frequency Analysis'!H141</x:f>
        <x:v>0</x:v>
      </x:c>
      <x:c r="C141" t="n">
        <x:f>'Loss Magnitude'!H141</x:f>
        <x:v>0</x:v>
      </x:c>
      <x:c r="D141" t="n">
        <x:f>B141*C141</x:f>
        <x:v>0</x:v>
      </x:c>
      <x:c r="E141" t="str">
        <x:f>IF(D141&gt;=500000,"Critical",IF(D141&gt;=250000,"High",IF(D141&gt;=100000,"Moderate","Low")))</x:f>
        <x:v>Low</x:v>
      </x:c>
    </x:row>
    <x:row r="142">
      <x:c r="B142" t="n">
        <x:f>'Frequency Analysis'!H142</x:f>
        <x:v>0</x:v>
      </x:c>
      <x:c r="C142" t="n">
        <x:f>'Loss Magnitude'!H142</x:f>
        <x:v>0</x:v>
      </x:c>
      <x:c r="D142" t="n">
        <x:f>B142*C142</x:f>
        <x:v>0</x:v>
      </x:c>
      <x:c r="E142" t="str">
        <x:f>IF(D142&gt;=500000,"Critical",IF(D142&gt;=250000,"High",IF(D142&gt;=100000,"Moderate","Low")))</x:f>
        <x:v>Low</x:v>
      </x:c>
    </x:row>
    <x:row r="143">
      <x:c r="B143" t="n">
        <x:f>'Frequency Analysis'!H143</x:f>
        <x:v>0</x:v>
      </x:c>
      <x:c r="C143" t="n">
        <x:f>'Loss Magnitude'!H143</x:f>
        <x:v>0</x:v>
      </x:c>
      <x:c r="D143" t="n">
        <x:f>B143*C143</x:f>
        <x:v>0</x:v>
      </x:c>
      <x:c r="E143" t="str">
        <x:f>IF(D143&gt;=500000,"Critical",IF(D143&gt;=250000,"High",IF(D143&gt;=100000,"Moderate","Low")))</x:f>
        <x:v>Low</x:v>
      </x:c>
    </x:row>
    <x:row r="144">
      <x:c r="B144" t="n">
        <x:f>'Frequency Analysis'!H144</x:f>
        <x:v>0</x:v>
      </x:c>
      <x:c r="C144" t="n">
        <x:f>'Loss Magnitude'!H144</x:f>
        <x:v>0</x:v>
      </x:c>
      <x:c r="D144" t="n">
        <x:f>B144*C144</x:f>
        <x:v>0</x:v>
      </x:c>
      <x:c r="E144" t="str">
        <x:f>IF(D144&gt;=500000,"Critical",IF(D144&gt;=250000,"High",IF(D144&gt;=100000,"Moderate","Low")))</x:f>
        <x:v>Low</x:v>
      </x:c>
    </x:row>
    <x:row r="145">
      <x:c r="B145" t="n">
        <x:f>'Frequency Analysis'!H145</x:f>
        <x:v>0</x:v>
      </x:c>
      <x:c r="C145" t="n">
        <x:f>'Loss Magnitude'!H145</x:f>
        <x:v>0</x:v>
      </x:c>
      <x:c r="D145" t="n">
        <x:f>B145*C145</x:f>
        <x:v>0</x:v>
      </x:c>
      <x:c r="E145" t="str">
        <x:f>IF(D145&gt;=500000,"Critical",IF(D145&gt;=250000,"High",IF(D145&gt;=100000,"Moderate","Low")))</x:f>
        <x:v>Low</x:v>
      </x:c>
    </x:row>
    <x:row r="146">
      <x:c r="B146" t="n">
        <x:f>'Frequency Analysis'!H146</x:f>
        <x:v>0</x:v>
      </x:c>
      <x:c r="C146" t="n">
        <x:f>'Loss Magnitude'!H146</x:f>
        <x:v>0</x:v>
      </x:c>
      <x:c r="D146" t="n">
        <x:f>B146*C146</x:f>
        <x:v>0</x:v>
      </x:c>
      <x:c r="E146" t="str">
        <x:f>IF(D146&gt;=500000,"Critical",IF(D146&gt;=250000,"High",IF(D146&gt;=100000,"Moderate","Low")))</x:f>
        <x:v>Low</x:v>
      </x:c>
    </x:row>
    <x:row r="147">
      <x:c r="B147" t="n">
        <x:f>'Frequency Analysis'!H147</x:f>
        <x:v>0</x:v>
      </x:c>
      <x:c r="C147" t="n">
        <x:f>'Loss Magnitude'!H147</x:f>
        <x:v>0</x:v>
      </x:c>
      <x:c r="D147" t="n">
        <x:f>B147*C147</x:f>
        <x:v>0</x:v>
      </x:c>
      <x:c r="E147" t="str">
        <x:f>IF(D147&gt;=500000,"Critical",IF(D147&gt;=250000,"High",IF(D147&gt;=100000,"Moderate","Low")))</x:f>
        <x:v>Low</x:v>
      </x:c>
    </x:row>
    <x:row r="148">
      <x:c r="B148" t="n">
        <x:f>'Frequency Analysis'!H148</x:f>
        <x:v>0</x:v>
      </x:c>
      <x:c r="C148" t="n">
        <x:f>'Loss Magnitude'!H148</x:f>
        <x:v>0</x:v>
      </x:c>
      <x:c r="D148" t="n">
        <x:f>B148*C148</x:f>
        <x:v>0</x:v>
      </x:c>
      <x:c r="E148" t="str">
        <x:f>IF(D148&gt;=500000,"Critical",IF(D148&gt;=250000,"High",IF(D148&gt;=100000,"Moderate","Low")))</x:f>
        <x:v>Low</x:v>
      </x:c>
    </x:row>
    <x:row r="149">
      <x:c r="B149" t="n">
        <x:f>'Frequency Analysis'!H149</x:f>
        <x:v>0</x:v>
      </x:c>
      <x:c r="C149" t="n">
        <x:f>'Loss Magnitude'!H149</x:f>
        <x:v>0</x:v>
      </x:c>
      <x:c r="D149" t="n">
        <x:f>B149*C149</x:f>
        <x:v>0</x:v>
      </x:c>
      <x:c r="E149" t="str">
        <x:f>IF(D149&gt;=500000,"Critical",IF(D149&gt;=250000,"High",IF(D149&gt;=100000,"Moderate","Low")))</x:f>
        <x:v>Low</x:v>
      </x:c>
    </x:row>
    <x:row r="150">
      <x:c r="B150" t="n">
        <x:f>'Frequency Analysis'!H150</x:f>
        <x:v>0</x:v>
      </x:c>
      <x:c r="C150" t="n">
        <x:f>'Loss Magnitude'!H150</x:f>
        <x:v>0</x:v>
      </x:c>
      <x:c r="D150" t="n">
        <x:f>B150*C150</x:f>
        <x:v>0</x:v>
      </x:c>
      <x:c r="E150" t="str">
        <x:f>IF(D150&gt;=500000,"Critical",IF(D150&gt;=250000,"High",IF(D150&gt;=100000,"Moderate","Low")))</x:f>
        <x:v>Low</x:v>
      </x:c>
    </x:row>
    <x:row r="151">
      <x:c r="B151" t="n">
        <x:f>'Frequency Analysis'!H151</x:f>
        <x:v>0</x:v>
      </x:c>
      <x:c r="C151" t="n">
        <x:f>'Loss Magnitude'!H151</x:f>
        <x:v>0</x:v>
      </x:c>
      <x:c r="D151" t="n">
        <x:f>B151*C151</x:f>
        <x:v>0</x:v>
      </x:c>
      <x:c r="E151" t="str">
        <x:f>IF(D151&gt;=500000,"Critical",IF(D151&gt;=250000,"High",IF(D151&gt;=100000,"Moderate","Low")))</x:f>
        <x:v>Low</x:v>
      </x:c>
    </x:row>
    <x:row r="152">
      <x:c r="B152" t="n">
        <x:f>'Frequency Analysis'!H152</x:f>
        <x:v>0</x:v>
      </x:c>
      <x:c r="C152" t="n">
        <x:f>'Loss Magnitude'!H152</x:f>
        <x:v>0</x:v>
      </x:c>
      <x:c r="D152" t="n">
        <x:f>B152*C152</x:f>
        <x:v>0</x:v>
      </x:c>
      <x:c r="E152" t="str">
        <x:f>IF(D152&gt;=500000,"Critical",IF(D152&gt;=250000,"High",IF(D152&gt;=100000,"Moderate","Low")))</x:f>
        <x:v>Low</x:v>
      </x:c>
    </x:row>
    <x:row r="153">
      <x:c r="B153" t="n">
        <x:f>'Frequency Analysis'!H153</x:f>
        <x:v>0</x:v>
      </x:c>
      <x:c r="C153" t="n">
        <x:f>'Loss Magnitude'!H153</x:f>
        <x:v>0</x:v>
      </x:c>
      <x:c r="D153" t="n">
        <x:f>B153*C153</x:f>
        <x:v>0</x:v>
      </x:c>
      <x:c r="E153" t="str">
        <x:f>IF(D153&gt;=500000,"Critical",IF(D153&gt;=250000,"High",IF(D153&gt;=100000,"Moderate","Low")))</x:f>
        <x:v>Low</x:v>
      </x:c>
    </x:row>
    <x:row r="154">
      <x:c r="B154" t="n">
        <x:f>'Frequency Analysis'!H154</x:f>
        <x:v>0</x:v>
      </x:c>
      <x:c r="C154" t="n">
        <x:f>'Loss Magnitude'!H154</x:f>
        <x:v>0</x:v>
      </x:c>
      <x:c r="D154" t="n">
        <x:f>B154*C154</x:f>
        <x:v>0</x:v>
      </x:c>
      <x:c r="E154" t="str">
        <x:f>IF(D154&gt;=500000,"Critical",IF(D154&gt;=250000,"High",IF(D154&gt;=100000,"Moderate","Low")))</x:f>
        <x:v>Low</x:v>
      </x:c>
    </x:row>
    <x:row r="155">
      <x:c r="B155" t="n">
        <x:f>'Frequency Analysis'!H155</x:f>
        <x:v>0</x:v>
      </x:c>
      <x:c r="C155" t="n">
        <x:f>'Loss Magnitude'!H155</x:f>
        <x:v>0</x:v>
      </x:c>
      <x:c r="D155" t="n">
        <x:f>B155*C155</x:f>
        <x:v>0</x:v>
      </x:c>
      <x:c r="E155" t="str">
        <x:f>IF(D155&gt;=500000,"Critical",IF(D155&gt;=250000,"High",IF(D155&gt;=100000,"Moderate","Low")))</x:f>
        <x:v>Low</x:v>
      </x:c>
    </x:row>
    <x:row r="156">
      <x:c r="B156" t="n">
        <x:f>'Frequency Analysis'!H156</x:f>
        <x:v>0</x:v>
      </x:c>
      <x:c r="C156" t="n">
        <x:f>'Loss Magnitude'!H156</x:f>
        <x:v>0</x:v>
      </x:c>
      <x:c r="D156" t="n">
        <x:f>B156*C156</x:f>
        <x:v>0</x:v>
      </x:c>
      <x:c r="E156" t="str">
        <x:f>IF(D156&gt;=500000,"Critical",IF(D156&gt;=250000,"High",IF(D156&gt;=100000,"Moderate","Low")))</x:f>
        <x:v>Low</x:v>
      </x:c>
    </x:row>
    <x:row r="157">
      <x:c r="B157" t="n">
        <x:f>'Frequency Analysis'!H157</x:f>
        <x:v>0</x:v>
      </x:c>
      <x:c r="C157" t="n">
        <x:f>'Loss Magnitude'!H157</x:f>
        <x:v>0</x:v>
      </x:c>
      <x:c r="D157" t="n">
        <x:f>B157*C157</x:f>
        <x:v>0</x:v>
      </x:c>
      <x:c r="E157" t="str">
        <x:f>IF(D157&gt;=500000,"Critical",IF(D157&gt;=250000,"High",IF(D157&gt;=100000,"Moderate","Low")))</x:f>
        <x:v>Low</x:v>
      </x:c>
    </x:row>
    <x:row r="158">
      <x:c r="B158" t="n">
        <x:f>'Frequency Analysis'!H158</x:f>
        <x:v>0</x:v>
      </x:c>
      <x:c r="C158" t="n">
        <x:f>'Loss Magnitude'!H158</x:f>
        <x:v>0</x:v>
      </x:c>
      <x:c r="D158" t="n">
        <x:f>B158*C158</x:f>
        <x:v>0</x:v>
      </x:c>
      <x:c r="E158" t="str">
        <x:f>IF(D158&gt;=500000,"Critical",IF(D158&gt;=250000,"High",IF(D158&gt;=100000,"Moderate","Low")))</x:f>
        <x:v>Low</x:v>
      </x:c>
    </x:row>
    <x:row r="159">
      <x:c r="B159" t="n">
        <x:f>'Frequency Analysis'!H159</x:f>
        <x:v>0</x:v>
      </x:c>
      <x:c r="C159" t="n">
        <x:f>'Loss Magnitude'!H159</x:f>
        <x:v>0</x:v>
      </x:c>
      <x:c r="D159" t="n">
        <x:f>B159*C159</x:f>
        <x:v>0</x:v>
      </x:c>
      <x:c r="E159" t="str">
        <x:f>IF(D159&gt;=500000,"Critical",IF(D159&gt;=250000,"High",IF(D159&gt;=100000,"Moderate","Low")))</x:f>
        <x:v>Low</x:v>
      </x:c>
    </x:row>
    <x:row r="160">
      <x:c r="B160" t="n">
        <x:f>'Frequency Analysis'!H160</x:f>
        <x:v>0</x:v>
      </x:c>
      <x:c r="C160" t="n">
        <x:f>'Loss Magnitude'!H160</x:f>
        <x:v>0</x:v>
      </x:c>
      <x:c r="D160" t="n">
        <x:f>B160*C160</x:f>
        <x:v>0</x:v>
      </x:c>
      <x:c r="E160" t="str">
        <x:f>IF(D160&gt;=500000,"Critical",IF(D160&gt;=250000,"High",IF(D160&gt;=100000,"Moderate","Low")))</x:f>
        <x:v>Low</x:v>
      </x:c>
    </x:row>
    <x:row r="161">
      <x:c r="B161" t="n">
        <x:f>'Frequency Analysis'!H161</x:f>
        <x:v>0</x:v>
      </x:c>
      <x:c r="C161" t="n">
        <x:f>'Loss Magnitude'!H161</x:f>
        <x:v>0</x:v>
      </x:c>
      <x:c r="D161" t="n">
        <x:f>B161*C161</x:f>
        <x:v>0</x:v>
      </x:c>
      <x:c r="E161" t="str">
        <x:f>IF(D161&gt;=500000,"Critical",IF(D161&gt;=250000,"High",IF(D161&gt;=100000,"Moderate","Low")))</x:f>
        <x:v>Low</x:v>
      </x:c>
    </x:row>
    <x:row r="162">
      <x:c r="B162" t="n">
        <x:f>'Frequency Analysis'!H162</x:f>
        <x:v>0</x:v>
      </x:c>
      <x:c r="C162" t="n">
        <x:f>'Loss Magnitude'!H162</x:f>
        <x:v>0</x:v>
      </x:c>
      <x:c r="D162" t="n">
        <x:f>B162*C162</x:f>
        <x:v>0</x:v>
      </x:c>
      <x:c r="E162" t="str">
        <x:f>IF(D162&gt;=500000,"Critical",IF(D162&gt;=250000,"High",IF(D162&gt;=100000,"Moderate","Low")))</x:f>
        <x:v>Low</x:v>
      </x:c>
    </x:row>
    <x:row r="163">
      <x:c r="B163" t="n">
        <x:f>'Frequency Analysis'!H163</x:f>
        <x:v>0</x:v>
      </x:c>
      <x:c r="C163" t="n">
        <x:f>'Loss Magnitude'!H163</x:f>
        <x:v>0</x:v>
      </x:c>
      <x:c r="D163" t="n">
        <x:f>B163*C163</x:f>
        <x:v>0</x:v>
      </x:c>
      <x:c r="E163" t="str">
        <x:f>IF(D163&gt;=500000,"Critical",IF(D163&gt;=250000,"High",IF(D163&gt;=100000,"Moderate","Low")))</x:f>
        <x:v>Low</x:v>
      </x:c>
    </x:row>
    <x:row r="164">
      <x:c r="B164" t="n">
        <x:f>'Frequency Analysis'!H164</x:f>
        <x:v>0</x:v>
      </x:c>
      <x:c r="C164" t="n">
        <x:f>'Loss Magnitude'!H164</x:f>
        <x:v>0</x:v>
      </x:c>
      <x:c r="D164" t="n">
        <x:f>B164*C164</x:f>
        <x:v>0</x:v>
      </x:c>
      <x:c r="E164" t="str">
        <x:f>IF(D164&gt;=500000,"Critical",IF(D164&gt;=250000,"High",IF(D164&gt;=100000,"Moderate","Low")))</x:f>
        <x:v>Low</x:v>
      </x:c>
    </x:row>
    <x:row r="165">
      <x:c r="B165" t="n">
        <x:f>'Frequency Analysis'!H165</x:f>
        <x:v>0</x:v>
      </x:c>
      <x:c r="C165" t="n">
        <x:f>'Loss Magnitude'!H165</x:f>
        <x:v>0</x:v>
      </x:c>
      <x:c r="D165" t="n">
        <x:f>B165*C165</x:f>
        <x:v>0</x:v>
      </x:c>
      <x:c r="E165" t="str">
        <x:f>IF(D165&gt;=500000,"Critical",IF(D165&gt;=250000,"High",IF(D165&gt;=100000,"Moderate","Low")))</x:f>
        <x:v>Low</x:v>
      </x:c>
    </x:row>
    <x:row r="166">
      <x:c r="B166" t="n">
        <x:f>'Frequency Analysis'!H166</x:f>
        <x:v>0</x:v>
      </x:c>
      <x:c r="C166" t="n">
        <x:f>'Loss Magnitude'!H166</x:f>
        <x:v>0</x:v>
      </x:c>
      <x:c r="D166" t="n">
        <x:f>B166*C166</x:f>
        <x:v>0</x:v>
      </x:c>
      <x:c r="E166" t="str">
        <x:f>IF(D166&gt;=500000,"Critical",IF(D166&gt;=250000,"High",IF(D166&gt;=100000,"Moderate","Low")))</x:f>
        <x:v>Low</x:v>
      </x:c>
    </x:row>
    <x:row r="167">
      <x:c r="B167" t="n">
        <x:f>'Frequency Analysis'!H167</x:f>
        <x:v>0</x:v>
      </x:c>
      <x:c r="C167" t="n">
        <x:f>'Loss Magnitude'!H167</x:f>
        <x:v>0</x:v>
      </x:c>
      <x:c r="D167" t="n">
        <x:f>B167*C167</x:f>
        <x:v>0</x:v>
      </x:c>
      <x:c r="E167" t="str">
        <x:f>IF(D167&gt;=500000,"Critical",IF(D167&gt;=250000,"High",IF(D167&gt;=100000,"Moderate","Low")))</x:f>
        <x:v>Low</x:v>
      </x:c>
    </x:row>
    <x:row r="168">
      <x:c r="B168" t="n">
        <x:f>'Frequency Analysis'!H168</x:f>
        <x:v>0</x:v>
      </x:c>
      <x:c r="C168" t="n">
        <x:f>'Loss Magnitude'!H168</x:f>
        <x:v>0</x:v>
      </x:c>
      <x:c r="D168" t="n">
        <x:f>B168*C168</x:f>
        <x:v>0</x:v>
      </x:c>
      <x:c r="E168" t="str">
        <x:f>IF(D168&gt;=500000,"Critical",IF(D168&gt;=250000,"High",IF(D168&gt;=100000,"Moderate","Low")))</x:f>
        <x:v>Low</x:v>
      </x:c>
    </x:row>
    <x:row r="169">
      <x:c r="B169" t="n">
        <x:f>'Frequency Analysis'!H169</x:f>
        <x:v>0</x:v>
      </x:c>
      <x:c r="C169" t="n">
        <x:f>'Loss Magnitude'!H169</x:f>
        <x:v>0</x:v>
      </x:c>
      <x:c r="D169" t="n">
        <x:f>B169*C169</x:f>
        <x:v>0</x:v>
      </x:c>
      <x:c r="E169" t="str">
        <x:f>IF(D169&gt;=500000,"Critical",IF(D169&gt;=250000,"High",IF(D169&gt;=100000,"Moderate","Low")))</x:f>
        <x:v>Low</x:v>
      </x:c>
    </x:row>
    <x:row r="170">
      <x:c r="B170" t="n">
        <x:f>'Frequency Analysis'!H170</x:f>
        <x:v>0</x:v>
      </x:c>
      <x:c r="C170" t="n">
        <x:f>'Loss Magnitude'!H170</x:f>
        <x:v>0</x:v>
      </x:c>
      <x:c r="D170" t="n">
        <x:f>B170*C170</x:f>
        <x:v>0</x:v>
      </x:c>
      <x:c r="E170" t="str">
        <x:f>IF(D170&gt;=500000,"Critical",IF(D170&gt;=250000,"High",IF(D170&gt;=100000,"Moderate","Low")))</x:f>
        <x:v>Low</x:v>
      </x:c>
    </x:row>
    <x:row r="171">
      <x:c r="B171" t="n">
        <x:f>'Frequency Analysis'!H171</x:f>
        <x:v>0</x:v>
      </x:c>
      <x:c r="C171" t="n">
        <x:f>'Loss Magnitude'!H171</x:f>
        <x:v>0</x:v>
      </x:c>
      <x:c r="D171" t="n">
        <x:f>B171*C171</x:f>
        <x:v>0</x:v>
      </x:c>
      <x:c r="E171" t="str">
        <x:f>IF(D171&gt;=500000,"Critical",IF(D171&gt;=250000,"High",IF(D171&gt;=100000,"Moderate","Low")))</x:f>
        <x:v>Low</x:v>
      </x:c>
    </x:row>
    <x:row r="172">
      <x:c r="B172" t="n">
        <x:f>'Frequency Analysis'!H172</x:f>
        <x:v>0</x:v>
      </x:c>
      <x:c r="C172" t="n">
        <x:f>'Loss Magnitude'!H172</x:f>
        <x:v>0</x:v>
      </x:c>
      <x:c r="D172" t="n">
        <x:f>B172*C172</x:f>
        <x:v>0</x:v>
      </x:c>
      <x:c r="E172" t="str">
        <x:f>IF(D172&gt;=500000,"Critical",IF(D172&gt;=250000,"High",IF(D172&gt;=100000,"Moderate","Low")))</x:f>
        <x:v>Low</x:v>
      </x:c>
    </x:row>
    <x:row r="173">
      <x:c r="B173" t="n">
        <x:f>'Frequency Analysis'!H173</x:f>
        <x:v>0</x:v>
      </x:c>
      <x:c r="C173" t="n">
        <x:f>'Loss Magnitude'!H173</x:f>
        <x:v>0</x:v>
      </x:c>
      <x:c r="D173" t="n">
        <x:f>B173*C173</x:f>
        <x:v>0</x:v>
      </x:c>
      <x:c r="E173" t="str">
        <x:f>IF(D173&gt;=500000,"Critical",IF(D173&gt;=250000,"High",IF(D173&gt;=100000,"Moderate","Low")))</x:f>
        <x:v>Low</x:v>
      </x:c>
    </x:row>
    <x:row r="174">
      <x:c r="B174" t="n">
        <x:f>'Frequency Analysis'!H174</x:f>
        <x:v>0</x:v>
      </x:c>
      <x:c r="C174" t="n">
        <x:f>'Loss Magnitude'!H174</x:f>
        <x:v>0</x:v>
      </x:c>
      <x:c r="D174" t="n">
        <x:f>B174*C174</x:f>
        <x:v>0</x:v>
      </x:c>
      <x:c r="E174" t="str">
        <x:f>IF(D174&gt;=500000,"Critical",IF(D174&gt;=250000,"High",IF(D174&gt;=100000,"Moderate","Low")))</x:f>
        <x:v>Low</x:v>
      </x:c>
    </x:row>
    <x:row r="175">
      <x:c r="B175" t="n">
        <x:f>'Frequency Analysis'!H175</x:f>
        <x:v>0</x:v>
      </x:c>
      <x:c r="C175" t="n">
        <x:f>'Loss Magnitude'!H175</x:f>
        <x:v>0</x:v>
      </x:c>
      <x:c r="D175" t="n">
        <x:f>B175*C175</x:f>
        <x:v>0</x:v>
      </x:c>
      <x:c r="E175" t="str">
        <x:f>IF(D175&gt;=500000,"Critical",IF(D175&gt;=250000,"High",IF(D175&gt;=100000,"Moderate","Low")))</x:f>
        <x:v>Low</x:v>
      </x:c>
    </x:row>
    <x:row r="176">
      <x:c r="B176" t="n">
        <x:f>'Frequency Analysis'!H176</x:f>
        <x:v>0</x:v>
      </x:c>
      <x:c r="C176" t="n">
        <x:f>'Loss Magnitude'!H176</x:f>
        <x:v>0</x:v>
      </x:c>
      <x:c r="D176" t="n">
        <x:f>B176*C176</x:f>
        <x:v>0</x:v>
      </x:c>
      <x:c r="E176" t="str">
        <x:f>IF(D176&gt;=500000,"Critical",IF(D176&gt;=250000,"High",IF(D176&gt;=100000,"Moderate","Low")))</x:f>
        <x:v>Low</x:v>
      </x:c>
    </x:row>
    <x:row r="177">
      <x:c r="B177" t="n">
        <x:f>'Frequency Analysis'!H177</x:f>
        <x:v>0</x:v>
      </x:c>
      <x:c r="C177" t="n">
        <x:f>'Loss Magnitude'!H177</x:f>
        <x:v>0</x:v>
      </x:c>
      <x:c r="D177" t="n">
        <x:f>B177*C177</x:f>
        <x:v>0</x:v>
      </x:c>
      <x:c r="E177" t="str">
        <x:f>IF(D177&gt;=500000,"Critical",IF(D177&gt;=250000,"High",IF(D177&gt;=100000,"Moderate","Low")))</x:f>
        <x:v>Low</x:v>
      </x:c>
    </x:row>
    <x:row r="178">
      <x:c r="B178" t="n">
        <x:f>'Frequency Analysis'!H178</x:f>
        <x:v>0</x:v>
      </x:c>
      <x:c r="C178" t="n">
        <x:f>'Loss Magnitude'!H178</x:f>
        <x:v>0</x:v>
      </x:c>
      <x:c r="D178" t="n">
        <x:f>B178*C178</x:f>
        <x:v>0</x:v>
      </x:c>
      <x:c r="E178" t="str">
        <x:f>IF(D178&gt;=500000,"Critical",IF(D178&gt;=250000,"High",IF(D178&gt;=100000,"Moderate","Low")))</x:f>
        <x:v>Low</x:v>
      </x:c>
    </x:row>
    <x:row r="179">
      <x:c r="B179" t="n">
        <x:f>'Frequency Analysis'!H179</x:f>
        <x:v>0</x:v>
      </x:c>
      <x:c r="C179" t="n">
        <x:f>'Loss Magnitude'!H179</x:f>
        <x:v>0</x:v>
      </x:c>
      <x:c r="D179" t="n">
        <x:f>B179*C179</x:f>
        <x:v>0</x:v>
      </x:c>
      <x:c r="E179" t="str">
        <x:f>IF(D179&gt;=500000,"Critical",IF(D179&gt;=250000,"High",IF(D179&gt;=100000,"Moderate","Low")))</x:f>
        <x:v>Low</x:v>
      </x:c>
    </x:row>
    <x:row r="180">
      <x:c r="B180" t="n">
        <x:f>'Frequency Analysis'!H180</x:f>
        <x:v>0</x:v>
      </x:c>
      <x:c r="C180" t="n">
        <x:f>'Loss Magnitude'!H180</x:f>
        <x:v>0</x:v>
      </x:c>
      <x:c r="D180" t="n">
        <x:f>B180*C180</x:f>
        <x:v>0</x:v>
      </x:c>
      <x:c r="E180" t="str">
        <x:f>IF(D180&gt;=500000,"Critical",IF(D180&gt;=250000,"High",IF(D180&gt;=100000,"Moderate","Low")))</x:f>
        <x:v>Low</x:v>
      </x:c>
    </x:row>
    <x:row r="181">
      <x:c r="B181" t="n">
        <x:f>'Frequency Analysis'!H181</x:f>
        <x:v>0</x:v>
      </x:c>
      <x:c r="C181" t="n">
        <x:f>'Loss Magnitude'!H181</x:f>
        <x:v>0</x:v>
      </x:c>
      <x:c r="D181" t="n">
        <x:f>B181*C181</x:f>
        <x:v>0</x:v>
      </x:c>
      <x:c r="E181" t="str">
        <x:f>IF(D181&gt;=500000,"Critical",IF(D181&gt;=250000,"High",IF(D181&gt;=100000,"Moderate","Low")))</x:f>
        <x:v>Low</x:v>
      </x:c>
    </x:row>
    <x:row r="182">
      <x:c r="B182" t="n">
        <x:f>'Frequency Analysis'!H182</x:f>
        <x:v>0</x:v>
      </x:c>
      <x:c r="C182" t="n">
        <x:f>'Loss Magnitude'!H182</x:f>
        <x:v>0</x:v>
      </x:c>
      <x:c r="D182" t="n">
        <x:f>B182*C182</x:f>
        <x:v>0</x:v>
      </x:c>
      <x:c r="E182" t="str">
        <x:f>IF(D182&gt;=500000,"Critical",IF(D182&gt;=250000,"High",IF(D182&gt;=100000,"Moderate","Low")))</x:f>
        <x:v>Low</x:v>
      </x:c>
    </x:row>
    <x:row r="183">
      <x:c r="B183" t="n">
        <x:f>'Frequency Analysis'!H183</x:f>
        <x:v>0</x:v>
      </x:c>
      <x:c r="C183" t="n">
        <x:f>'Loss Magnitude'!H183</x:f>
        <x:v>0</x:v>
      </x:c>
      <x:c r="D183" t="n">
        <x:f>B183*C183</x:f>
        <x:v>0</x:v>
      </x:c>
      <x:c r="E183" t="str">
        <x:f>IF(D183&gt;=500000,"Critical",IF(D183&gt;=250000,"High",IF(D183&gt;=100000,"Moderate","Low")))</x:f>
        <x:v>Low</x:v>
      </x:c>
    </x:row>
    <x:row r="184">
      <x:c r="B184" t="n">
        <x:f>'Frequency Analysis'!H184</x:f>
        <x:v>0</x:v>
      </x:c>
      <x:c r="C184" t="n">
        <x:f>'Loss Magnitude'!H184</x:f>
        <x:v>0</x:v>
      </x:c>
      <x:c r="D184" t="n">
        <x:f>B184*C184</x:f>
        <x:v>0</x:v>
      </x:c>
      <x:c r="E184" t="str">
        <x:f>IF(D184&gt;=500000,"Critical",IF(D184&gt;=250000,"High",IF(D184&gt;=100000,"Moderate","Low")))</x:f>
        <x:v>Low</x:v>
      </x:c>
    </x:row>
    <x:row r="185">
      <x:c r="B185" t="n">
        <x:f>'Frequency Analysis'!H185</x:f>
        <x:v>0</x:v>
      </x:c>
      <x:c r="C185" t="n">
        <x:f>'Loss Magnitude'!H185</x:f>
        <x:v>0</x:v>
      </x:c>
      <x:c r="D185" t="n">
        <x:f>B185*C185</x:f>
        <x:v>0</x:v>
      </x:c>
      <x:c r="E185" t="str">
        <x:f>IF(D185&gt;=500000,"Critical",IF(D185&gt;=250000,"High",IF(D185&gt;=100000,"Moderate","Low")))</x:f>
        <x:v>Low</x:v>
      </x:c>
    </x:row>
    <x:row r="186">
      <x:c r="B186" t="n">
        <x:f>'Frequency Analysis'!H186</x:f>
        <x:v>0</x:v>
      </x:c>
      <x:c r="C186" t="n">
        <x:f>'Loss Magnitude'!H186</x:f>
        <x:v>0</x:v>
      </x:c>
      <x:c r="D186" t="n">
        <x:f>B186*C186</x:f>
        <x:v>0</x:v>
      </x:c>
      <x:c r="E186" t="str">
        <x:f>IF(D186&gt;=500000,"Critical",IF(D186&gt;=250000,"High",IF(D186&gt;=100000,"Moderate","Low")))</x:f>
        <x:v>Low</x:v>
      </x:c>
    </x:row>
    <x:row r="187">
      <x:c r="B187" t="n">
        <x:f>'Frequency Analysis'!H187</x:f>
        <x:v>0</x:v>
      </x:c>
      <x:c r="C187" t="n">
        <x:f>'Loss Magnitude'!H187</x:f>
        <x:v>0</x:v>
      </x:c>
      <x:c r="D187" t="n">
        <x:f>B187*C187</x:f>
        <x:v>0</x:v>
      </x:c>
      <x:c r="E187" t="str">
        <x:f>IF(D187&gt;=500000,"Critical",IF(D187&gt;=250000,"High",IF(D187&gt;=100000,"Moderate","Low")))</x:f>
        <x:v>Low</x:v>
      </x:c>
    </x:row>
    <x:row r="188">
      <x:c r="B188" t="n">
        <x:f>'Frequency Analysis'!H188</x:f>
        <x:v>0</x:v>
      </x:c>
      <x:c r="C188" t="n">
        <x:f>'Loss Magnitude'!H188</x:f>
        <x:v>0</x:v>
      </x:c>
      <x:c r="D188" t="n">
        <x:f>B188*C188</x:f>
        <x:v>0</x:v>
      </x:c>
      <x:c r="E188" t="str">
        <x:f>IF(D188&gt;=500000,"Critical",IF(D188&gt;=250000,"High",IF(D188&gt;=100000,"Moderate","Low")))</x:f>
        <x:v>Low</x:v>
      </x:c>
    </x:row>
    <x:row r="189">
      <x:c r="B189" t="n">
        <x:f>'Frequency Analysis'!H189</x:f>
        <x:v>0</x:v>
      </x:c>
      <x:c r="C189" t="n">
        <x:f>'Loss Magnitude'!H189</x:f>
        <x:v>0</x:v>
      </x:c>
      <x:c r="D189" t="n">
        <x:f>B189*C189</x:f>
        <x:v>0</x:v>
      </x:c>
      <x:c r="E189" t="str">
        <x:f>IF(D189&gt;=500000,"Critical",IF(D189&gt;=250000,"High",IF(D189&gt;=100000,"Moderate","Low")))</x:f>
        <x:v>Low</x:v>
      </x:c>
    </x:row>
    <x:row r="190">
      <x:c r="B190" t="n">
        <x:f>'Frequency Analysis'!H190</x:f>
        <x:v>0</x:v>
      </x:c>
      <x:c r="C190" t="n">
        <x:f>'Loss Magnitude'!H190</x:f>
        <x:v>0</x:v>
      </x:c>
      <x:c r="D190" t="n">
        <x:f>B190*C190</x:f>
        <x:v>0</x:v>
      </x:c>
      <x:c r="E190" t="str">
        <x:f>IF(D190&gt;=500000,"Critical",IF(D190&gt;=250000,"High",IF(D190&gt;=100000,"Moderate","Low")))</x:f>
        <x:v>Low</x:v>
      </x:c>
    </x:row>
    <x:row r="191">
      <x:c r="B191" t="n">
        <x:f>'Frequency Analysis'!H191</x:f>
        <x:v>0</x:v>
      </x:c>
      <x:c r="C191" t="n">
        <x:f>'Loss Magnitude'!H191</x:f>
        <x:v>0</x:v>
      </x:c>
      <x:c r="D191" t="n">
        <x:f>B191*C191</x:f>
        <x:v>0</x:v>
      </x:c>
      <x:c r="E191" t="str">
        <x:f>IF(D191&gt;=500000,"Critical",IF(D191&gt;=250000,"High",IF(D191&gt;=100000,"Moderate","Low")))</x:f>
        <x:v>Low</x:v>
      </x:c>
    </x:row>
    <x:row r="192">
      <x:c r="B192" t="n">
        <x:f>'Frequency Analysis'!H192</x:f>
        <x:v>0</x:v>
      </x:c>
      <x:c r="C192" t="n">
        <x:f>'Loss Magnitude'!H192</x:f>
        <x:v>0</x:v>
      </x:c>
      <x:c r="D192" t="n">
        <x:f>B192*C192</x:f>
        <x:v>0</x:v>
      </x:c>
      <x:c r="E192" t="str">
        <x:f>IF(D192&gt;=500000,"Critical",IF(D192&gt;=250000,"High",IF(D192&gt;=100000,"Moderate","Low")))</x:f>
        <x:v>Low</x:v>
      </x:c>
    </x:row>
    <x:row r="193">
      <x:c r="B193" t="n">
        <x:f>'Frequency Analysis'!H193</x:f>
        <x:v>0</x:v>
      </x:c>
      <x:c r="C193" t="n">
        <x:f>'Loss Magnitude'!H193</x:f>
        <x:v>0</x:v>
      </x:c>
      <x:c r="D193" t="n">
        <x:f>B193*C193</x:f>
        <x:v>0</x:v>
      </x:c>
      <x:c r="E193" t="str">
        <x:f>IF(D193&gt;=500000,"Critical",IF(D193&gt;=250000,"High",IF(D193&gt;=100000,"Moderate","Low")))</x:f>
        <x:v>Low</x:v>
      </x:c>
    </x:row>
    <x:row r="194">
      <x:c r="B194" t="n">
        <x:f>'Frequency Analysis'!H194</x:f>
        <x:v>0</x:v>
      </x:c>
      <x:c r="C194" t="n">
        <x:f>'Loss Magnitude'!H194</x:f>
        <x:v>0</x:v>
      </x:c>
      <x:c r="D194" t="n">
        <x:f>B194*C194</x:f>
        <x:v>0</x:v>
      </x:c>
      <x:c r="E194" t="str">
        <x:f>IF(D194&gt;=500000,"Critical",IF(D194&gt;=250000,"High",IF(D194&gt;=100000,"Moderate","Low")))</x:f>
        <x:v>Low</x:v>
      </x:c>
    </x:row>
    <x:row r="195">
      <x:c r="B195" t="n">
        <x:f>'Frequency Analysis'!H195</x:f>
        <x:v>0</x:v>
      </x:c>
      <x:c r="C195" t="n">
        <x:f>'Loss Magnitude'!H195</x:f>
        <x:v>0</x:v>
      </x:c>
      <x:c r="D195" t="n">
        <x:f>B195*C195</x:f>
        <x:v>0</x:v>
      </x:c>
      <x:c r="E195" t="str">
        <x:f>IF(D195&gt;=500000,"Critical",IF(D195&gt;=250000,"High",IF(D195&gt;=100000,"Moderate","Low")))</x:f>
        <x:v>Low</x:v>
      </x:c>
    </x:row>
    <x:row r="196">
      <x:c r="B196" t="n">
        <x:f>'Frequency Analysis'!H196</x:f>
        <x:v>0</x:v>
      </x:c>
      <x:c r="C196" t="n">
        <x:f>'Loss Magnitude'!H196</x:f>
        <x:v>0</x:v>
      </x:c>
      <x:c r="D196" t="n">
        <x:f>B196*C196</x:f>
        <x:v>0</x:v>
      </x:c>
      <x:c r="E196" t="str">
        <x:f>IF(D196&gt;=500000,"Critical",IF(D196&gt;=250000,"High",IF(D196&gt;=100000,"Moderate","Low")))</x:f>
        <x:v>Low</x:v>
      </x:c>
    </x:row>
    <x:row r="197">
      <x:c r="B197" t="n">
        <x:f>'Frequency Analysis'!H197</x:f>
        <x:v>0</x:v>
      </x:c>
      <x:c r="C197" t="n">
        <x:f>'Loss Magnitude'!H197</x:f>
        <x:v>0</x:v>
      </x:c>
      <x:c r="D197" t="n">
        <x:f>B197*C197</x:f>
        <x:v>0</x:v>
      </x:c>
      <x:c r="E197" t="str">
        <x:f>IF(D197&gt;=500000,"Critical",IF(D197&gt;=250000,"High",IF(D197&gt;=100000,"Moderate","Low")))</x:f>
        <x:v>Low</x:v>
      </x:c>
    </x:row>
    <x:row r="198">
      <x:c r="B198" t="n">
        <x:f>'Frequency Analysis'!H198</x:f>
        <x:v>0</x:v>
      </x:c>
      <x:c r="C198" t="n">
        <x:f>'Loss Magnitude'!H198</x:f>
        <x:v>0</x:v>
      </x:c>
      <x:c r="D198" t="n">
        <x:f>B198*C198</x:f>
        <x:v>0</x:v>
      </x:c>
      <x:c r="E198" t="str">
        <x:f>IF(D198&gt;=500000,"Critical",IF(D198&gt;=250000,"High",IF(D198&gt;=100000,"Moderate","Low")))</x:f>
        <x:v>Low</x:v>
      </x:c>
    </x:row>
    <x:row r="199">
      <x:c r="B199" t="n">
        <x:f>'Frequency Analysis'!H199</x:f>
        <x:v>0</x:v>
      </x:c>
      <x:c r="C199" t="n">
        <x:f>'Loss Magnitude'!H199</x:f>
        <x:v>0</x:v>
      </x:c>
      <x:c r="D199" t="n">
        <x:f>B199*C199</x:f>
        <x:v>0</x:v>
      </x:c>
      <x:c r="E199" t="str">
        <x:f>IF(D199&gt;=500000,"Critical",IF(D199&gt;=250000,"High",IF(D199&gt;=100000,"Moderate","Low")))</x:f>
        <x:v>Low</x:v>
      </x:c>
    </x:row>
    <x:row r="200">
      <x:c r="B200" t="n">
        <x:f>'Frequency Analysis'!H200</x:f>
        <x:v>0</x:v>
      </x:c>
      <x:c r="C200" t="n">
        <x:f>'Loss Magnitude'!H200</x:f>
        <x:v>0</x:v>
      </x:c>
      <x:c r="D200" t="n">
        <x:f>B200*C200</x:f>
        <x:v>0</x:v>
      </x:c>
      <x:c r="E200" t="str">
        <x:f>IF(D200&gt;=500000,"Critical",IF(D200&gt;=250000,"High",IF(D200&gt;=100000,"Moderate","Low")))</x:f>
        <x:v>Low</x:v>
      </x:c>
    </x:row>
    <x:row r="201">
      <x:c r="B201" t="n">
        <x:f>'Frequency Analysis'!H201</x:f>
        <x:v>0</x:v>
      </x:c>
      <x:c r="C201" t="n">
        <x:f>'Loss Magnitude'!H201</x:f>
        <x:v>0</x:v>
      </x:c>
      <x:c r="D201" t="n">
        <x:f>B201*C201</x:f>
        <x:v>0</x:v>
      </x:c>
      <x:c r="E201" t="str">
        <x:f>IF(D201&gt;=500000,"Critical",IF(D201&gt;=250000,"High",IF(D201&gt;=100000,"Moderate","Low")))</x:f>
        <x:v>Low</x:v>
      </x:c>
    </x:row>
    <x:row r="202">
      <x:c r="B202" t="n">
        <x:f>'Frequency Analysis'!H202</x:f>
        <x:v>0</x:v>
      </x:c>
      <x:c r="C202" t="n">
        <x:f>'Loss Magnitude'!H202</x:f>
        <x:v>0</x:v>
      </x:c>
      <x:c r="D202" t="n">
        <x:f>B202*C202</x:f>
        <x:v>0</x:v>
      </x:c>
      <x:c r="E202" t="str">
        <x:f>IF(D202&gt;=500000,"Critical",IF(D202&gt;=250000,"High",IF(D202&gt;=100000,"Moderate","Low")))</x:f>
        <x:v>Low</x:v>
      </x:c>
    </x:row>
    <x:row r="203">
      <x:c r="B203" t="n">
        <x:f>'Frequency Analysis'!H203</x:f>
        <x:v>0</x:v>
      </x:c>
      <x:c r="C203" t="n">
        <x:f>'Loss Magnitude'!H203</x:f>
        <x:v>0</x:v>
      </x:c>
      <x:c r="D203" t="n">
        <x:f>B203*C203</x:f>
        <x:v>0</x:v>
      </x:c>
      <x:c r="E203" t="str">
        <x:f>IF(D203&gt;=500000,"Critical",IF(D203&gt;=250000,"High",IF(D203&gt;=100000,"Moderate","Low")))</x:f>
        <x:v>Low</x:v>
      </x:c>
    </x:row>
    <x:row r="204">
      <x:c r="B204" t="n">
        <x:f>'Frequency Analysis'!H204</x:f>
        <x:v>0</x:v>
      </x:c>
      <x:c r="C204" t="n">
        <x:f>'Loss Magnitude'!H204</x:f>
        <x:v>0</x:v>
      </x:c>
      <x:c r="D204" t="n">
        <x:f>B204*C204</x:f>
        <x:v>0</x:v>
      </x:c>
      <x:c r="E204" t="str">
        <x:f>IF(D204&gt;=500000,"Critical",IF(D204&gt;=250000,"High",IF(D204&gt;=100000,"Moderate","Low")))</x:f>
        <x:v>Low</x:v>
      </x:c>
    </x:row>
    <x:row r="205">
      <x:c r="B205" t="n">
        <x:f>'Frequency Analysis'!H205</x:f>
        <x:v>0</x:v>
      </x:c>
      <x:c r="C205" t="n">
        <x:f>'Loss Magnitude'!H205</x:f>
        <x:v>0</x:v>
      </x:c>
      <x:c r="D205" t="n">
        <x:f>B205*C205</x:f>
        <x:v>0</x:v>
      </x:c>
      <x:c r="E205" t="str">
        <x:f>IF(D205&gt;=500000,"Critical",IF(D205&gt;=250000,"High",IF(D205&gt;=100000,"Moderate","Low")))</x:f>
        <x:v>Low</x:v>
      </x:c>
    </x:row>
    <x:row r="206">
      <x:c r="B206" t="n">
        <x:f>'Frequency Analysis'!H206</x:f>
        <x:v>0</x:v>
      </x:c>
      <x:c r="C206" t="n">
        <x:f>'Loss Magnitude'!H206</x:f>
        <x:v>0</x:v>
      </x:c>
      <x:c r="D206" t="n">
        <x:f>B206*C206</x:f>
        <x:v>0</x:v>
      </x:c>
      <x:c r="E206" t="str">
        <x:f>IF(D206&gt;=500000,"Critical",IF(D206&gt;=250000,"High",IF(D206&gt;=100000,"Moderate","Low")))</x:f>
        <x:v>Low</x:v>
      </x:c>
    </x:row>
    <x:row r="207">
      <x:c r="B207" t="n">
        <x:f>'Frequency Analysis'!H207</x:f>
        <x:v>0</x:v>
      </x:c>
      <x:c r="C207" t="n">
        <x:f>'Loss Magnitude'!H207</x:f>
        <x:v>0</x:v>
      </x:c>
      <x:c r="D207" t="n">
        <x:f>B207*C207</x:f>
        <x:v>0</x:v>
      </x:c>
      <x:c r="E207" t="str">
        <x:f>IF(D207&gt;=500000,"Critical",IF(D207&gt;=250000,"High",IF(D207&gt;=100000,"Moderate","Low")))</x:f>
        <x:v>Low</x:v>
      </x:c>
    </x:row>
    <x:row r="208">
      <x:c r="B208" t="n">
        <x:f>'Frequency Analysis'!H208</x:f>
        <x:v>0</x:v>
      </x:c>
      <x:c r="C208" t="n">
        <x:f>'Loss Magnitude'!H208</x:f>
        <x:v>0</x:v>
      </x:c>
      <x:c r="D208" t="n">
        <x:f>B208*C208</x:f>
        <x:v>0</x:v>
      </x:c>
      <x:c r="E208" t="str">
        <x:f>IF(D208&gt;=500000,"Critical",IF(D208&gt;=250000,"High",IF(D208&gt;=100000,"Moderate","Low")))</x:f>
        <x:v>Low</x:v>
      </x:c>
    </x:row>
    <x:row r="209">
      <x:c r="B209" t="n">
        <x:f>'Frequency Analysis'!H209</x:f>
        <x:v>0</x:v>
      </x:c>
      <x:c r="C209" t="n">
        <x:f>'Loss Magnitude'!H209</x:f>
        <x:v>0</x:v>
      </x:c>
      <x:c r="D209" t="n">
        <x:f>B209*C209</x:f>
        <x:v>0</x:v>
      </x:c>
      <x:c r="E209" t="str">
        <x:f>IF(D209&gt;=500000,"Critical",IF(D209&gt;=250000,"High",IF(D209&gt;=100000,"Moderate","Low")))</x:f>
        <x:v>Low</x:v>
      </x:c>
    </x:row>
    <x:row r="210">
      <x:c r="B210" t="n">
        <x:f>'Frequency Analysis'!H210</x:f>
        <x:v>0</x:v>
      </x:c>
      <x:c r="C210" t="n">
        <x:f>'Loss Magnitude'!H210</x:f>
        <x:v>0</x:v>
      </x:c>
      <x:c r="D210" t="n">
        <x:f>B210*C210</x:f>
        <x:v>0</x:v>
      </x:c>
      <x:c r="E210" t="str">
        <x:f>IF(D210&gt;=500000,"Critical",IF(D210&gt;=250000,"High",IF(D210&gt;=100000,"Moderate","Low")))</x:f>
        <x:v>Low</x:v>
      </x:c>
    </x:row>
    <x:row r="211">
      <x:c r="B211" t="n">
        <x:f>'Frequency Analysis'!H211</x:f>
        <x:v>0</x:v>
      </x:c>
      <x:c r="C211" t="n">
        <x:f>'Loss Magnitude'!H211</x:f>
        <x:v>0</x:v>
      </x:c>
      <x:c r="D211" t="n">
        <x:f>B211*C211</x:f>
        <x:v>0</x:v>
      </x:c>
      <x:c r="E211" t="str">
        <x:f>IF(D211&gt;=500000,"Critical",IF(D211&gt;=250000,"High",IF(D211&gt;=100000,"Moderate","Low")))</x:f>
        <x:v>Low</x:v>
      </x:c>
    </x:row>
    <x:row r="212">
      <x:c r="B212" t="n">
        <x:f>'Frequency Analysis'!H212</x:f>
        <x:v>0</x:v>
      </x:c>
      <x:c r="C212" t="n">
        <x:f>'Loss Magnitude'!H212</x:f>
        <x:v>0</x:v>
      </x:c>
      <x:c r="D212" t="n">
        <x:f>B212*C212</x:f>
        <x:v>0</x:v>
      </x:c>
      <x:c r="E212" t="str">
        <x:f>IF(D212&gt;=500000,"Critical",IF(D212&gt;=250000,"High",IF(D212&gt;=100000,"Moderate","Low")))</x:f>
        <x:v>Low</x:v>
      </x:c>
    </x:row>
    <x:row r="213">
      <x:c r="B213" t="n">
        <x:f>'Frequency Analysis'!H213</x:f>
        <x:v>0</x:v>
      </x:c>
      <x:c r="C213" t="n">
        <x:f>'Loss Magnitude'!H213</x:f>
        <x:v>0</x:v>
      </x:c>
      <x:c r="D213" t="n">
        <x:f>B213*C213</x:f>
        <x:v>0</x:v>
      </x:c>
      <x:c r="E213" t="str">
        <x:f>IF(D213&gt;=500000,"Critical",IF(D213&gt;=250000,"High",IF(D213&gt;=100000,"Moderate","Low")))</x:f>
        <x:v>Low</x:v>
      </x:c>
    </x:row>
    <x:row r="214">
      <x:c r="B214" t="n">
        <x:f>'Frequency Analysis'!H214</x:f>
        <x:v>0</x:v>
      </x:c>
      <x:c r="C214" t="n">
        <x:f>'Loss Magnitude'!H214</x:f>
        <x:v>0</x:v>
      </x:c>
      <x:c r="D214" t="n">
        <x:f>B214*C214</x:f>
        <x:v>0</x:v>
      </x:c>
      <x:c r="E214" t="str">
        <x:f>IF(D214&gt;=500000,"Critical",IF(D214&gt;=250000,"High",IF(D214&gt;=100000,"Moderate","Low")))</x:f>
        <x:v>Low</x:v>
      </x:c>
    </x:row>
    <x:row r="215">
      <x:c r="B215" t="n">
        <x:f>'Frequency Analysis'!H215</x:f>
        <x:v>0</x:v>
      </x:c>
      <x:c r="C215" t="n">
        <x:f>'Loss Magnitude'!H215</x:f>
        <x:v>0</x:v>
      </x:c>
      <x:c r="D215" t="n">
        <x:f>B215*C215</x:f>
        <x:v>0</x:v>
      </x:c>
      <x:c r="E215" t="str">
        <x:f>IF(D215&gt;=500000,"Critical",IF(D215&gt;=250000,"High",IF(D215&gt;=100000,"Moderate","Low")))</x:f>
        <x:v>Low</x:v>
      </x:c>
    </x:row>
    <x:row r="216">
      <x:c r="B216" t="n">
        <x:f>'Frequency Analysis'!H216</x:f>
        <x:v>0</x:v>
      </x:c>
      <x:c r="C216" t="n">
        <x:f>'Loss Magnitude'!H216</x:f>
        <x:v>0</x:v>
      </x:c>
      <x:c r="D216" t="n">
        <x:f>B216*C216</x:f>
        <x:v>0</x:v>
      </x:c>
      <x:c r="E216" t="str">
        <x:f>IF(D216&gt;=500000,"Critical",IF(D216&gt;=250000,"High",IF(D216&gt;=100000,"Moderate","Low")))</x:f>
        <x:v>Low</x:v>
      </x:c>
    </x:row>
    <x:row r="217">
      <x:c r="B217" t="n">
        <x:f>'Frequency Analysis'!H217</x:f>
        <x:v>0</x:v>
      </x:c>
      <x:c r="C217" t="n">
        <x:f>'Loss Magnitude'!H217</x:f>
        <x:v>0</x:v>
      </x:c>
      <x:c r="D217" t="n">
        <x:f>B217*C217</x:f>
        <x:v>0</x:v>
      </x:c>
      <x:c r="E217" t="str">
        <x:f>IF(D217&gt;=500000,"Critical",IF(D217&gt;=250000,"High",IF(D217&gt;=100000,"Moderate","Low")))</x:f>
        <x:v>Low</x:v>
      </x:c>
    </x:row>
    <x:row r="218">
      <x:c r="B218" t="n">
        <x:f>'Frequency Analysis'!H218</x:f>
        <x:v>0</x:v>
      </x:c>
      <x:c r="C218" t="n">
        <x:f>'Loss Magnitude'!H218</x:f>
        <x:v>0</x:v>
      </x:c>
      <x:c r="D218" t="n">
        <x:f>B218*C218</x:f>
        <x:v>0</x:v>
      </x:c>
      <x:c r="E218" t="str">
        <x:f>IF(D218&gt;=500000,"Critical",IF(D218&gt;=250000,"High",IF(D218&gt;=100000,"Moderate","Low")))</x:f>
        <x:v>Low</x:v>
      </x:c>
    </x:row>
    <x:row r="219">
      <x:c r="B219" t="n">
        <x:f>'Frequency Analysis'!H219</x:f>
        <x:v>0</x:v>
      </x:c>
      <x:c r="C219" t="n">
        <x:f>'Loss Magnitude'!H219</x:f>
        <x:v>0</x:v>
      </x:c>
      <x:c r="D219" t="n">
        <x:f>B219*C219</x:f>
        <x:v>0</x:v>
      </x:c>
      <x:c r="E219" t="str">
        <x:f>IF(D219&gt;=500000,"Critical",IF(D219&gt;=250000,"High",IF(D219&gt;=100000,"Moderate","Low")))</x:f>
        <x:v>Low</x:v>
      </x:c>
    </x:row>
    <x:row r="220">
      <x:c r="B220" t="n">
        <x:f>'Frequency Analysis'!H220</x:f>
        <x:v>0</x:v>
      </x:c>
      <x:c r="C220" t="n">
        <x:f>'Loss Magnitude'!H220</x:f>
        <x:v>0</x:v>
      </x:c>
      <x:c r="D220" t="n">
        <x:f>B220*C220</x:f>
        <x:v>0</x:v>
      </x:c>
      <x:c r="E220" t="str">
        <x:f>IF(D220&gt;=500000,"Critical",IF(D220&gt;=250000,"High",IF(D220&gt;=100000,"Moderate","Low")))</x:f>
        <x:v>Low</x:v>
      </x:c>
    </x:row>
    <x:row r="221">
      <x:c r="B221" t="n">
        <x:f>'Frequency Analysis'!H221</x:f>
        <x:v>0</x:v>
      </x:c>
      <x:c r="C221" t="n">
        <x:f>'Loss Magnitude'!H221</x:f>
        <x:v>0</x:v>
      </x:c>
      <x:c r="D221" t="n">
        <x:f>B221*C221</x:f>
        <x:v>0</x:v>
      </x:c>
      <x:c r="E221" t="str">
        <x:f>IF(D221&gt;=500000,"Critical",IF(D221&gt;=250000,"High",IF(D221&gt;=100000,"Moderate","Low")))</x:f>
        <x:v>Low</x:v>
      </x:c>
    </x:row>
    <x:row r="222">
      <x:c r="B222" t="n">
        <x:f>'Frequency Analysis'!H222</x:f>
        <x:v>0</x:v>
      </x:c>
      <x:c r="C222" t="n">
        <x:f>'Loss Magnitude'!H222</x:f>
        <x:v>0</x:v>
      </x:c>
      <x:c r="D222" t="n">
        <x:f>B222*C222</x:f>
        <x:v>0</x:v>
      </x:c>
      <x:c r="E222" t="str">
        <x:f>IF(D222&gt;=500000,"Critical",IF(D222&gt;=250000,"High",IF(D222&gt;=100000,"Moderate","Low")))</x:f>
        <x:v>Low</x:v>
      </x:c>
    </x:row>
    <x:row r="223">
      <x:c r="B223" t="n">
        <x:f>'Frequency Analysis'!H223</x:f>
        <x:v>0</x:v>
      </x:c>
      <x:c r="C223" t="n">
        <x:f>'Loss Magnitude'!H223</x:f>
        <x:v>0</x:v>
      </x:c>
      <x:c r="D223" t="n">
        <x:f>B223*C223</x:f>
        <x:v>0</x:v>
      </x:c>
      <x:c r="E223" t="str">
        <x:f>IF(D223&gt;=500000,"Critical",IF(D223&gt;=250000,"High",IF(D223&gt;=100000,"Moderate","Low")))</x:f>
        <x:v>Low</x:v>
      </x:c>
    </x:row>
    <x:row r="224">
      <x:c r="B224" t="n">
        <x:f>'Frequency Analysis'!H224</x:f>
        <x:v>0</x:v>
      </x:c>
      <x:c r="C224" t="n">
        <x:f>'Loss Magnitude'!H224</x:f>
        <x:v>0</x:v>
      </x:c>
      <x:c r="D224" t="n">
        <x:f>B224*C224</x:f>
        <x:v>0</x:v>
      </x:c>
      <x:c r="E224" t="str">
        <x:f>IF(D224&gt;=500000,"Critical",IF(D224&gt;=250000,"High",IF(D224&gt;=100000,"Moderate","Low")))</x:f>
        <x:v>Low</x:v>
      </x:c>
    </x:row>
    <x:row r="225">
      <x:c r="B225" t="n">
        <x:f>'Frequency Analysis'!H225</x:f>
        <x:v>0</x:v>
      </x:c>
      <x:c r="C225" t="n">
        <x:f>'Loss Magnitude'!H225</x:f>
        <x:v>0</x:v>
      </x:c>
      <x:c r="D225" t="n">
        <x:f>B225*C225</x:f>
        <x:v>0</x:v>
      </x:c>
      <x:c r="E225" t="str">
        <x:f>IF(D225&gt;=500000,"Critical",IF(D225&gt;=250000,"High",IF(D225&gt;=100000,"Moderate","Low")))</x:f>
        <x:v>Low</x:v>
      </x:c>
    </x:row>
    <x:row r="226">
      <x:c r="B226" t="n">
        <x:f>'Frequency Analysis'!H226</x:f>
        <x:v>0</x:v>
      </x:c>
      <x:c r="C226" t="n">
        <x:f>'Loss Magnitude'!H226</x:f>
        <x:v>0</x:v>
      </x:c>
      <x:c r="D226" t="n">
        <x:f>B226*C226</x:f>
        <x:v>0</x:v>
      </x:c>
      <x:c r="E226" t="str">
        <x:f>IF(D226&gt;=500000,"Critical",IF(D226&gt;=250000,"High",IF(D226&gt;=100000,"Moderate","Low")))</x:f>
        <x:v>Low</x:v>
      </x:c>
    </x:row>
    <x:row r="227">
      <x:c r="B227" t="n">
        <x:f>'Frequency Analysis'!H227</x:f>
        <x:v>0</x:v>
      </x:c>
      <x:c r="C227" t="n">
        <x:f>'Loss Magnitude'!H227</x:f>
        <x:v>0</x:v>
      </x:c>
      <x:c r="D227" t="n">
        <x:f>B227*C227</x:f>
        <x:v>0</x:v>
      </x:c>
      <x:c r="E227" t="str">
        <x:f>IF(D227&gt;=500000,"Critical",IF(D227&gt;=250000,"High",IF(D227&gt;=100000,"Moderate","Low")))</x:f>
        <x:v>Low</x:v>
      </x:c>
    </x:row>
    <x:row r="228">
      <x:c r="B228" t="n">
        <x:f>'Frequency Analysis'!H228</x:f>
        <x:v>0</x:v>
      </x:c>
      <x:c r="C228" t="n">
        <x:f>'Loss Magnitude'!H228</x:f>
        <x:v>0</x:v>
      </x:c>
      <x:c r="D228" t="n">
        <x:f>B228*C228</x:f>
        <x:v>0</x:v>
      </x:c>
      <x:c r="E228" t="str">
        <x:f>IF(D228&gt;=500000,"Critical",IF(D228&gt;=250000,"High",IF(D228&gt;=100000,"Moderate","Low")))</x:f>
        <x:v>Low</x:v>
      </x:c>
    </x:row>
    <x:row r="229">
      <x:c r="B229" t="n">
        <x:f>'Frequency Analysis'!H229</x:f>
        <x:v>0</x:v>
      </x:c>
      <x:c r="C229" t="n">
        <x:f>'Loss Magnitude'!H229</x:f>
        <x:v>0</x:v>
      </x:c>
      <x:c r="D229" t="n">
        <x:f>B229*C229</x:f>
        <x:v>0</x:v>
      </x:c>
      <x:c r="E229" t="str">
        <x:f>IF(D229&gt;=500000,"Critical",IF(D229&gt;=250000,"High",IF(D229&gt;=100000,"Moderate","Low")))</x:f>
        <x:v>Low</x:v>
      </x:c>
    </x:row>
    <x:row r="230">
      <x:c r="B230" t="n">
        <x:f>'Frequency Analysis'!H230</x:f>
        <x:v>0</x:v>
      </x:c>
      <x:c r="C230" t="n">
        <x:f>'Loss Magnitude'!H230</x:f>
        <x:v>0</x:v>
      </x:c>
      <x:c r="D230" t="n">
        <x:f>B230*C230</x:f>
        <x:v>0</x:v>
      </x:c>
      <x:c r="E230" t="str">
        <x:f>IF(D230&gt;=500000,"Critical",IF(D230&gt;=250000,"High",IF(D230&gt;=100000,"Moderate","Low")))</x:f>
        <x:v>Low</x:v>
      </x:c>
    </x:row>
    <x:row r="231">
      <x:c r="B231" t="n">
        <x:f>'Frequency Analysis'!H231</x:f>
        <x:v>0</x:v>
      </x:c>
      <x:c r="C231" t="n">
        <x:f>'Loss Magnitude'!H231</x:f>
        <x:v>0</x:v>
      </x:c>
      <x:c r="D231" t="n">
        <x:f>B231*C231</x:f>
        <x:v>0</x:v>
      </x:c>
      <x:c r="E231" t="str">
        <x:f>IF(D231&gt;=500000,"Critical",IF(D231&gt;=250000,"High",IF(D231&gt;=100000,"Moderate","Low")))</x:f>
        <x:v>Low</x:v>
      </x:c>
    </x:row>
    <x:row r="232">
      <x:c r="B232" t="n">
        <x:f>'Frequency Analysis'!H232</x:f>
        <x:v>0</x:v>
      </x:c>
      <x:c r="C232" t="n">
        <x:f>'Loss Magnitude'!H232</x:f>
        <x:v>0</x:v>
      </x:c>
      <x:c r="D232" t="n">
        <x:f>B232*C232</x:f>
        <x:v>0</x:v>
      </x:c>
      <x:c r="E232" t="str">
        <x:f>IF(D232&gt;=500000,"Critical",IF(D232&gt;=250000,"High",IF(D232&gt;=100000,"Moderate","Low")))</x:f>
        <x:v>Low</x:v>
      </x:c>
    </x:row>
    <x:row r="233">
      <x:c r="B233" t="n">
        <x:f>'Frequency Analysis'!H233</x:f>
        <x:v>0</x:v>
      </x:c>
      <x:c r="C233" t="n">
        <x:f>'Loss Magnitude'!H233</x:f>
        <x:v>0</x:v>
      </x:c>
      <x:c r="D233" t="n">
        <x:f>B233*C233</x:f>
        <x:v>0</x:v>
      </x:c>
      <x:c r="E233" t="str">
        <x:f>IF(D233&gt;=500000,"Critical",IF(D233&gt;=250000,"High",IF(D233&gt;=100000,"Moderate","Low")))</x:f>
        <x:v>Low</x:v>
      </x:c>
    </x:row>
    <x:row r="234">
      <x:c r="B234" t="n">
        <x:f>'Frequency Analysis'!H234</x:f>
        <x:v>0</x:v>
      </x:c>
      <x:c r="C234" t="n">
        <x:f>'Loss Magnitude'!H234</x:f>
        <x:v>0</x:v>
      </x:c>
      <x:c r="D234" t="n">
        <x:f>B234*C234</x:f>
        <x:v>0</x:v>
      </x:c>
      <x:c r="E234" t="str">
        <x:f>IF(D234&gt;=500000,"Critical",IF(D234&gt;=250000,"High",IF(D234&gt;=100000,"Moderate","Low")))</x:f>
        <x:v>Low</x:v>
      </x:c>
    </x:row>
    <x:row r="235">
      <x:c r="B235" t="n">
        <x:f>'Frequency Analysis'!H235</x:f>
        <x:v>0</x:v>
      </x:c>
      <x:c r="C235" t="n">
        <x:f>'Loss Magnitude'!H235</x:f>
        <x:v>0</x:v>
      </x:c>
      <x:c r="D235" t="n">
        <x:f>B235*C235</x:f>
        <x:v>0</x:v>
      </x:c>
      <x:c r="E235" t="str">
        <x:f>IF(D235&gt;=500000,"Critical",IF(D235&gt;=250000,"High",IF(D235&gt;=100000,"Moderate","Low")))</x:f>
        <x:v>Low</x:v>
      </x:c>
    </x:row>
    <x:row r="236">
      <x:c r="B236" t="n">
        <x:f>'Frequency Analysis'!H236</x:f>
        <x:v>0</x:v>
      </x:c>
      <x:c r="C236" t="n">
        <x:f>'Loss Magnitude'!H236</x:f>
        <x:v>0</x:v>
      </x:c>
      <x:c r="D236" t="n">
        <x:f>B236*C236</x:f>
        <x:v>0</x:v>
      </x:c>
      <x:c r="E236" t="str">
        <x:f>IF(D236&gt;=500000,"Critical",IF(D236&gt;=250000,"High",IF(D236&gt;=100000,"Moderate","Low")))</x:f>
        <x:v>Low</x:v>
      </x:c>
    </x:row>
    <x:row r="237">
      <x:c r="B237" t="n">
        <x:f>'Frequency Analysis'!H237</x:f>
        <x:v>0</x:v>
      </x:c>
      <x:c r="C237" t="n">
        <x:f>'Loss Magnitude'!H237</x:f>
        <x:v>0</x:v>
      </x:c>
      <x:c r="D237" t="n">
        <x:f>B237*C237</x:f>
        <x:v>0</x:v>
      </x:c>
      <x:c r="E237" t="str">
        <x:f>IF(D237&gt;=500000,"Critical",IF(D237&gt;=250000,"High",IF(D237&gt;=100000,"Moderate","Low")))</x:f>
        <x:v>Low</x:v>
      </x:c>
    </x:row>
    <x:row r="238">
      <x:c r="B238" t="n">
        <x:f>'Frequency Analysis'!H238</x:f>
        <x:v>0</x:v>
      </x:c>
      <x:c r="C238" t="n">
        <x:f>'Loss Magnitude'!H238</x:f>
        <x:v>0</x:v>
      </x:c>
      <x:c r="D238" t="n">
        <x:f>B238*C238</x:f>
        <x:v>0</x:v>
      </x:c>
      <x:c r="E238" t="str">
        <x:f>IF(D238&gt;=500000,"Critical",IF(D238&gt;=250000,"High",IF(D238&gt;=100000,"Moderate","Low")))</x:f>
        <x:v>Low</x:v>
      </x:c>
    </x:row>
    <x:row r="239">
      <x:c r="B239" t="n">
        <x:f>'Frequency Analysis'!H239</x:f>
        <x:v>0</x:v>
      </x:c>
      <x:c r="C239" t="n">
        <x:f>'Loss Magnitude'!H239</x:f>
        <x:v>0</x:v>
      </x:c>
      <x:c r="D239" t="n">
        <x:f>B239*C239</x:f>
        <x:v>0</x:v>
      </x:c>
      <x:c r="E239" t="str">
        <x:f>IF(D239&gt;=500000,"Critical",IF(D239&gt;=250000,"High",IF(D239&gt;=100000,"Moderate","Low")))</x:f>
        <x:v>Low</x:v>
      </x:c>
    </x:row>
    <x:row r="240">
      <x:c r="B240" t="n">
        <x:f>'Frequency Analysis'!H240</x:f>
        <x:v>0</x:v>
      </x:c>
      <x:c r="C240" t="n">
        <x:f>'Loss Magnitude'!H240</x:f>
        <x:v>0</x:v>
      </x:c>
      <x:c r="D240" t="n">
        <x:f>B240*C240</x:f>
        <x:v>0</x:v>
      </x:c>
      <x:c r="E240" t="str">
        <x:f>IF(D240&gt;=500000,"Critical",IF(D240&gt;=250000,"High",IF(D240&gt;=100000,"Moderate","Low")))</x:f>
        <x:v>Low</x:v>
      </x:c>
    </x:row>
    <x:row r="241">
      <x:c r="B241" t="n">
        <x:f>'Frequency Analysis'!H241</x:f>
        <x:v>0</x:v>
      </x:c>
      <x:c r="C241" t="n">
        <x:f>'Loss Magnitude'!H241</x:f>
        <x:v>0</x:v>
      </x:c>
      <x:c r="D241" t="n">
        <x:f>B241*C241</x:f>
        <x:v>0</x:v>
      </x:c>
      <x:c r="E241" t="str">
        <x:f>IF(D241&gt;=500000,"Critical",IF(D241&gt;=250000,"High",IF(D241&gt;=100000,"Moderate","Low")))</x:f>
        <x:v>Low</x:v>
      </x:c>
    </x:row>
    <x:row r="242">
      <x:c r="B242" t="n">
        <x:f>'Frequency Analysis'!H242</x:f>
        <x:v>0</x:v>
      </x:c>
      <x:c r="C242" t="n">
        <x:f>'Loss Magnitude'!H242</x:f>
        <x:v>0</x:v>
      </x:c>
      <x:c r="D242" t="n">
        <x:f>B242*C242</x:f>
        <x:v>0</x:v>
      </x:c>
      <x:c r="E242" t="str">
        <x:f>IF(D242&gt;=500000,"Critical",IF(D242&gt;=250000,"High",IF(D242&gt;=100000,"Moderate","Low")))</x:f>
        <x:v>Low</x:v>
      </x:c>
    </x:row>
    <x:row r="243">
      <x:c r="B243" t="n">
        <x:f>'Frequency Analysis'!H243</x:f>
        <x:v>0</x:v>
      </x:c>
      <x:c r="C243" t="n">
        <x:f>'Loss Magnitude'!H243</x:f>
        <x:v>0</x:v>
      </x:c>
      <x:c r="D243" t="n">
        <x:f>B243*C243</x:f>
        <x:v>0</x:v>
      </x:c>
      <x:c r="E243" t="str">
        <x:f>IF(D243&gt;=500000,"Critical",IF(D243&gt;=250000,"High",IF(D243&gt;=100000,"Moderate","Low")))</x:f>
        <x:v>Low</x:v>
      </x:c>
    </x:row>
    <x:row r="244">
      <x:c r="B244" t="n">
        <x:f>'Frequency Analysis'!H244</x:f>
        <x:v>0</x:v>
      </x:c>
      <x:c r="C244" t="n">
        <x:f>'Loss Magnitude'!H244</x:f>
        <x:v>0</x:v>
      </x:c>
      <x:c r="D244" t="n">
        <x:f>B244*C244</x:f>
        <x:v>0</x:v>
      </x:c>
      <x:c r="E244" t="str">
        <x:f>IF(D244&gt;=500000,"Critical",IF(D244&gt;=250000,"High",IF(D244&gt;=100000,"Moderate","Low")))</x:f>
        <x:v>Low</x:v>
      </x:c>
    </x:row>
    <x:row r="245">
      <x:c r="B245" t="n">
        <x:f>'Frequency Analysis'!H245</x:f>
        <x:v>0</x:v>
      </x:c>
      <x:c r="C245" t="n">
        <x:f>'Loss Magnitude'!H245</x:f>
        <x:v>0</x:v>
      </x:c>
      <x:c r="D245" t="n">
        <x:f>B245*C245</x:f>
        <x:v>0</x:v>
      </x:c>
      <x:c r="E245" t="str">
        <x:f>IF(D245&gt;=500000,"Critical",IF(D245&gt;=250000,"High",IF(D245&gt;=100000,"Moderate","Low")))</x:f>
        <x:v>Low</x:v>
      </x:c>
    </x:row>
    <x:row r="246">
      <x:c r="B246" t="n">
        <x:f>'Frequency Analysis'!H246</x:f>
        <x:v>0</x:v>
      </x:c>
      <x:c r="C246" t="n">
        <x:f>'Loss Magnitude'!H246</x:f>
        <x:v>0</x:v>
      </x:c>
      <x:c r="D246" t="n">
        <x:f>B246*C246</x:f>
        <x:v>0</x:v>
      </x:c>
      <x:c r="E246" t="str">
        <x:f>IF(D246&gt;=500000,"Critical",IF(D246&gt;=250000,"High",IF(D246&gt;=100000,"Moderate","Low")))</x:f>
        <x:v>Low</x:v>
      </x:c>
    </x:row>
    <x:row r="247">
      <x:c r="B247" t="n">
        <x:f>'Frequency Analysis'!H247</x:f>
        <x:v>0</x:v>
      </x:c>
      <x:c r="C247" t="n">
        <x:f>'Loss Magnitude'!H247</x:f>
        <x:v>0</x:v>
      </x:c>
      <x:c r="D247" t="n">
        <x:f>B247*C247</x:f>
        <x:v>0</x:v>
      </x:c>
      <x:c r="E247" t="str">
        <x:f>IF(D247&gt;=500000,"Critical",IF(D247&gt;=250000,"High",IF(D247&gt;=100000,"Moderate","Low")))</x:f>
        <x:v>Low</x:v>
      </x:c>
    </x:row>
    <x:row r="248">
      <x:c r="B248" t="n">
        <x:f>'Frequency Analysis'!H248</x:f>
        <x:v>0</x:v>
      </x:c>
      <x:c r="C248" t="n">
        <x:f>'Loss Magnitude'!H248</x:f>
        <x:v>0</x:v>
      </x:c>
      <x:c r="D248" t="n">
        <x:f>B248*C248</x:f>
        <x:v>0</x:v>
      </x:c>
      <x:c r="E248" t="str">
        <x:f>IF(D248&gt;=500000,"Critical",IF(D248&gt;=250000,"High",IF(D248&gt;=100000,"Moderate","Low")))</x:f>
        <x:v>Low</x:v>
      </x:c>
    </x:row>
    <x:row r="249">
      <x:c r="B249" t="n">
        <x:f>'Frequency Analysis'!H249</x:f>
        <x:v>0</x:v>
      </x:c>
      <x:c r="C249" t="n">
        <x:f>'Loss Magnitude'!H249</x:f>
        <x:v>0</x:v>
      </x:c>
      <x:c r="D249" t="n">
        <x:f>B249*C249</x:f>
        <x:v>0</x:v>
      </x:c>
      <x:c r="E249" t="str">
        <x:f>IF(D249&gt;=500000,"Critical",IF(D249&gt;=250000,"High",IF(D249&gt;=100000,"Moderate","Low")))</x:f>
        <x:v>Low</x:v>
      </x:c>
    </x:row>
    <x:row r="250">
      <x:c r="B250" t="n">
        <x:f>'Frequency Analysis'!H250</x:f>
        <x:v>0</x:v>
      </x:c>
      <x:c r="C250" t="n">
        <x:f>'Loss Magnitude'!H250</x:f>
        <x:v>0</x:v>
      </x:c>
      <x:c r="D250" t="n">
        <x:f>B250*C250</x:f>
        <x:v>0</x:v>
      </x:c>
      <x:c r="E250" t="str">
        <x:f>IF(D250&gt;=500000,"Critical",IF(D250&gt;=250000,"High",IF(D250&gt;=100000,"Moderate","Low")))</x:f>
        <x:v>Low</x:v>
      </x:c>
    </x:row>
    <x:row r="251">
      <x:c r="B251" t="n">
        <x:f>'Frequency Analysis'!H251</x:f>
        <x:v>0</x:v>
      </x:c>
      <x:c r="C251" t="n">
        <x:f>'Loss Magnitude'!H251</x:f>
        <x:v>0</x:v>
      </x:c>
      <x:c r="D251" t="n">
        <x:f>B251*C251</x:f>
        <x:v>0</x:v>
      </x:c>
      <x:c r="E251" t="str">
        <x:f>IF(D251&gt;=500000,"Critical",IF(D251&gt;=250000,"High",IF(D251&gt;=100000,"Moderate","Low")))</x:f>
        <x:v>Low</x:v>
      </x:c>
    </x:row>
    <x:row r="252">
      <x:c r="B252" t="n">
        <x:f>'Frequency Analysis'!H252</x:f>
        <x:v>0</x:v>
      </x:c>
      <x:c r="C252" t="n">
        <x:f>'Loss Magnitude'!H252</x:f>
        <x:v>0</x:v>
      </x:c>
      <x:c r="D252" t="n">
        <x:f>B252*C252</x:f>
        <x:v>0</x:v>
      </x:c>
      <x:c r="E252" t="str">
        <x:f>IF(D252&gt;=500000,"Critical",IF(D252&gt;=250000,"High",IF(D252&gt;=100000,"Moderate","Low")))</x:f>
        <x:v>Low</x:v>
      </x:c>
    </x:row>
    <x:row r="253">
      <x:c r="B253" t="n">
        <x:f>'Frequency Analysis'!H253</x:f>
        <x:v>0</x:v>
      </x:c>
      <x:c r="C253" t="n">
        <x:f>'Loss Magnitude'!H253</x:f>
        <x:v>0</x:v>
      </x:c>
      <x:c r="D253" t="n">
        <x:f>B253*C253</x:f>
        <x:v>0</x:v>
      </x:c>
      <x:c r="E253" t="str">
        <x:f>IF(D253&gt;=500000,"Critical",IF(D253&gt;=250000,"High",IF(D253&gt;=100000,"Moderate","Low")))</x:f>
        <x:v>Low</x:v>
      </x:c>
    </x:row>
    <x:row r="254">
      <x:c r="B254" t="n">
        <x:f>'Frequency Analysis'!H254</x:f>
        <x:v>0</x:v>
      </x:c>
      <x:c r="C254" t="n">
        <x:f>'Loss Magnitude'!H254</x:f>
        <x:v>0</x:v>
      </x:c>
      <x:c r="D254" t="n">
        <x:f>B254*C254</x:f>
        <x:v>0</x:v>
      </x:c>
      <x:c r="E254" t="str">
        <x:f>IF(D254&gt;=500000,"Critical",IF(D254&gt;=250000,"High",IF(D254&gt;=100000,"Moderate","Low")))</x:f>
        <x:v>Low</x:v>
      </x:c>
    </x:row>
    <x:row r="255">
      <x:c r="B255" t="n">
        <x:f>'Frequency Analysis'!H255</x:f>
        <x:v>0</x:v>
      </x:c>
      <x:c r="C255" t="n">
        <x:f>'Loss Magnitude'!H255</x:f>
        <x:v>0</x:v>
      </x:c>
      <x:c r="D255" t="n">
        <x:f>B255*C255</x:f>
        <x:v>0</x:v>
      </x:c>
      <x:c r="E255" t="str">
        <x:f>IF(D255&gt;=500000,"Critical",IF(D255&gt;=250000,"High",IF(D255&gt;=100000,"Moderate","Low")))</x:f>
        <x:v>Low</x:v>
      </x:c>
    </x:row>
    <x:row r="256">
      <x:c r="B256" t="n">
        <x:f>'Frequency Analysis'!H256</x:f>
        <x:v>0</x:v>
      </x:c>
      <x:c r="C256" t="n">
        <x:f>'Loss Magnitude'!H256</x:f>
        <x:v>0</x:v>
      </x:c>
      <x:c r="D256" t="n">
        <x:f>B256*C256</x:f>
        <x:v>0</x:v>
      </x:c>
      <x:c r="E256" t="str">
        <x:f>IF(D256&gt;=500000,"Critical",IF(D256&gt;=250000,"High",IF(D256&gt;=100000,"Moderate","Low")))</x:f>
        <x:v>Low</x:v>
      </x:c>
    </x:row>
    <x:row r="257">
      <x:c r="B257" t="n">
        <x:f>'Frequency Analysis'!H257</x:f>
        <x:v>0</x:v>
      </x:c>
      <x:c r="C257" t="n">
        <x:f>'Loss Magnitude'!H257</x:f>
        <x:v>0</x:v>
      </x:c>
      <x:c r="D257" t="n">
        <x:f>B257*C257</x:f>
        <x:v>0</x:v>
      </x:c>
      <x:c r="E257" t="str">
        <x:f>IF(D257&gt;=500000,"Critical",IF(D257&gt;=250000,"High",IF(D257&gt;=100000,"Moderate","Low")))</x:f>
        <x:v>Low</x:v>
      </x:c>
    </x:row>
    <x:row r="258">
      <x:c r="B258" t="n">
        <x:f>'Frequency Analysis'!H258</x:f>
        <x:v>0</x:v>
      </x:c>
      <x:c r="C258" t="n">
        <x:f>'Loss Magnitude'!H258</x:f>
        <x:v>0</x:v>
      </x:c>
      <x:c r="D258" t="n">
        <x:f>B258*C258</x:f>
        <x:v>0</x:v>
      </x:c>
      <x:c r="E258" t="str">
        <x:f>IF(D258&gt;=500000,"Critical",IF(D258&gt;=250000,"High",IF(D258&gt;=100000,"Moderate","Low")))</x:f>
        <x:v>Low</x:v>
      </x:c>
    </x:row>
    <x:row r="259">
      <x:c r="B259" t="n">
        <x:f>'Frequency Analysis'!H259</x:f>
        <x:v>0</x:v>
      </x:c>
      <x:c r="C259" t="n">
        <x:f>'Loss Magnitude'!H259</x:f>
        <x:v>0</x:v>
      </x:c>
      <x:c r="D259" t="n">
        <x:f>B259*C259</x:f>
        <x:v>0</x:v>
      </x:c>
      <x:c r="E259" t="str">
        <x:f>IF(D259&gt;=500000,"Critical",IF(D259&gt;=250000,"High",IF(D259&gt;=100000,"Moderate","Low")))</x:f>
        <x:v>Low</x:v>
      </x:c>
    </x:row>
    <x:row r="260">
      <x:c r="B260" t="n">
        <x:f>'Frequency Analysis'!H260</x:f>
        <x:v>0</x:v>
      </x:c>
      <x:c r="C260" t="n">
        <x:f>'Loss Magnitude'!H260</x:f>
        <x:v>0</x:v>
      </x:c>
      <x:c r="D260" t="n">
        <x:f>B260*C260</x:f>
        <x:v>0</x:v>
      </x:c>
      <x:c r="E260" t="str">
        <x:f>IF(D260&gt;=500000,"Critical",IF(D260&gt;=250000,"High",IF(D260&gt;=100000,"Moderate","Low")))</x:f>
        <x:v>Low</x:v>
      </x:c>
    </x:row>
    <x:row r="261">
      <x:c r="B261" t="n">
        <x:f>'Frequency Analysis'!H261</x:f>
        <x:v>0</x:v>
      </x:c>
      <x:c r="C261" t="n">
        <x:f>'Loss Magnitude'!H261</x:f>
        <x:v>0</x:v>
      </x:c>
      <x:c r="D261" t="n">
        <x:f>B261*C261</x:f>
        <x:v>0</x:v>
      </x:c>
      <x:c r="E261" t="str">
        <x:f>IF(D261&gt;=500000,"Critical",IF(D261&gt;=250000,"High",IF(D261&gt;=100000,"Moderate","Low")))</x:f>
        <x:v>Low</x:v>
      </x:c>
    </x:row>
    <x:row r="262">
      <x:c r="B262" t="n">
        <x:f>'Frequency Analysis'!H262</x:f>
        <x:v>0</x:v>
      </x:c>
      <x:c r="C262" t="n">
        <x:f>'Loss Magnitude'!H262</x:f>
        <x:v>0</x:v>
      </x:c>
      <x:c r="D262" t="n">
        <x:f>B262*C262</x:f>
        <x:v>0</x:v>
      </x:c>
      <x:c r="E262" t="str">
        <x:f>IF(D262&gt;=500000,"Critical",IF(D262&gt;=250000,"High",IF(D262&gt;=100000,"Moderate","Low")))</x:f>
        <x:v>Low</x:v>
      </x:c>
    </x:row>
    <x:row r="263">
      <x:c r="B263" t="n">
        <x:f>'Frequency Analysis'!H263</x:f>
        <x:v>0</x:v>
      </x:c>
      <x:c r="C263" t="n">
        <x:f>'Loss Magnitude'!H263</x:f>
        <x:v>0</x:v>
      </x:c>
      <x:c r="D263" t="n">
        <x:f>B263*C263</x:f>
        <x:v>0</x:v>
      </x:c>
      <x:c r="E263" t="str">
        <x:f>IF(D263&gt;=500000,"Critical",IF(D263&gt;=250000,"High",IF(D263&gt;=100000,"Moderate","Low")))</x:f>
        <x:v>Low</x:v>
      </x:c>
    </x:row>
    <x:row r="264">
      <x:c r="B264" t="n">
        <x:f>'Frequency Analysis'!H264</x:f>
        <x:v>0</x:v>
      </x:c>
      <x:c r="C264" t="n">
        <x:f>'Loss Magnitude'!H264</x:f>
        <x:v>0</x:v>
      </x:c>
      <x:c r="D264" t="n">
        <x:f>B264*C264</x:f>
        <x:v>0</x:v>
      </x:c>
      <x:c r="E264" t="str">
        <x:f>IF(D264&gt;=500000,"Critical",IF(D264&gt;=250000,"High",IF(D264&gt;=100000,"Moderate","Low")))</x:f>
        <x:v>Low</x:v>
      </x:c>
    </x:row>
    <x:row r="265">
      <x:c r="B265" t="n">
        <x:f>'Frequency Analysis'!H265</x:f>
        <x:v>0</x:v>
      </x:c>
      <x:c r="C265" t="n">
        <x:f>'Loss Magnitude'!H265</x:f>
        <x:v>0</x:v>
      </x:c>
      <x:c r="D265" t="n">
        <x:f>B265*C265</x:f>
        <x:v>0</x:v>
      </x:c>
      <x:c r="E265" t="str">
        <x:f>IF(D265&gt;=500000,"Critical",IF(D265&gt;=250000,"High",IF(D265&gt;=100000,"Moderate","Low")))</x:f>
        <x:v>Low</x:v>
      </x:c>
    </x:row>
    <x:row r="266">
      <x:c r="B266" t="n">
        <x:f>'Frequency Analysis'!H266</x:f>
        <x:v>0</x:v>
      </x:c>
      <x:c r="C266" t="n">
        <x:f>'Loss Magnitude'!H266</x:f>
        <x:v>0</x:v>
      </x:c>
      <x:c r="D266" t="n">
        <x:f>B266*C266</x:f>
        <x:v>0</x:v>
      </x:c>
      <x:c r="E266" t="str">
        <x:f>IF(D266&gt;=500000,"Critical",IF(D266&gt;=250000,"High",IF(D266&gt;=100000,"Moderate","Low")))</x:f>
        <x:v>Low</x:v>
      </x:c>
    </x:row>
    <x:row r="267">
      <x:c r="B267" t="n">
        <x:f>'Frequency Analysis'!H267</x:f>
        <x:v>0</x:v>
      </x:c>
      <x:c r="C267" t="n">
        <x:f>'Loss Magnitude'!H267</x:f>
        <x:v>0</x:v>
      </x:c>
      <x:c r="D267" t="n">
        <x:f>B267*C267</x:f>
        <x:v>0</x:v>
      </x:c>
      <x:c r="E267" t="str">
        <x:f>IF(D267&gt;=500000,"Critical",IF(D267&gt;=250000,"High",IF(D267&gt;=100000,"Moderate","Low")))</x:f>
        <x:v>Low</x:v>
      </x:c>
    </x:row>
    <x:row r="268">
      <x:c r="B268" t="n">
        <x:f>'Frequency Analysis'!H268</x:f>
        <x:v>0</x:v>
      </x:c>
      <x:c r="C268" t="n">
        <x:f>'Loss Magnitude'!H268</x:f>
        <x:v>0</x:v>
      </x:c>
      <x:c r="D268" t="n">
        <x:f>B268*C268</x:f>
        <x:v>0</x:v>
      </x:c>
      <x:c r="E268" t="str">
        <x:f>IF(D268&gt;=500000,"Critical",IF(D268&gt;=250000,"High",IF(D268&gt;=100000,"Moderate","Low")))</x:f>
        <x:v>Low</x:v>
      </x:c>
    </x:row>
    <x:row r="269">
      <x:c r="B269" t="n">
        <x:f>'Frequency Analysis'!H269</x:f>
        <x:v>0</x:v>
      </x:c>
      <x:c r="C269" t="n">
        <x:f>'Loss Magnitude'!H269</x:f>
        <x:v>0</x:v>
      </x:c>
      <x:c r="D269" t="n">
        <x:f>B269*C269</x:f>
        <x:v>0</x:v>
      </x:c>
      <x:c r="E269" t="str">
        <x:f>IF(D269&gt;=500000,"Critical",IF(D269&gt;=250000,"High",IF(D269&gt;=100000,"Moderate","Low")))</x:f>
        <x:v>Low</x:v>
      </x:c>
    </x:row>
    <x:row r="270">
      <x:c r="B270" t="n">
        <x:f>'Frequency Analysis'!H270</x:f>
        <x:v>0</x:v>
      </x:c>
      <x:c r="C270" t="n">
        <x:f>'Loss Magnitude'!H270</x:f>
        <x:v>0</x:v>
      </x:c>
      <x:c r="D270" t="n">
        <x:f>B270*C270</x:f>
        <x:v>0</x:v>
      </x:c>
      <x:c r="E270" t="str">
        <x:f>IF(D270&gt;=500000,"Critical",IF(D270&gt;=250000,"High",IF(D270&gt;=100000,"Moderate","Low")))</x:f>
        <x:v>Low</x:v>
      </x:c>
    </x:row>
    <x:row r="271">
      <x:c r="B271" t="n">
        <x:f>'Frequency Analysis'!H271</x:f>
        <x:v>0</x:v>
      </x:c>
      <x:c r="C271" t="n">
        <x:f>'Loss Magnitude'!H271</x:f>
        <x:v>0</x:v>
      </x:c>
      <x:c r="D271" t="n">
        <x:f>B271*C271</x:f>
        <x:v>0</x:v>
      </x:c>
      <x:c r="E271" t="str">
        <x:f>IF(D271&gt;=500000,"Critical",IF(D271&gt;=250000,"High",IF(D271&gt;=100000,"Moderate","Low")))</x:f>
        <x:v>Low</x:v>
      </x:c>
    </x:row>
    <x:row r="272">
      <x:c r="B272" t="n">
        <x:f>'Frequency Analysis'!H272</x:f>
        <x:v>0</x:v>
      </x:c>
      <x:c r="C272" t="n">
        <x:f>'Loss Magnitude'!H272</x:f>
        <x:v>0</x:v>
      </x:c>
      <x:c r="D272" t="n">
        <x:f>B272*C272</x:f>
        <x:v>0</x:v>
      </x:c>
      <x:c r="E272" t="str">
        <x:f>IF(D272&gt;=500000,"Critical",IF(D272&gt;=250000,"High",IF(D272&gt;=100000,"Moderate","Low")))</x:f>
        <x:v>Low</x:v>
      </x:c>
    </x:row>
    <x:row r="273">
      <x:c r="B273" t="n">
        <x:f>'Frequency Analysis'!H273</x:f>
        <x:v>0</x:v>
      </x:c>
      <x:c r="C273" t="n">
        <x:f>'Loss Magnitude'!H273</x:f>
        <x:v>0</x:v>
      </x:c>
      <x:c r="D273" t="n">
        <x:f>B273*C273</x:f>
        <x:v>0</x:v>
      </x:c>
      <x:c r="E273" t="str">
        <x:f>IF(D273&gt;=500000,"Critical",IF(D273&gt;=250000,"High",IF(D273&gt;=100000,"Moderate","Low")))</x:f>
        <x:v>Low</x:v>
      </x:c>
    </x:row>
    <x:row r="274">
      <x:c r="B274" t="n">
        <x:f>'Frequency Analysis'!H274</x:f>
        <x:v>0</x:v>
      </x:c>
      <x:c r="C274" t="n">
        <x:f>'Loss Magnitude'!H274</x:f>
        <x:v>0</x:v>
      </x:c>
      <x:c r="D274" t="n">
        <x:f>B274*C274</x:f>
        <x:v>0</x:v>
      </x:c>
      <x:c r="E274" t="str">
        <x:f>IF(D274&gt;=500000,"Critical",IF(D274&gt;=250000,"High",IF(D274&gt;=100000,"Moderate","Low")))</x:f>
        <x:v>Low</x:v>
      </x:c>
    </x:row>
    <x:row r="275">
      <x:c r="B275" t="n">
        <x:f>'Frequency Analysis'!H275</x:f>
        <x:v>0</x:v>
      </x:c>
      <x:c r="C275" t="n">
        <x:f>'Loss Magnitude'!H275</x:f>
        <x:v>0</x:v>
      </x:c>
      <x:c r="D275" t="n">
        <x:f>B275*C275</x:f>
        <x:v>0</x:v>
      </x:c>
      <x:c r="E275" t="str">
        <x:f>IF(D275&gt;=500000,"Critical",IF(D275&gt;=250000,"High",IF(D275&gt;=100000,"Moderate","Low")))</x:f>
        <x:v>Low</x:v>
      </x:c>
    </x:row>
    <x:row r="276">
      <x:c r="B276" t="n">
        <x:f>'Frequency Analysis'!H276</x:f>
        <x:v>0</x:v>
      </x:c>
      <x:c r="C276" t="n">
        <x:f>'Loss Magnitude'!H276</x:f>
        <x:v>0</x:v>
      </x:c>
      <x:c r="D276" t="n">
        <x:f>B276*C276</x:f>
        <x:v>0</x:v>
      </x:c>
      <x:c r="E276" t="str">
        <x:f>IF(D276&gt;=500000,"Critical",IF(D276&gt;=250000,"High",IF(D276&gt;=100000,"Moderate","Low")))</x:f>
        <x:v>Low</x:v>
      </x:c>
    </x:row>
    <x:row r="277">
      <x:c r="B277" t="n">
        <x:f>'Frequency Analysis'!H277</x:f>
        <x:v>0</x:v>
      </x:c>
      <x:c r="C277" t="n">
        <x:f>'Loss Magnitude'!H277</x:f>
        <x:v>0</x:v>
      </x:c>
      <x:c r="D277" t="n">
        <x:f>B277*C277</x:f>
        <x:v>0</x:v>
      </x:c>
      <x:c r="E277" t="str">
        <x:f>IF(D277&gt;=500000,"Critical",IF(D277&gt;=250000,"High",IF(D277&gt;=100000,"Moderate","Low")))</x:f>
        <x:v>Low</x:v>
      </x:c>
    </x:row>
    <x:row r="278">
      <x:c r="B278" t="n">
        <x:f>'Frequency Analysis'!H278</x:f>
        <x:v>0</x:v>
      </x:c>
      <x:c r="C278" t="n">
        <x:f>'Loss Magnitude'!H278</x:f>
        <x:v>0</x:v>
      </x:c>
      <x:c r="D278" t="n">
        <x:f>B278*C278</x:f>
        <x:v>0</x:v>
      </x:c>
      <x:c r="E278" t="str">
        <x:f>IF(D278&gt;=500000,"Critical",IF(D278&gt;=250000,"High",IF(D278&gt;=100000,"Moderate","Low")))</x:f>
        <x:v>Low</x:v>
      </x:c>
    </x:row>
    <x:row r="279">
      <x:c r="B279" t="n">
        <x:f>'Frequency Analysis'!H279</x:f>
        <x:v>0</x:v>
      </x:c>
      <x:c r="C279" t="n">
        <x:f>'Loss Magnitude'!H279</x:f>
        <x:v>0</x:v>
      </x:c>
      <x:c r="D279" t="n">
        <x:f>B279*C279</x:f>
        <x:v>0</x:v>
      </x:c>
      <x:c r="E279" t="str">
        <x:f>IF(D279&gt;=500000,"Critical",IF(D279&gt;=250000,"High",IF(D279&gt;=100000,"Moderate","Low")))</x:f>
        <x:v>Low</x:v>
      </x:c>
    </x:row>
    <x:row r="280">
      <x:c r="B280" t="n">
        <x:f>'Frequency Analysis'!H280</x:f>
        <x:v>0</x:v>
      </x:c>
      <x:c r="C280" t="n">
        <x:f>'Loss Magnitude'!H280</x:f>
        <x:v>0</x:v>
      </x:c>
      <x:c r="D280" t="n">
        <x:f>B280*C280</x:f>
        <x:v>0</x:v>
      </x:c>
      <x:c r="E280" t="str">
        <x:f>IF(D280&gt;=500000,"Critical",IF(D280&gt;=250000,"High",IF(D280&gt;=100000,"Moderate","Low")))</x:f>
        <x:v>Low</x:v>
      </x:c>
    </x:row>
    <x:row r="281">
      <x:c r="B281" t="n">
        <x:f>'Frequency Analysis'!H281</x:f>
        <x:v>0</x:v>
      </x:c>
      <x:c r="C281" t="n">
        <x:f>'Loss Magnitude'!H281</x:f>
        <x:v>0</x:v>
      </x:c>
      <x:c r="D281" t="n">
        <x:f>B281*C281</x:f>
        <x:v>0</x:v>
      </x:c>
      <x:c r="E281" t="str">
        <x:f>IF(D281&gt;=500000,"Critical",IF(D281&gt;=250000,"High",IF(D281&gt;=100000,"Moderate","Low")))</x:f>
        <x:v>Low</x:v>
      </x:c>
    </x:row>
    <x:row r="282">
      <x:c r="B282" t="n">
        <x:f>'Frequency Analysis'!H282</x:f>
        <x:v>0</x:v>
      </x:c>
      <x:c r="C282" t="n">
        <x:f>'Loss Magnitude'!H282</x:f>
        <x:v>0</x:v>
      </x:c>
      <x:c r="D282" t="n">
        <x:f>B282*C282</x:f>
        <x:v>0</x:v>
      </x:c>
      <x:c r="E282" t="str">
        <x:f>IF(D282&gt;=500000,"Critical",IF(D282&gt;=250000,"High",IF(D282&gt;=100000,"Moderate","Low")))</x:f>
        <x:v>Low</x:v>
      </x:c>
    </x:row>
    <x:row r="283">
      <x:c r="B283" t="n">
        <x:f>'Frequency Analysis'!H283</x:f>
        <x:v>0</x:v>
      </x:c>
      <x:c r="C283" t="n">
        <x:f>'Loss Magnitude'!H283</x:f>
        <x:v>0</x:v>
      </x:c>
      <x:c r="D283" t="n">
        <x:f>B283*C283</x:f>
        <x:v>0</x:v>
      </x:c>
      <x:c r="E283" t="str">
        <x:f>IF(D283&gt;=500000,"Critical",IF(D283&gt;=250000,"High",IF(D283&gt;=100000,"Moderate","Low")))</x:f>
        <x:v>Low</x:v>
      </x:c>
    </x:row>
    <x:row r="284">
      <x:c r="B284" t="n">
        <x:f>'Frequency Analysis'!H284</x:f>
        <x:v>0</x:v>
      </x:c>
      <x:c r="C284" t="n">
        <x:f>'Loss Magnitude'!H284</x:f>
        <x:v>0</x:v>
      </x:c>
      <x:c r="D284" t="n">
        <x:f>B284*C284</x:f>
        <x:v>0</x:v>
      </x:c>
      <x:c r="E284" t="str">
        <x:f>IF(D284&gt;=500000,"Critical",IF(D284&gt;=250000,"High",IF(D284&gt;=100000,"Moderate","Low")))</x:f>
        <x:v>Low</x:v>
      </x:c>
    </x:row>
    <x:row r="285">
      <x:c r="B285" t="n">
        <x:f>'Frequency Analysis'!H285</x:f>
        <x:v>0</x:v>
      </x:c>
      <x:c r="C285" t="n">
        <x:f>'Loss Magnitude'!H285</x:f>
        <x:v>0</x:v>
      </x:c>
      <x:c r="D285" t="n">
        <x:f>B285*C285</x:f>
        <x:v>0</x:v>
      </x:c>
      <x:c r="E285" t="str">
        <x:f>IF(D285&gt;=500000,"Critical",IF(D285&gt;=250000,"High",IF(D285&gt;=100000,"Moderate","Low")))</x:f>
        <x:v>Low</x:v>
      </x:c>
    </x:row>
    <x:row r="286">
      <x:c r="B286" t="n">
        <x:f>'Frequency Analysis'!H286</x:f>
        <x:v>0</x:v>
      </x:c>
      <x:c r="C286" t="n">
        <x:f>'Loss Magnitude'!H286</x:f>
        <x:v>0</x:v>
      </x:c>
      <x:c r="D286" t="n">
        <x:f>B286*C286</x:f>
        <x:v>0</x:v>
      </x:c>
      <x:c r="E286" t="str">
        <x:f>IF(D286&gt;=500000,"Critical",IF(D286&gt;=250000,"High",IF(D286&gt;=100000,"Moderate","Low")))</x:f>
        <x:v>Low</x:v>
      </x:c>
    </x:row>
    <x:row r="287">
      <x:c r="B287" t="n">
        <x:f>'Frequency Analysis'!H287</x:f>
        <x:v>0</x:v>
      </x:c>
      <x:c r="C287" t="n">
        <x:f>'Loss Magnitude'!H287</x:f>
        <x:v>0</x:v>
      </x:c>
      <x:c r="D287" t="n">
        <x:f>B287*C287</x:f>
        <x:v>0</x:v>
      </x:c>
      <x:c r="E287" t="str">
        <x:f>IF(D287&gt;=500000,"Critical",IF(D287&gt;=250000,"High",IF(D287&gt;=100000,"Moderate","Low")))</x:f>
        <x:v>Low</x:v>
      </x:c>
    </x:row>
    <x:row r="288">
      <x:c r="B288" t="n">
        <x:f>'Frequency Analysis'!H288</x:f>
        <x:v>0</x:v>
      </x:c>
      <x:c r="C288" t="n">
        <x:f>'Loss Magnitude'!H288</x:f>
        <x:v>0</x:v>
      </x:c>
      <x:c r="D288" t="n">
        <x:f>B288*C288</x:f>
        <x:v>0</x:v>
      </x:c>
      <x:c r="E288" t="str">
        <x:f>IF(D288&gt;=500000,"Critical",IF(D288&gt;=250000,"High",IF(D288&gt;=100000,"Moderate","Low")))</x:f>
        <x:v>Low</x:v>
      </x:c>
    </x:row>
    <x:row r="289">
      <x:c r="B289" t="n">
        <x:f>'Frequency Analysis'!H289</x:f>
        <x:v>0</x:v>
      </x:c>
      <x:c r="C289" t="n">
        <x:f>'Loss Magnitude'!H289</x:f>
        <x:v>0</x:v>
      </x:c>
      <x:c r="D289" t="n">
        <x:f>B289*C289</x:f>
        <x:v>0</x:v>
      </x:c>
      <x:c r="E289" t="str">
        <x:f>IF(D289&gt;=500000,"Critical",IF(D289&gt;=250000,"High",IF(D289&gt;=100000,"Moderate","Low")))</x:f>
        <x:v>Low</x:v>
      </x:c>
    </x:row>
    <x:row r="290">
      <x:c r="B290" t="n">
        <x:f>'Frequency Analysis'!H290</x:f>
        <x:v>0</x:v>
      </x:c>
      <x:c r="C290" t="n">
        <x:f>'Loss Magnitude'!H290</x:f>
        <x:v>0</x:v>
      </x:c>
      <x:c r="D290" t="n">
        <x:f>B290*C290</x:f>
        <x:v>0</x:v>
      </x:c>
      <x:c r="E290" t="str">
        <x:f>IF(D290&gt;=500000,"Critical",IF(D290&gt;=250000,"High",IF(D290&gt;=100000,"Moderate","Low")))</x:f>
        <x:v>Low</x:v>
      </x:c>
    </x:row>
    <x:row r="291">
      <x:c r="B291" t="n">
        <x:f>'Frequency Analysis'!H291</x:f>
        <x:v>0</x:v>
      </x:c>
      <x:c r="C291" t="n">
        <x:f>'Loss Magnitude'!H291</x:f>
        <x:v>0</x:v>
      </x:c>
      <x:c r="D291" t="n">
        <x:f>B291*C291</x:f>
        <x:v>0</x:v>
      </x:c>
      <x:c r="E291" t="str">
        <x:f>IF(D291&gt;=500000,"Critical",IF(D291&gt;=250000,"High",IF(D291&gt;=100000,"Moderate","Low")))</x:f>
        <x:v>Low</x:v>
      </x:c>
    </x:row>
    <x:row r="292">
      <x:c r="B292" t="n">
        <x:f>'Frequency Analysis'!H292</x:f>
        <x:v>0</x:v>
      </x:c>
      <x:c r="C292" t="n">
        <x:f>'Loss Magnitude'!H292</x:f>
        <x:v>0</x:v>
      </x:c>
      <x:c r="D292" t="n">
        <x:f>B292*C292</x:f>
        <x:v>0</x:v>
      </x:c>
      <x:c r="E292" t="str">
        <x:f>IF(D292&gt;=500000,"Critical",IF(D292&gt;=250000,"High",IF(D292&gt;=100000,"Moderate","Low")))</x:f>
        <x:v>Low</x:v>
      </x:c>
    </x:row>
    <x:row r="293">
      <x:c r="B293" t="n">
        <x:f>'Frequency Analysis'!H293</x:f>
        <x:v>0</x:v>
      </x:c>
      <x:c r="C293" t="n">
        <x:f>'Loss Magnitude'!H293</x:f>
        <x:v>0</x:v>
      </x:c>
      <x:c r="D293" t="n">
        <x:f>B293*C293</x:f>
        <x:v>0</x:v>
      </x:c>
      <x:c r="E293" t="str">
        <x:f>IF(D293&gt;=500000,"Critical",IF(D293&gt;=250000,"High",IF(D293&gt;=100000,"Moderate","Low")))</x:f>
        <x:v>Low</x:v>
      </x:c>
    </x:row>
    <x:row r="294">
      <x:c r="B294" t="n">
        <x:f>'Frequency Analysis'!H294</x:f>
        <x:v>0</x:v>
      </x:c>
      <x:c r="C294" t="n">
        <x:f>'Loss Magnitude'!H294</x:f>
        <x:v>0</x:v>
      </x:c>
      <x:c r="D294" t="n">
        <x:f>B294*C294</x:f>
        <x:v>0</x:v>
      </x:c>
      <x:c r="E294" t="str">
        <x:f>IF(D294&gt;=500000,"Critical",IF(D294&gt;=250000,"High",IF(D294&gt;=100000,"Moderate","Low")))</x:f>
        <x:v>Low</x:v>
      </x:c>
    </x:row>
    <x:row r="295">
      <x:c r="B295" t="n">
        <x:f>'Frequency Analysis'!H295</x:f>
        <x:v>0</x:v>
      </x:c>
      <x:c r="C295" t="n">
        <x:f>'Loss Magnitude'!H295</x:f>
        <x:v>0</x:v>
      </x:c>
      <x:c r="D295" t="n">
        <x:f>B295*C295</x:f>
        <x:v>0</x:v>
      </x:c>
      <x:c r="E295" t="str">
        <x:f>IF(D295&gt;=500000,"Critical",IF(D295&gt;=250000,"High",IF(D295&gt;=100000,"Moderate","Low")))</x:f>
        <x:v>Low</x:v>
      </x:c>
    </x:row>
    <x:row r="296">
      <x:c r="B296" t="n">
        <x:f>'Frequency Analysis'!H296</x:f>
        <x:v>0</x:v>
      </x:c>
      <x:c r="C296" t="n">
        <x:f>'Loss Magnitude'!H296</x:f>
        <x:v>0</x:v>
      </x:c>
      <x:c r="D296" t="n">
        <x:f>B296*C296</x:f>
        <x:v>0</x:v>
      </x:c>
      <x:c r="E296" t="str">
        <x:f>IF(D296&gt;=500000,"Critical",IF(D296&gt;=250000,"High",IF(D296&gt;=100000,"Moderate","Low")))</x:f>
        <x:v>Low</x:v>
      </x:c>
    </x:row>
    <x:row r="297">
      <x:c r="B297" t="n">
        <x:f>'Frequency Analysis'!H297</x:f>
        <x:v>0</x:v>
      </x:c>
      <x:c r="C297" t="n">
        <x:f>'Loss Magnitude'!H297</x:f>
        <x:v>0</x:v>
      </x:c>
      <x:c r="D297" t="n">
        <x:f>B297*C297</x:f>
        <x:v>0</x:v>
      </x:c>
      <x:c r="E297" t="str">
        <x:f>IF(D297&gt;=500000,"Critical",IF(D297&gt;=250000,"High",IF(D297&gt;=100000,"Moderate","Low")))</x:f>
        <x:v>Low</x:v>
      </x:c>
    </x:row>
    <x:row r="298">
      <x:c r="B298" t="n">
        <x:f>'Frequency Analysis'!H298</x:f>
        <x:v>0</x:v>
      </x:c>
      <x:c r="C298" t="n">
        <x:f>'Loss Magnitude'!H298</x:f>
        <x:v>0</x:v>
      </x:c>
      <x:c r="D298" t="n">
        <x:f>B298*C298</x:f>
        <x:v>0</x:v>
      </x:c>
      <x:c r="E298" t="str">
        <x:f>IF(D298&gt;=500000,"Critical",IF(D298&gt;=250000,"High",IF(D298&gt;=100000,"Moderate","Low")))</x:f>
        <x:v>Low</x:v>
      </x:c>
    </x:row>
    <x:row r="299">
      <x:c r="B299" t="n">
        <x:f>'Frequency Analysis'!H299</x:f>
        <x:v>0</x:v>
      </x:c>
      <x:c r="C299" t="n">
        <x:f>'Loss Magnitude'!H299</x:f>
        <x:v>0</x:v>
      </x:c>
      <x:c r="D299" t="n">
        <x:f>B299*C299</x:f>
        <x:v>0</x:v>
      </x:c>
      <x:c r="E299" t="str">
        <x:f>IF(D299&gt;=500000,"Critical",IF(D299&gt;=250000,"High",IF(D299&gt;=100000,"Moderate","Low")))</x:f>
        <x:v>Low</x:v>
      </x:c>
    </x:row>
    <x:row r="300">
      <x:c r="B300" t="n">
        <x:f>'Frequency Analysis'!H300</x:f>
        <x:v>0</x:v>
      </x:c>
      <x:c r="C300" t="n">
        <x:f>'Loss Magnitude'!H300</x:f>
        <x:v>0</x:v>
      </x:c>
      <x:c r="D300" t="n">
        <x:f>B300*C300</x:f>
        <x:v>0</x:v>
      </x:c>
      <x:c r="E300" t="str">
        <x:f>IF(D300&gt;=500000,"Critical",IF(D300&gt;=250000,"High",IF(D300&gt;=100000,"Moderate","Low")))</x:f>
        <x:v>Low</x:v>
      </x:c>
    </x:row>
    <x:row r="301">
      <x:c r="B301" t="n">
        <x:f>'Frequency Analysis'!H301</x:f>
        <x:v>0</x:v>
      </x:c>
      <x:c r="C301" t="n">
        <x:f>'Loss Magnitude'!H301</x:f>
        <x:v>0</x:v>
      </x:c>
      <x:c r="D301" t="n">
        <x:f>B301*C301</x:f>
        <x:v>0</x:v>
      </x:c>
      <x:c r="E301" t="str">
        <x:f>IF(D301&gt;=500000,"Critical",IF(D301&gt;=250000,"High",IF(D301&gt;=100000,"Moderate","Low")))</x:f>
        <x:v>Low</x:v>
      </x:c>
    </x:row>
    <x:row r="302">
      <x:c r="B302" t="n">
        <x:f>'Frequency Analysis'!H302</x:f>
        <x:v>0</x:v>
      </x:c>
      <x:c r="C302" t="n">
        <x:f>'Loss Magnitude'!H302</x:f>
        <x:v>0</x:v>
      </x:c>
      <x:c r="D302" t="n">
        <x:f>B302*C302</x:f>
        <x:v>0</x:v>
      </x:c>
      <x:c r="E302" t="str">
        <x:f>IF(D302&gt;=500000,"Critical",IF(D302&gt;=250000,"High",IF(D302&gt;=100000,"Moderate","Low")))</x:f>
        <x:v>Low</x:v>
      </x:c>
    </x:row>
    <x:row r="303">
      <x:c r="B303" t="n">
        <x:f>'Frequency Analysis'!H303</x:f>
        <x:v>0</x:v>
      </x:c>
      <x:c r="C303" t="n">
        <x:f>'Loss Magnitude'!H303</x:f>
        <x:v>0</x:v>
      </x:c>
      <x:c r="D303" t="n">
        <x:f>B303*C303</x:f>
        <x:v>0</x:v>
      </x:c>
      <x:c r="E303" t="str">
        <x:f>IF(D303&gt;=500000,"Critical",IF(D303&gt;=250000,"High",IF(D303&gt;=100000,"Moderate","Low")))</x:f>
        <x:v>Low</x:v>
      </x:c>
    </x:row>
  </x:sheetData>
  <x:mergeCells>
    <x:mergeCell ref="A1:H1"/>
  </x:mergeCells>
  <x:dataValidations count="1">
    <x:dataValidation type="list" sqref="H4:H303">
      <x:formula1>"Not Started,Planned,In Progress,Operational,Needs Review,Needs Improvement,Complete,Pending,Open"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f5a76e95f94a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</x:cols>
  <x:sheetData>
    <x:row r="1">
      <x:c r="A1" s="4" t="str">
        <x:v>Treatment Plan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Action ID</x:v>
      </x:c>
      <x:c r="B3" s="12" t="str">
        <x:v>Scenario ID</x:v>
      </x:c>
      <x:c r="C3" s="12" t="str">
        <x:v>Treatment Action</x:v>
      </x:c>
      <x:c r="D3" s="12" t="str">
        <x:v>Expected Frequency Reduction %</x:v>
      </x:c>
      <x:c r="E3" s="12" t="str">
        <x:v>Expected Magnitude Reduction %</x:v>
      </x:c>
      <x:c r="F3" s="12" t="str">
        <x:v>Cost</x:v>
      </x:c>
      <x:c r="G3" s="12" t="str">
        <x:v>Owner</x:v>
      </x:c>
      <x:c r="H3" s="12" t="str">
        <x:v>Target Date</x:v>
      </x:c>
      <x:c r="I3" s="12" t="str">
        <x:v>Status</x:v>
      </x:c>
    </x:row>
    <x:row r="4">
      <x:c r="A4" s="20" t="str">
        <x:v>ACT-001</x:v>
      </x:c>
      <x:c r="B4" s="20" t="str">
        <x:v>FAIR-001</x:v>
      </x:c>
      <x:c r="C4" s="20" t="str">
        <x:v>Deploy phishing-resistant MFA</x:v>
      </x:c>
      <x:c r="D4" s="20" t="n">
        <x:v>45</x:v>
      </x:c>
      <x:c r="E4" s="20" t="n">
        <x:v>10</x:v>
      </x:c>
      <x:c r="F4" s="20" t="n">
        <x:v>85000</x:v>
      </x:c>
      <x:c r="G4" s="20" t="str">
        <x:v>IAM Lead</x:v>
      </x:c>
      <x:c r="H4" s="22" t="n">
        <x:v>46296</x:v>
      </x:c>
      <x:c r="I4" s="20" t="str">
        <x:v>In Progress</x:v>
      </x:c>
    </x:row>
    <x:row r="5">
      <x:c r="A5" s="20" t="str">
        <x:v>ACT-002</x:v>
      </x:c>
      <x:c r="B5" s="20" t="str">
        <x:v>FAIR-002</x:v>
      </x:c>
      <x:c r="C5" s="20" t="str">
        <x:v>Improve recovery testing and endpoint containment</x:v>
      </x:c>
      <x:c r="D5" s="20" t="n">
        <x:v>25</x:v>
      </x:c>
      <x:c r="E5" s="20" t="n">
        <x:v>35</x:v>
      </x:c>
      <x:c r="F5" s="20" t="n">
        <x:v>140000</x:v>
      </x:c>
      <x:c r="G5" s="20" t="str">
        <x:v>IR Lead</x:v>
      </x:c>
      <x:c r="H5" s="22" t="n">
        <x:v>46341</x:v>
      </x:c>
      <x:c r="I5" s="20" t="str">
        <x:v>Planned</x:v>
      </x:c>
    </x:row>
    <x:row r="6">
      <x:c r="A6" s="20" t="str">
        <x:v>ACT-003</x:v>
      </x:c>
      <x:c r="B6" s="20" t="str">
        <x:v>FAIR-003</x:v>
      </x:c>
      <x:c r="C6" s="20" t="str">
        <x:v>Expand privileged monitoring and data-loss controls</x:v>
      </x:c>
      <x:c r="D6" s="20" t="n">
        <x:v>30</x:v>
      </x:c>
      <x:c r="E6" s="20" t="n">
        <x:v>40</x:v>
      </x:c>
      <x:c r="F6" s="20" t="n">
        <x:v>175000</x:v>
      </x:c>
      <x:c r="G6" s="20" t="str">
        <x:v>Data Security Lead</x:v>
      </x:c>
      <x:c r="H6" s="22" t="n">
        <x:v>46357</x:v>
      </x:c>
      <x:c r="I6" s="20" t="str">
        <x:v>Planned</x:v>
      </x:c>
    </x:row>
    <x:row r="7">
      <x:c r="A7" s="20"/>
      <x:c r="B7" s="20"/>
      <x:c r="C7" s="20"/>
      <x:c r="D7" s="20"/>
      <x:c r="E7" s="20"/>
      <x:c r="F7" s="20"/>
      <x:c r="G7" s="20"/>
      <x:c r="H7" s="22"/>
      <x:c r="I7" s="20"/>
    </x:row>
    <x:row r="8">
      <x:c r="A8" s="20"/>
      <x:c r="B8" s="20"/>
      <x:c r="C8" s="20"/>
      <x:c r="D8" s="20"/>
      <x:c r="E8" s="20"/>
      <x:c r="F8" s="20"/>
      <x:c r="G8" s="20"/>
      <x:c r="H8" s="22"/>
      <x:c r="I8" s="20"/>
    </x:row>
    <x:row r="9">
      <x:c r="A9" s="20"/>
      <x:c r="B9" s="20"/>
      <x:c r="C9" s="20"/>
      <x:c r="D9" s="20"/>
      <x:c r="E9" s="20"/>
      <x:c r="F9" s="20"/>
      <x:c r="G9" s="20"/>
      <x:c r="H9" s="22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2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2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2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2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2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2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2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2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2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2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2"/>
      <x:c r="I20" s="20"/>
    </x:row>
    <x:row r="21">
      <x:c r="H21" s="18"/>
    </x:row>
    <x:row r="22">
      <x:c r="H22" s="18"/>
    </x:row>
    <x:row r="23">
      <x:c r="H23" s="18"/>
    </x:row>
    <x:row r="24">
      <x:c r="H24" s="18"/>
    </x:row>
    <x:row r="25">
      <x:c r="H25" s="18"/>
    </x:row>
    <x:row r="26">
      <x:c r="H26" s="18"/>
    </x:row>
    <x:row r="27">
      <x:c r="H27" s="18"/>
    </x:row>
    <x:row r="28">
      <x:c r="H28" s="18"/>
    </x:row>
    <x:row r="29">
      <x:c r="H29" s="18"/>
    </x:row>
    <x:row r="30">
      <x:c r="H30" s="18"/>
    </x:row>
    <x:row r="31">
      <x:c r="H31" s="18"/>
    </x:row>
    <x:row r="32">
      <x:c r="H32" s="18"/>
    </x:row>
    <x:row r="33">
      <x:c r="H33" s="18"/>
    </x:row>
    <x:row r="34">
      <x:c r="H34" s="18"/>
    </x:row>
    <x:row r="35">
      <x:c r="H35" s="18"/>
    </x:row>
    <x:row r="36">
      <x:c r="H36" s="18"/>
    </x:row>
    <x:row r="37">
      <x:c r="H37" s="18"/>
    </x:row>
    <x:row r="38">
      <x:c r="H38" s="18"/>
    </x:row>
    <x:row r="39">
      <x:c r="H39" s="18"/>
    </x:row>
    <x:row r="40">
      <x:c r="H40" s="18"/>
    </x:row>
    <x:row r="41">
      <x:c r="H41" s="18"/>
    </x:row>
    <x:row r="42">
      <x:c r="H42" s="18"/>
    </x:row>
    <x:row r="43">
      <x:c r="H43" s="18"/>
    </x:row>
    <x:row r="44">
      <x:c r="H44" s="18"/>
    </x:row>
    <x:row r="45">
      <x:c r="H45" s="18"/>
    </x:row>
    <x:row r="46">
      <x:c r="H46" s="18"/>
    </x:row>
    <x:row r="47">
      <x:c r="H47" s="18"/>
    </x:row>
    <x:row r="48">
      <x:c r="H48" s="18"/>
    </x:row>
    <x:row r="49">
      <x:c r="H49" s="18"/>
    </x:row>
    <x:row r="50">
      <x:c r="H50" s="18"/>
    </x:row>
    <x:row r="51">
      <x:c r="H51" s="18"/>
    </x:row>
    <x:row r="52">
      <x:c r="H52" s="18"/>
    </x:row>
    <x:row r="53">
      <x:c r="H53" s="18"/>
    </x:row>
    <x:row r="54">
      <x:c r="H54" s="18"/>
    </x:row>
    <x:row r="55">
      <x:c r="H55" s="18"/>
    </x:row>
    <x:row r="56">
      <x:c r="H56" s="18"/>
    </x:row>
    <x:row r="57">
      <x:c r="H57" s="18"/>
    </x:row>
    <x:row r="58">
      <x:c r="H58" s="18"/>
    </x:row>
    <x:row r="59">
      <x:c r="H59" s="18"/>
    </x:row>
    <x:row r="60">
      <x:c r="H60" s="18"/>
    </x:row>
    <x:row r="61">
      <x:c r="H61" s="18"/>
    </x:row>
    <x:row r="62">
      <x:c r="H62" s="18"/>
    </x:row>
    <x:row r="63">
      <x:c r="H63" s="18"/>
    </x:row>
    <x:row r="64">
      <x:c r="H64" s="18"/>
    </x:row>
    <x:row r="65">
      <x:c r="H65" s="18"/>
    </x:row>
    <x:row r="66">
      <x:c r="H66" s="18"/>
    </x:row>
    <x:row r="67">
      <x:c r="H67" s="18"/>
    </x:row>
    <x:row r="68">
      <x:c r="H68" s="18"/>
    </x:row>
    <x:row r="69">
      <x:c r="H69" s="18"/>
    </x:row>
    <x:row r="70">
      <x:c r="H70" s="18"/>
    </x:row>
    <x:row r="71">
      <x:c r="H71" s="18"/>
    </x:row>
    <x:row r="72">
      <x:c r="H72" s="18"/>
    </x:row>
    <x:row r="73">
      <x:c r="H73" s="18"/>
    </x:row>
    <x:row r="74">
      <x:c r="H74" s="18"/>
    </x:row>
    <x:row r="75">
      <x:c r="H75" s="18"/>
    </x:row>
    <x:row r="76">
      <x:c r="H76" s="18"/>
    </x:row>
    <x:row r="77">
      <x:c r="H77" s="18"/>
    </x:row>
    <x:row r="78">
      <x:c r="H78" s="18"/>
    </x:row>
    <x:row r="79">
      <x:c r="H79" s="18"/>
    </x:row>
    <x:row r="80">
      <x:c r="H80" s="18"/>
    </x:row>
    <x:row r="81">
      <x:c r="H81" s="18"/>
    </x:row>
    <x:row r="82">
      <x:c r="H82" s="18"/>
    </x:row>
    <x:row r="83">
      <x:c r="H83" s="18"/>
    </x:row>
    <x:row r="84">
      <x:c r="H84" s="18"/>
    </x:row>
    <x:row r="85">
      <x:c r="H85" s="18"/>
    </x:row>
    <x:row r="86">
      <x:c r="H86" s="18"/>
    </x:row>
    <x:row r="87">
      <x:c r="H87" s="18"/>
    </x:row>
    <x:row r="88">
      <x:c r="H88" s="18"/>
    </x:row>
    <x:row r="89">
      <x:c r="H89" s="18"/>
    </x:row>
    <x:row r="90">
      <x:c r="H90" s="18"/>
    </x:row>
    <x:row r="91">
      <x:c r="H91" s="18"/>
    </x:row>
    <x:row r="92">
      <x:c r="H92" s="18"/>
    </x:row>
    <x:row r="93">
      <x:c r="H93" s="18"/>
    </x:row>
    <x:row r="94">
      <x:c r="H94" s="18"/>
    </x:row>
    <x:row r="95">
      <x:c r="H95" s="18"/>
    </x:row>
    <x:row r="96">
      <x:c r="H96" s="18"/>
    </x:row>
    <x:row r="97">
      <x:c r="H97" s="18"/>
    </x:row>
    <x:row r="98">
      <x:c r="H98" s="18"/>
    </x:row>
    <x:row r="99">
      <x:c r="H99" s="18"/>
    </x:row>
    <x:row r="100">
      <x:c r="H100" s="18"/>
    </x:row>
    <x:row r="101">
      <x:c r="H101" s="18"/>
    </x:row>
    <x:row r="102">
      <x:c r="H102" s="18"/>
    </x:row>
    <x:row r="103">
      <x:c r="H103" s="18"/>
    </x:row>
    <x:row r="104">
      <x:c r="H104" s="18"/>
    </x:row>
    <x:row r="105">
      <x:c r="H105" s="18"/>
    </x:row>
    <x:row r="106">
      <x:c r="H106" s="18"/>
    </x:row>
    <x:row r="107">
      <x:c r="H107" s="18"/>
    </x:row>
    <x:row r="108">
      <x:c r="H108" s="18"/>
    </x:row>
    <x:row r="109">
      <x:c r="H109" s="18"/>
    </x:row>
    <x:row r="110">
      <x:c r="H110" s="18"/>
    </x:row>
    <x:row r="111">
      <x:c r="H111" s="18"/>
    </x:row>
    <x:row r="112">
      <x:c r="H112" s="18"/>
    </x:row>
    <x:row r="113">
      <x:c r="H113" s="18"/>
    </x:row>
    <x:row r="114">
      <x:c r="H114" s="18"/>
    </x:row>
    <x:row r="115">
      <x:c r="H115" s="18"/>
    </x:row>
    <x:row r="116">
      <x:c r="H116" s="18"/>
    </x:row>
    <x:row r="117">
      <x:c r="H117" s="18"/>
    </x:row>
    <x:row r="118">
      <x:c r="H118" s="18"/>
    </x:row>
    <x:row r="119">
      <x:c r="H119" s="18"/>
    </x:row>
    <x:row r="120">
      <x:c r="H120" s="18"/>
    </x:row>
    <x:row r="121">
      <x:c r="H121" s="18"/>
    </x:row>
    <x:row r="122">
      <x:c r="H122" s="18"/>
    </x:row>
    <x:row r="123">
      <x:c r="H123" s="18"/>
    </x:row>
    <x:row r="124">
      <x:c r="H124" s="18"/>
    </x:row>
    <x:row r="125">
      <x:c r="H125" s="18"/>
    </x:row>
    <x:row r="126">
      <x:c r="H126" s="18"/>
    </x:row>
    <x:row r="127">
      <x:c r="H127" s="18"/>
    </x:row>
    <x:row r="128">
      <x:c r="H128" s="18"/>
    </x:row>
    <x:row r="129">
      <x:c r="H129" s="18"/>
    </x:row>
    <x:row r="130">
      <x:c r="H130" s="18"/>
    </x:row>
    <x:row r="131">
      <x:c r="H131" s="18"/>
    </x:row>
    <x:row r="132">
      <x:c r="H132" s="18"/>
    </x:row>
    <x:row r="133">
      <x:c r="H133" s="18"/>
    </x:row>
    <x:row r="134">
      <x:c r="H134" s="18"/>
    </x:row>
    <x:row r="135">
      <x:c r="H135" s="18"/>
    </x:row>
    <x:row r="136">
      <x:c r="H136" s="18"/>
    </x:row>
    <x:row r="137">
      <x:c r="H137" s="18"/>
    </x:row>
    <x:row r="138">
      <x:c r="H138" s="18"/>
    </x:row>
    <x:row r="139">
      <x:c r="H139" s="18"/>
    </x:row>
    <x:row r="140">
      <x:c r="H140" s="18"/>
    </x:row>
    <x:row r="141">
      <x:c r="H141" s="18"/>
    </x:row>
    <x:row r="142">
      <x:c r="H142" s="18"/>
    </x:row>
    <x:row r="143">
      <x:c r="H143" s="18"/>
    </x:row>
    <x:row r="144">
      <x:c r="H144" s="18"/>
    </x:row>
    <x:row r="145">
      <x:c r="H145" s="18"/>
    </x:row>
    <x:row r="146">
      <x:c r="H146" s="18"/>
    </x:row>
    <x:row r="147">
      <x:c r="H147" s="18"/>
    </x:row>
    <x:row r="148">
      <x:c r="H148" s="18"/>
    </x:row>
    <x:row r="149">
      <x:c r="H149" s="18"/>
    </x:row>
    <x:row r="150">
      <x:c r="H150" s="18"/>
    </x:row>
    <x:row r="151">
      <x:c r="H151" s="18"/>
    </x:row>
    <x:row r="152">
      <x:c r="H152" s="18"/>
    </x:row>
    <x:row r="153">
      <x:c r="H153" s="18"/>
    </x:row>
    <x:row r="154">
      <x:c r="H154" s="18"/>
    </x:row>
    <x:row r="155">
      <x:c r="H155" s="18"/>
    </x:row>
    <x:row r="156">
      <x:c r="H156" s="18"/>
    </x:row>
    <x:row r="157">
      <x:c r="H157" s="18"/>
    </x:row>
    <x:row r="158">
      <x:c r="H158" s="18"/>
    </x:row>
    <x:row r="159">
      <x:c r="H159" s="18"/>
    </x:row>
    <x:row r="160">
      <x:c r="H160" s="18"/>
    </x:row>
    <x:row r="161">
      <x:c r="H161" s="18"/>
    </x:row>
    <x:row r="162">
      <x:c r="H162" s="18"/>
    </x:row>
    <x:row r="163">
      <x:c r="H163" s="18"/>
    </x:row>
    <x:row r="164">
      <x:c r="H164" s="18"/>
    </x:row>
    <x:row r="165">
      <x:c r="H165" s="18"/>
    </x:row>
    <x:row r="166">
      <x:c r="H166" s="18"/>
    </x:row>
    <x:row r="167">
      <x:c r="H167" s="18"/>
    </x:row>
    <x:row r="168">
      <x:c r="H168" s="18"/>
    </x:row>
    <x:row r="169">
      <x:c r="H169" s="18"/>
    </x:row>
    <x:row r="170">
      <x:c r="H170" s="18"/>
    </x:row>
    <x:row r="171">
      <x:c r="H171" s="18"/>
    </x:row>
    <x:row r="172">
      <x:c r="H172" s="18"/>
    </x:row>
    <x:row r="173">
      <x:c r="H173" s="18"/>
    </x:row>
    <x:row r="174">
      <x:c r="H174" s="18"/>
    </x:row>
    <x:row r="175">
      <x:c r="H175" s="18"/>
    </x:row>
    <x:row r="176">
      <x:c r="H176" s="18"/>
    </x:row>
    <x:row r="177">
      <x:c r="H177" s="18"/>
    </x:row>
    <x:row r="178">
      <x:c r="H178" s="18"/>
    </x:row>
    <x:row r="179">
      <x:c r="H179" s="18"/>
    </x:row>
    <x:row r="180">
      <x:c r="H180" s="18"/>
    </x:row>
    <x:row r="181">
      <x:c r="H181" s="18"/>
    </x:row>
    <x:row r="182">
      <x:c r="H182" s="18"/>
    </x:row>
    <x:row r="183">
      <x:c r="H183" s="18"/>
    </x:row>
    <x:row r="184">
      <x:c r="H184" s="18"/>
    </x:row>
    <x:row r="185">
      <x:c r="H185" s="18"/>
    </x:row>
    <x:row r="186">
      <x:c r="H186" s="18"/>
    </x:row>
    <x:row r="187">
      <x:c r="H187" s="18"/>
    </x:row>
    <x:row r="188">
      <x:c r="H188" s="18"/>
    </x:row>
    <x:row r="189">
      <x:c r="H189" s="18"/>
    </x:row>
    <x:row r="190">
      <x:c r="H190" s="18"/>
    </x:row>
    <x:row r="191">
      <x:c r="H191" s="18"/>
    </x:row>
    <x:row r="192">
      <x:c r="H192" s="18"/>
    </x:row>
    <x:row r="193">
      <x:c r="H193" s="18"/>
    </x:row>
    <x:row r="194">
      <x:c r="H194" s="18"/>
    </x:row>
    <x:row r="195">
      <x:c r="H195" s="18"/>
    </x:row>
    <x:row r="196">
      <x:c r="H196" s="18"/>
    </x:row>
    <x:row r="197">
      <x:c r="H197" s="18"/>
    </x:row>
    <x:row r="198">
      <x:c r="H198" s="18"/>
    </x:row>
    <x:row r="199">
      <x:c r="H199" s="18"/>
    </x:row>
    <x:row r="200">
      <x:c r="H200" s="18"/>
    </x:row>
    <x:row r="201">
      <x:c r="H201" s="18"/>
    </x:row>
    <x:row r="202">
      <x:c r="H202" s="18"/>
    </x:row>
    <x:row r="203">
      <x:c r="H203" s="18"/>
    </x:row>
    <x:row r="204">
      <x:c r="H204" s="18"/>
    </x:row>
    <x:row r="205">
      <x:c r="H205" s="18"/>
    </x:row>
    <x:row r="206">
      <x:c r="H206" s="18"/>
    </x:row>
    <x:row r="207">
      <x:c r="H207" s="18"/>
    </x:row>
    <x:row r="208">
      <x:c r="H208" s="18"/>
    </x:row>
    <x:row r="209">
      <x:c r="H209" s="18"/>
    </x:row>
    <x:row r="210">
      <x:c r="H210" s="18"/>
    </x:row>
    <x:row r="211">
      <x:c r="H211" s="18"/>
    </x:row>
    <x:row r="212">
      <x:c r="H212" s="18"/>
    </x:row>
    <x:row r="213">
      <x:c r="H213" s="18"/>
    </x:row>
    <x:row r="214">
      <x:c r="H214" s="18"/>
    </x:row>
    <x:row r="215">
      <x:c r="H215" s="18"/>
    </x:row>
    <x:row r="216">
      <x:c r="H216" s="18"/>
    </x:row>
    <x:row r="217">
      <x:c r="H217" s="18"/>
    </x:row>
    <x:row r="218">
      <x:c r="H218" s="18"/>
    </x:row>
    <x:row r="219">
      <x:c r="H219" s="18"/>
    </x:row>
    <x:row r="220">
      <x:c r="H220" s="18"/>
    </x:row>
    <x:row r="221">
      <x:c r="H221" s="18"/>
    </x:row>
    <x:row r="222">
      <x:c r="H222" s="18"/>
    </x:row>
    <x:row r="223">
      <x:c r="H223" s="18"/>
    </x:row>
    <x:row r="224">
      <x:c r="H224" s="18"/>
    </x:row>
    <x:row r="225">
      <x:c r="H225" s="18"/>
    </x:row>
    <x:row r="226">
      <x:c r="H226" s="18"/>
    </x:row>
    <x:row r="227">
      <x:c r="H227" s="18"/>
    </x:row>
    <x:row r="228">
      <x:c r="H228" s="18"/>
    </x:row>
    <x:row r="229">
      <x:c r="H229" s="18"/>
    </x:row>
    <x:row r="230">
      <x:c r="H230" s="18"/>
    </x:row>
    <x:row r="231">
      <x:c r="H231" s="18"/>
    </x:row>
    <x:row r="232">
      <x:c r="H232" s="18"/>
    </x:row>
    <x:row r="233">
      <x:c r="H233" s="18"/>
    </x:row>
    <x:row r="234">
      <x:c r="H234" s="18"/>
    </x:row>
    <x:row r="235">
      <x:c r="H235" s="18"/>
    </x:row>
    <x:row r="236">
      <x:c r="H236" s="18"/>
    </x:row>
    <x:row r="237">
      <x:c r="H237" s="18"/>
    </x:row>
    <x:row r="238">
      <x:c r="H238" s="18"/>
    </x:row>
    <x:row r="239">
      <x:c r="H239" s="18"/>
    </x:row>
    <x:row r="240">
      <x:c r="H240" s="18"/>
    </x:row>
    <x:row r="241">
      <x:c r="H241" s="18"/>
    </x:row>
    <x:row r="242">
      <x:c r="H242" s="18"/>
    </x:row>
    <x:row r="243">
      <x:c r="H243" s="18"/>
    </x:row>
    <x:row r="244">
      <x:c r="H244" s="18"/>
    </x:row>
    <x:row r="245">
      <x:c r="H245" s="18"/>
    </x:row>
    <x:row r="246">
      <x:c r="H246" s="18"/>
    </x:row>
    <x:row r="247">
      <x:c r="H247" s="18"/>
    </x:row>
    <x:row r="248">
      <x:c r="H248" s="18"/>
    </x:row>
    <x:row r="249">
      <x:c r="H249" s="18"/>
    </x:row>
    <x:row r="250">
      <x:c r="H250" s="18"/>
    </x:row>
    <x:row r="251">
      <x:c r="H251" s="18"/>
    </x:row>
    <x:row r="252">
      <x:c r="H252" s="18"/>
    </x:row>
    <x:row r="253">
      <x:c r="H253" s="18"/>
    </x:row>
    <x:row r="254">
      <x:c r="H254" s="18"/>
    </x:row>
    <x:row r="255">
      <x:c r="H255" s="18"/>
    </x:row>
    <x:row r="256">
      <x:c r="H256" s="18"/>
    </x:row>
    <x:row r="257">
      <x:c r="H257" s="18"/>
    </x:row>
    <x:row r="258">
      <x:c r="H258" s="18"/>
    </x:row>
    <x:row r="259">
      <x:c r="H259" s="18"/>
    </x:row>
    <x:row r="260">
      <x:c r="H260" s="18"/>
    </x:row>
    <x:row r="261">
      <x:c r="H261" s="18"/>
    </x:row>
    <x:row r="262">
      <x:c r="H262" s="18"/>
    </x:row>
    <x:row r="263">
      <x:c r="H263" s="18"/>
    </x:row>
    <x:row r="264">
      <x:c r="H264" s="18"/>
    </x:row>
    <x:row r="265">
      <x:c r="H265" s="18"/>
    </x:row>
    <x:row r="266">
      <x:c r="H266" s="18"/>
    </x:row>
    <x:row r="267">
      <x:c r="H267" s="18"/>
    </x:row>
    <x:row r="268">
      <x:c r="H268" s="18"/>
    </x:row>
    <x:row r="269">
      <x:c r="H269" s="18"/>
    </x:row>
    <x:row r="270">
      <x:c r="H270" s="18"/>
    </x:row>
    <x:row r="271">
      <x:c r="H271" s="18"/>
    </x:row>
    <x:row r="272">
      <x:c r="H272" s="18"/>
    </x:row>
    <x:row r="273">
      <x:c r="H273" s="18"/>
    </x:row>
    <x:row r="274">
      <x:c r="H274" s="18"/>
    </x:row>
    <x:row r="275">
      <x:c r="H275" s="18"/>
    </x:row>
    <x:row r="276">
      <x:c r="H276" s="18"/>
    </x:row>
    <x:row r="277">
      <x:c r="H277" s="18"/>
    </x:row>
    <x:row r="278">
      <x:c r="H278" s="18"/>
    </x:row>
    <x:row r="279">
      <x:c r="H279" s="18"/>
    </x:row>
    <x:row r="280">
      <x:c r="H280" s="18"/>
    </x:row>
    <x:row r="281">
      <x:c r="H281" s="18"/>
    </x:row>
    <x:row r="282">
      <x:c r="H282" s="18"/>
    </x:row>
    <x:row r="283">
      <x:c r="H283" s="18"/>
    </x:row>
    <x:row r="284">
      <x:c r="H284" s="18"/>
    </x:row>
    <x:row r="285">
      <x:c r="H285" s="18"/>
    </x:row>
    <x:row r="286">
      <x:c r="H286" s="18"/>
    </x:row>
    <x:row r="287">
      <x:c r="H287" s="18"/>
    </x:row>
    <x:row r="288">
      <x:c r="H288" s="18"/>
    </x:row>
    <x:row r="289">
      <x:c r="H289" s="18"/>
    </x:row>
    <x:row r="290">
      <x:c r="H290" s="18"/>
    </x:row>
    <x:row r="291">
      <x:c r="H291" s="18"/>
    </x:row>
    <x:row r="292">
      <x:c r="H292" s="18"/>
    </x:row>
    <x:row r="293">
      <x:c r="H293" s="18"/>
    </x:row>
    <x:row r="294">
      <x:c r="H294" s="18"/>
    </x:row>
    <x:row r="295">
      <x:c r="H295" s="18"/>
    </x:row>
    <x:row r="296">
      <x:c r="H296" s="18"/>
    </x:row>
    <x:row r="297">
      <x:c r="H297" s="18"/>
    </x:row>
    <x:row r="298">
      <x:c r="H298" s="18"/>
    </x:row>
    <x:row r="299">
      <x:c r="H299" s="18"/>
    </x:row>
    <x:row r="300">
      <x:c r="H300" s="18"/>
    </x:row>
    <x:row r="301">
      <x:c r="H301" s="18"/>
    </x:row>
    <x:row r="302">
      <x:c r="H302" s="18"/>
    </x:row>
    <x:row r="303">
      <x:c r="H303" s="18"/>
    </x:row>
  </x:sheetData>
  <x:mergeCells>
    <x:mergeCell ref="A1:I1"/>
  </x:mergeCells>
  <x:dataValidations count="1">
    <x:dataValidation type="list" sqref="I4:I303">
      <x:formula1>"Not Started,Planned,In Progress,Operational,Needs Review,Needs Improvement,Complete,Pending,Open"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4b02e8449d459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4" t="str">
        <x:v>FAIR Risk Analysis Toolkit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records with organization-specific information.</x:v>
      </x:c>
    </x:row>
    <x:row r="5">
      <x:c r="A5" s="20" t="n">
        <x:v>2</x:v>
      </x:c>
      <x:c r="B5" s="20" t="str">
        <x:v>Define assumptions and keep supporting evidence in an approved repository.</x:v>
      </x:c>
    </x:row>
    <x:row r="6">
      <x:c r="A6" s="20" t="n">
        <x:v>3</x:v>
      </x:c>
      <x:c r="B6" s="20" t="str">
        <x:v>Use consistent scoring criteria across scenarios and business units.</x:v>
      </x:c>
    </x:row>
    <x:row r="7">
      <x:c r="A7" s="20" t="n">
        <x:v>4</x:v>
      </x:c>
      <x:c r="B7" s="20" t="str">
        <x:v>Review estimates with business, technical, legal, and finance stakeholders.</x:v>
      </x:c>
    </x:row>
    <x:row r="8">
      <x:c r="A8" s="20" t="n">
        <x:v>5</x:v>
      </x:c>
      <x:c r="B8" s="20" t="str">
        <x:v>Treat calculated results as decision support, not guaranteed predictions.</x:v>
      </x:c>
    </x:row>
    <x:row r="9">
      <x:c r="A9" s="20" t="n">
        <x:v>6</x:v>
      </x:c>
      <x:c r="B9" s="20" t="str">
        <x:v>Use authoritative framework and legal sources for formal compliance decisions.</x:v>
      </x:c>
    </x:row>
  </x:sheetData>
  <x:mergeCells>
    <x:mergeCell ref="A1:H1"/>
  </x:mergeCells>
  <x:pageMargins left="0.7" right="0.7" top="0.75" bottom="0.75" header="0.3" footer="0.3"/>
</x:worksheet>
</file>