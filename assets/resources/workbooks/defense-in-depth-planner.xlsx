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26ddadf52e4a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7a5c7dde7c646d2"/>
    <x:sheet xmlns:r="http://schemas.openxmlformats.org/officeDocument/2006/relationships" name="Layer Assessment" sheetId="2" r:id="R5badc1fdb5164c71"/>
    <x:sheet xmlns:r="http://schemas.openxmlformats.org/officeDocument/2006/relationships" name="Control Inventory" sheetId="3" r:id="R82aebf73456c4918"/>
    <x:sheet xmlns:r="http://schemas.openxmlformats.org/officeDocument/2006/relationships" name="Improvement Roadmap" sheetId="4" r:id="R983968ff52c84453"/>
    <x:sheet xmlns:r="http://schemas.openxmlformats.org/officeDocument/2006/relationships" name="Scenario Coverage" sheetId="5" r:id="R26f7318e1510447e"/>
    <x:sheet xmlns:r="http://schemas.openxmlformats.org/officeDocument/2006/relationships" name="Layer Guide" sheetId="6" r:id="R255f8c3c300b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b/>
      <x:sz val="18"/>
      <x:color rgb="FFF1E8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742222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fa9d9d92f49f7" /><Relationship Type="http://schemas.openxmlformats.org/officeDocument/2006/relationships/theme" Target="/xl/theme/theme1.xml" Id="Rc495d17fc1f042e9" /><Relationship Type="http://schemas.openxmlformats.org/officeDocument/2006/relationships/sharedStrings" Target="/xl/sharedStrings.xml" Id="R8b9f149792a64451" /><Relationship Type="http://schemas.openxmlformats.org/officeDocument/2006/relationships/worksheet" Target="/xl/worksheets/sheet1.xml" Id="R47a5c7dde7c646d2" /><Relationship Type="http://schemas.openxmlformats.org/officeDocument/2006/relationships/worksheet" Target="/xl/worksheets/sheet2.xml" Id="R5badc1fdb5164c71" /><Relationship Type="http://schemas.openxmlformats.org/officeDocument/2006/relationships/worksheet" Target="/xl/worksheets/sheet3.xml" Id="R82aebf73456c4918" /><Relationship Type="http://schemas.openxmlformats.org/officeDocument/2006/relationships/worksheet" Target="/xl/worksheets/sheet4.xml" Id="R983968ff52c84453" /><Relationship Type="http://schemas.openxmlformats.org/officeDocument/2006/relationships/worksheet" Target="/xl/worksheets/sheet5.xml" Id="R26f7318e1510447e" /><Relationship Type="http://schemas.openxmlformats.org/officeDocument/2006/relationships/worksheet" Target="/xl/worksheets/sheet6.xml" Id="R255f8c3c300b42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c76f225f2644d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Layer Maturity and Effectiveness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Maturity</c:v>
          </c:tx>
          <c:cat>
            <c:strRef>
              <c:f>'Dashboard'!$D$4:$D$12</c:f>
              <c:strCache>
                <c:ptCount val="0"/>
              </c:strCache>
            </c:strRef>
          </c:cat>
          <c:val>
            <c:numRef>
              <c:f>'Dashboard'!$E$4:$E$12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Effectiveness</c:v>
          </c:tx>
          <c:cat>
            <c:strRef>
              <c:f>'Dashboard'!$D$4:$D$12</c:f>
              <c:strCache>
                <c:ptCount val="0"/>
              </c:strCache>
            </c:strRef>
          </c:cat>
          <c:val>
            <c:numRef>
              <c:f>'Dashboard'!$F$4:$F$12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c76f225f2644dd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e56b25e64846c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4" max="4" width="18" hidden="0" customWidth="1"/>
    <x:col min="5" max="5" width="12" hidden="0" customWidth="1"/>
    <x:col min="6" max="6" width="15" hidden="0" customWidth="1"/>
  </x:cols>
  <x:sheetData>
    <x:row r="1">
      <x:c r="A1" s="4" t="str">
        <x:v>Defense-in-Depth Planning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Layer</x:v>
      </x:c>
      <x:c r="E3" s="12" t="str">
        <x:v>Maturity</x:v>
      </x:c>
      <x:c r="F3" s="12" t="str">
        <x:v>Effectiveness</x:v>
      </x:c>
    </x:row>
    <x:row r="4">
      <x:c r="A4" t="str">
        <x:v>Layers Assessed</x:v>
      </x:c>
      <x:c r="B4" t="n">
        <x:f>COUNTIF('Layer Assessment'!A4:A203,"&lt;&gt;")</x:f>
        <x:v>9</x:v>
      </x:c>
      <x:c r="D4" t="str">
        <x:v>Physical</x:v>
      </x:c>
      <x:c r="E4" t="n">
        <x:f>'Layer Assessment'!E4</x:f>
        <x:v>3</x:v>
      </x:c>
      <x:c r="F4" t="n">
        <x:f>'Layer Assessment'!F4</x:f>
        <x:v>4</x:v>
      </x:c>
    </x:row>
    <x:row r="5">
      <x:c r="A5" t="str">
        <x:v>Critical Layer Risks</x:v>
      </x:c>
      <x:c r="B5" t="n">
        <x:f>COUNTIF('Layer Assessment'!K4:K203,"Critical")</x:f>
        <x:v>2</x:v>
      </x:c>
      <x:c r="D5" t="str">
        <x:v>Perimeter</x:v>
      </x:c>
      <x:c r="E5" t="n">
        <x:f>'Layer Assessment'!E5</x:f>
        <x:v>4</x:v>
      </x:c>
      <x:c r="F5" t="n">
        <x:f>'Layer Assessment'!F5</x:f>
        <x:v>4</x:v>
      </x:c>
    </x:row>
    <x:row r="6">
      <x:c r="A6" t="str">
        <x:v>High Layer Risks</x:v>
      </x:c>
      <x:c r="B6" t="n">
        <x:f>COUNTIF('Layer Assessment'!K4:K203,"High")</x:f>
        <x:v>6</x:v>
      </x:c>
      <x:c r="D6" t="str">
        <x:v>Network</x:v>
      </x:c>
      <x:c r="E6" t="n">
        <x:f>'Layer Assessment'!E6</x:f>
        <x:v>3</x:v>
      </x:c>
      <x:c r="F6" t="n">
        <x:f>'Layer Assessment'!F6</x:f>
        <x:v>3</x:v>
      </x:c>
    </x:row>
    <x:row r="7">
      <x:c r="A7" t="str">
        <x:v>Controls Inventoried</x:v>
      </x:c>
      <x:c r="B7" t="n">
        <x:f>COUNTIF('Control Inventory'!A4:A303,"&lt;&gt;")</x:f>
        <x:v>11</x:v>
      </x:c>
      <x:c r="D7" t="str">
        <x:v>Identity</x:v>
      </x:c>
      <x:c r="E7" t="n">
        <x:f>'Layer Assessment'!E7</x:f>
        <x:v>3</x:v>
      </x:c>
      <x:c r="F7" t="n">
        <x:f>'Layer Assessment'!F7</x:f>
        <x:v>4</x:v>
      </x:c>
    </x:row>
    <x:row r="8">
      <x:c r="A8" t="str">
        <x:v>Implemented Controls</x:v>
      </x:c>
      <x:c r="B8" t="n">
        <x:f>COUNTIF('Control Inventory'!L4:L303,"Implemented")+COUNTIF('Control Inventory'!L4:L303,"Measured")</x:f>
        <x:v>7</x:v>
      </x:c>
      <x:c r="D8" t="str">
        <x:v>Endpoint</x:v>
      </x:c>
      <x:c r="E8" t="n">
        <x:f>'Layer Assessment'!E8</x:f>
        <x:v>4</x:v>
      </x:c>
      <x:c r="F8" t="n">
        <x:f>'Layer Assessment'!F8</x:f>
        <x:v>4</x:v>
      </x:c>
    </x:row>
    <x:row r="9">
      <x:c r="A9" t="str">
        <x:v>Controls In Progress</x:v>
      </x:c>
      <x:c r="B9" t="n">
        <x:f>COUNTIF('Control Inventory'!L4:L303,"In Progress")</x:f>
        <x:v>3</x:v>
      </x:c>
      <x:c r="D9" t="str">
        <x:v>Application</x:v>
      </x:c>
      <x:c r="E9" t="n">
        <x:f>'Layer Assessment'!E9</x:f>
        <x:v>3</x:v>
      </x:c>
      <x:c r="F9" t="n">
        <x:f>'Layer Assessment'!F9</x:f>
        <x:v>3</x:v>
      </x:c>
    </x:row>
    <x:row r="10">
      <x:c r="A10" t="str">
        <x:v>Critical Roadmap Actions</x:v>
      </x:c>
      <x:c r="B10" t="n">
        <x:f>COUNTIF('Improvement Roadmap'!E4:E203,"Critical")</x:f>
        <x:v>2</x:v>
      </x:c>
      <x:c r="D10" t="str">
        <x:v>Data</x:v>
      </x:c>
      <x:c r="E10" t="n">
        <x:f>'Layer Assessment'!E10</x:f>
        <x:v>3</x:v>
      </x:c>
      <x:c r="F10" t="n">
        <x:f>'Layer Assessment'!F10</x:f>
        <x:v>3</x:v>
      </x:c>
    </x:row>
    <x:row r="11">
      <x:c r="A11" t="str">
        <x:v>High Roadmap Actions</x:v>
      </x:c>
      <x:c r="B11" t="n">
        <x:f>COUNTIF('Improvement Roadmap'!E4:E203,"High")</x:f>
        <x:v>5</x:v>
      </x:c>
      <x:c r="D11" t="str">
        <x:v>Monitoring</x:v>
      </x:c>
      <x:c r="E11" t="n">
        <x:f>'Layer Assessment'!E11</x:f>
        <x:v>4</x:v>
      </x:c>
      <x:c r="F11" t="n">
        <x:f>'Layer Assessment'!F11</x:f>
        <x:v>4</x:v>
      </x:c>
    </x:row>
    <x:row r="12">
      <x:c r="A12" t="str">
        <x:v>Open Roadmap Actions</x:v>
      </x:c>
      <x:c r="B12" t="n">
        <x:f>COUNTIF('Improvement Roadmap'!K4:K203,"Not Started")+COUNTIF('Improvement Roadmap'!K4:K203,"Planned")+COUNTIF('Improvement Roadmap'!K4:K203,"In Progress")+COUNTIF('Improvement Roadmap'!K4:K203,"Blocked")</x:f>
        <x:v>7</x:v>
      </x:c>
      <x:c r="D12" t="str">
        <x:v>Recovery</x:v>
      </x:c>
      <x:c r="E12" t="n">
        <x:f>'Layer Assessment'!E12</x:f>
        <x:v>3</x:v>
      </x:c>
      <x:c r="F12" t="n">
        <x:f>'Layer Assessment'!F12</x:f>
        <x:v>3</x:v>
      </x:c>
    </x:row>
    <x:row r="13">
      <x:c r="A13" t="str">
        <x:v>Average Maturity</x:v>
      </x:c>
      <x:c r="B13" s="24" t="n">
        <x:f>IFERROR(AVERAGE('Layer Assessment'!E4:E203),0)</x:f>
        <x:v>3.3333333333333335</x:v>
      </x:c>
    </x:row>
    <x:row r="14">
      <x:c r="A14" t="str">
        <x:v>Average Effectiveness</x:v>
      </x:c>
      <x:c r="B14" s="24" t="n">
        <x:f>IFERROR(AVERAGE('Layer Assessment'!F4:F203),0)</x:f>
        <x:v>3.5555555555555554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d3e56b25e64846c8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36" hidden="0" customWidth="1"/>
    <x:col min="5" max="5" width="11" hidden="0" customWidth="1"/>
    <x:col min="6" max="6" width="19" hidden="0" customWidth="1"/>
    <x:col min="7" max="7" width="34" hidden="0" customWidth="1"/>
    <x:col min="8" max="8" width="11" hidden="0" customWidth="1"/>
    <x:col min="9" max="9" width="10" hidden="0" customWidth="1"/>
    <x:col min="10" max="10" width="12" hidden="0" customWidth="1"/>
    <x:col min="11" max="11" width="13" hidden="0" customWidth="1"/>
    <x:col min="12" max="12" width="13" hidden="0" customWidth="1"/>
    <x:col min="13" max="13" width="20" hidden="0" customWidth="1"/>
    <x:col min="14" max="14" width="14" hidden="0" customWidth="1"/>
    <x:col min="15" max="15" width="30" hidden="0" customWidth="1"/>
  </x:cols>
  <x:sheetData>
    <x:row r="1">
      <x:c r="A1" s="4" t="str">
        <x:v>Defense-in-Depth Layer Assessment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3">
      <x:c r="A3" s="12" t="str">
        <x:v>Assessment ID</x:v>
      </x:c>
      <x:c r="B3" s="12" t="str">
        <x:v>Layer</x:v>
      </x:c>
      <x:c r="C3" s="12" t="str">
        <x:v>Objective</x:v>
      </x:c>
      <x:c r="D3" s="12" t="str">
        <x:v>Current Capability</x:v>
      </x:c>
      <x:c r="E3" s="12" t="str">
        <x:v>Maturity</x:v>
      </x:c>
      <x:c r="F3" s="12" t="str">
        <x:v>Control Effectiveness</x:v>
      </x:c>
      <x:c r="G3" s="12" t="str">
        <x:v>Key Gap</x:v>
      </x:c>
      <x:c r="H3" s="12" t="str">
        <x:v>Likelihood</x:v>
      </x:c>
      <x:c r="I3" s="12" t="str">
        <x:v>Impact</x:v>
      </x:c>
      <x:c r="J3" s="12" t="str">
        <x:v>Risk Score</x:v>
      </x:c>
      <x:c r="K3" s="12" t="str">
        <x:v>Risk Rating</x:v>
      </x:c>
      <x:c r="L3" s="12" t="str">
        <x:v>Priority</x:v>
      </x:c>
      <x:c r="M3" s="12" t="str">
        <x:v>Owner</x:v>
      </x:c>
      <x:c r="N3" s="12" t="str">
        <x:v>Review Date</x:v>
      </x:c>
      <x:c r="O3" s="12" t="str">
        <x:v>Notes</x:v>
      </x:c>
    </x:row>
    <x:row r="4">
      <x:c r="A4" s="20" t="str">
        <x:v>DID-001</x:v>
      </x:c>
      <x:c r="B4" s="20" t="str">
        <x:v>Physical</x:v>
      </x:c>
      <x:c r="C4" s="20" t="str">
        <x:v>Prevent unauthorized physical access</x:v>
      </x:c>
      <x:c r="D4" s="20" t="str">
        <x:v>Badge access, cameras, visitor process</x:v>
      </x:c>
      <x:c r="E4" s="20" t="n">
        <x:v>3</x:v>
      </x:c>
      <x:c r="F4" s="20" t="n">
        <x:v>4</x:v>
      </x:c>
      <x:c r="G4" s="20" t="str">
        <x:v>Server-room access review not automated</x:v>
      </x:c>
      <x:c r="H4" s="20" t="n">
        <x:v>2</x:v>
      </x:c>
      <x:c r="I4" s="20" t="n">
        <x:v>5</x:v>
      </x:c>
      <x:c r="J4" s="20" t="n">
        <x:f>IF(OR(H4="",I4=""),"",H4*I4)</x:f>
        <x:v>10</x:v>
      </x:c>
      <x:c r="K4" s="20" t="str">
        <x:f>IF(J4="","",IF(J4&gt;=20,"Critical",IF(J4&gt;=12,"High",IF(J4&gt;=6,"Moderate","Low"))))</x:f>
        <x:v>Moderate</x:v>
      </x:c>
      <x:c r="L4" s="20" t="str">
        <x:v>High</x:v>
      </x:c>
      <x:c r="M4" s="20" t="str">
        <x:v>Facilities Manager</x:v>
      </x:c>
      <x:c r="N4" s="21" t="n">
        <x:v>46296</x:v>
      </x:c>
      <x:c r="O4" s="20" t="str"/>
    </x:row>
    <x:row r="5">
      <x:c r="A5" s="20" t="str">
        <x:v>DID-002</x:v>
      </x:c>
      <x:c r="B5" s="20" t="str">
        <x:v>Perimeter</x:v>
      </x:c>
      <x:c r="C5" s="20" t="str">
        <x:v>Filter and absorb malicious external traffic</x:v>
      </x:c>
      <x:c r="D5" s="20" t="str">
        <x:v>Firewall, CDN, secure email gateway</x:v>
      </x:c>
      <x:c r="E5" s="20" t="n">
        <x:v>4</x:v>
      </x:c>
      <x:c r="F5" s="20" t="n">
        <x:v>4</x:v>
      </x:c>
      <x:c r="G5" s="20" t="str">
        <x:v>DDoS runbook not recently tested</x:v>
      </x:c>
      <x:c r="H5" s="20" t="n">
        <x:v>3</x:v>
      </x:c>
      <x:c r="I5" s="20" t="n">
        <x:v>4</x:v>
      </x:c>
      <x:c r="J5" s="20" t="n">
        <x:f>IF(OR(H5="",I5=""),"",H5*I5)</x:f>
        <x:v>12</x:v>
      </x:c>
      <x:c r="K5" s="20" t="str">
        <x:f>IF(J5="","",IF(J5&gt;=20,"Critical",IF(J5&gt;=12,"High",IF(J5&gt;=6,"Moderate","Low"))))</x:f>
        <x:v>High</x:v>
      </x:c>
      <x:c r="L5" s="20" t="str">
        <x:v>High</x:v>
      </x:c>
      <x:c r="M5" s="20" t="str">
        <x:v>Network Lead</x:v>
      </x:c>
      <x:c r="N5" s="21" t="n">
        <x:v>46280</x:v>
      </x:c>
      <x:c r="O5" s="20" t="str"/>
    </x:row>
    <x:row r="6">
      <x:c r="A6" s="20" t="str">
        <x:v>DID-003</x:v>
      </x:c>
      <x:c r="B6" s="20" t="str">
        <x:v>Network</x:v>
      </x:c>
      <x:c r="C6" s="20" t="str">
        <x:v>Limit movement and isolate critical services</x:v>
      </x:c>
      <x:c r="D6" s="20" t="str">
        <x:v>Core VLANs and firewall zones</x:v>
      </x:c>
      <x:c r="E6" s="20" t="n">
        <x:v>3</x:v>
      </x:c>
      <x:c r="F6" s="20" t="n">
        <x:v>3</x:v>
      </x:c>
      <x:c r="G6" s="20" t="str">
        <x:v>East-west segmentation incomplete</x:v>
      </x:c>
      <x:c r="H6" s="20" t="n">
        <x:v>4</x:v>
      </x:c>
      <x:c r="I6" s="20" t="n">
        <x:v>5</x:v>
      </x:c>
      <x:c r="J6" s="20" t="n">
        <x:f>IF(OR(H6="",I6=""),"",H6*I6)</x:f>
        <x:v>20</x:v>
      </x:c>
      <x:c r="K6" s="20" t="str">
        <x:f>IF(J6="","",IF(J6&gt;=20,"Critical",IF(J6&gt;=12,"High",IF(J6&gt;=6,"Moderate","Low"))))</x:f>
        <x:v>Critical</x:v>
      </x:c>
      <x:c r="L6" s="20" t="str">
        <x:v>Critical</x:v>
      </x:c>
      <x:c r="M6" s="20" t="str">
        <x:v>Network Lead</x:v>
      </x:c>
      <x:c r="N6" s="21" t="n">
        <x:v>46310</x:v>
      </x:c>
      <x:c r="O6" s="20" t="str"/>
    </x:row>
    <x:row r="7">
      <x:c r="A7" s="20" t="str">
        <x:v>DID-004</x:v>
      </x:c>
      <x:c r="B7" s="20" t="str">
        <x:v>Identity</x:v>
      </x:c>
      <x:c r="C7" s="20" t="str">
        <x:v>Verify identity and restrict privileges</x:v>
      </x:c>
      <x:c r="D7" s="20" t="str">
        <x:v>SSO, MFA, access reviews</x:v>
      </x:c>
      <x:c r="E7" s="20" t="n">
        <x:v>3</x:v>
      </x:c>
      <x:c r="F7" s="20" t="n">
        <x:v>4</x:v>
      </x:c>
      <x:c r="G7" s="20" t="str">
        <x:v>Privileged MFA migration incomplete</x:v>
      </x:c>
      <x:c r="H7" s="20" t="n">
        <x:v>4</x:v>
      </x:c>
      <x:c r="I7" s="20" t="n">
        <x:v>5</x:v>
      </x:c>
      <x:c r="J7" s="20" t="n">
        <x:f>IF(OR(H7="",I7=""),"",H7*I7)</x:f>
        <x:v>20</x:v>
      </x:c>
      <x:c r="K7" s="20" t="str">
        <x:f>IF(J7="","",IF(J7&gt;=20,"Critical",IF(J7&gt;=12,"High",IF(J7&gt;=6,"Moderate","Low"))))</x:f>
        <x:v>Critical</x:v>
      </x:c>
      <x:c r="L7" s="20" t="str">
        <x:v>Critical</x:v>
      </x:c>
      <x:c r="M7" s="20" t="str">
        <x:v>IAM Lead</x:v>
      </x:c>
      <x:c r="N7" s="21" t="n">
        <x:v>46295</x:v>
      </x:c>
      <x:c r="O7" s="20" t="str"/>
    </x:row>
    <x:row r="8">
      <x:c r="A8" s="20" t="str">
        <x:v>DID-005</x:v>
      </x:c>
      <x:c r="B8" s="20" t="str">
        <x:v>Endpoint</x:v>
      </x:c>
      <x:c r="C8" s="20" t="str">
        <x:v>Prevent, detect, and contain endpoint compromise</x:v>
      </x:c>
      <x:c r="D8" s="20" t="str">
        <x:v>EDR, encryption, patching</x:v>
      </x:c>
      <x:c r="E8" s="20" t="n">
        <x:v>4</x:v>
      </x:c>
      <x:c r="F8" s="20" t="n">
        <x:v>4</x:v>
      </x:c>
      <x:c r="G8" s="20" t="str">
        <x:v>Contractor coverage inconsistent</x:v>
      </x:c>
      <x:c r="H8" s="20" t="n">
        <x:v>3</x:v>
      </x:c>
      <x:c r="I8" s="20" t="n">
        <x:v>4</x:v>
      </x:c>
      <x:c r="J8" s="20" t="n">
        <x:f>IF(OR(H8="",I8=""),"",H8*I8)</x:f>
        <x:v>12</x:v>
      </x:c>
      <x:c r="K8" s="20" t="str">
        <x:f>IF(J8="","",IF(J8&gt;=20,"Critical",IF(J8&gt;=12,"High",IF(J8&gt;=6,"Moderate","Low"))))</x:f>
        <x:v>High</x:v>
      </x:c>
      <x:c r="L8" s="20" t="str">
        <x:v>High</x:v>
      </x:c>
      <x:c r="M8" s="20" t="str">
        <x:v>Endpoint Lead</x:v>
      </x:c>
      <x:c r="N8" s="21" t="n">
        <x:v>46296</x:v>
      </x:c>
      <x:c r="O8" s="20" t="str"/>
    </x:row>
    <x:row r="9">
      <x:c r="A9" s="20" t="str">
        <x:v>DID-006</x:v>
      </x:c>
      <x:c r="B9" s="20" t="str">
        <x:v>Application</x:v>
      </x:c>
      <x:c r="C9" s="20" t="str">
        <x:v>Reduce software and API weaknesses</x:v>
      </x:c>
      <x:c r="D9" s="20" t="str">
        <x:v>Secure SDLC, code scanning, WAF</x:v>
      </x:c>
      <x:c r="E9" s="20" t="n">
        <x:v>3</x:v>
      </x:c>
      <x:c r="F9" s="20" t="n">
        <x:v>3</x:v>
      </x:c>
      <x:c r="G9" s="20" t="str">
        <x:v>Authorization testing inconsistent</x:v>
      </x:c>
      <x:c r="H9" s="20" t="n">
        <x:v>4</x:v>
      </x:c>
      <x:c r="I9" s="20" t="n">
        <x:v>4</x:v>
      </x:c>
      <x:c r="J9" s="20" t="n">
        <x:f>IF(OR(H9="",I9=""),"",H9*I9)</x:f>
        <x:v>16</x:v>
      </x:c>
      <x:c r="K9" s="20" t="str">
        <x:f>IF(J9="","",IF(J9&gt;=20,"Critical",IF(J9&gt;=12,"High",IF(J9&gt;=6,"Moderate","Low"))))</x:f>
        <x:v>High</x:v>
      </x:c>
      <x:c r="L9" s="20" t="str">
        <x:v>High</x:v>
      </x:c>
      <x:c r="M9" s="20" t="str">
        <x:v>AppSec Lead</x:v>
      </x:c>
      <x:c r="N9" s="21" t="n">
        <x:v>46280</x:v>
      </x:c>
      <x:c r="O9" s="20" t="str"/>
    </x:row>
    <x:row r="10">
      <x:c r="A10" s="20" t="str">
        <x:v>DID-007</x:v>
      </x:c>
      <x:c r="B10" s="20" t="str">
        <x:v>Data</x:v>
      </x:c>
      <x:c r="C10" s="20" t="str">
        <x:v>Protect sensitive data throughout its lifecycle</x:v>
      </x:c>
      <x:c r="D10" s="20" t="str">
        <x:v>Classification, encryption, backups</x:v>
      </x:c>
      <x:c r="E10" s="20" t="n">
        <x:v>3</x:v>
      </x:c>
      <x:c r="F10" s="20" t="n">
        <x:v>3</x:v>
      </x:c>
      <x:c r="G10" s="20" t="str">
        <x:v>Retention and data-aware controls incomplete</x:v>
      </x:c>
      <x:c r="H10" s="20" t="n">
        <x:v>3</x:v>
      </x:c>
      <x:c r="I10" s="20" t="n">
        <x:v>5</x:v>
      </x:c>
      <x:c r="J10" s="20" t="n">
        <x:f>IF(OR(H10="",I10=""),"",H10*I10)</x:f>
        <x:v>15</x:v>
      </x:c>
      <x:c r="K10" s="20" t="str">
        <x:f>IF(J10="","",IF(J10&gt;=20,"Critical",IF(J10&gt;=12,"High",IF(J10&gt;=6,"Moderate","Low"))))</x:f>
        <x:v>High</x:v>
      </x:c>
      <x:c r="L10" s="20" t="str">
        <x:v>High</x:v>
      </x:c>
      <x:c r="M10" s="20" t="str">
        <x:v>Data Owner</x:v>
      </x:c>
      <x:c r="N10" s="21" t="n">
        <x:v>46327</x:v>
      </x:c>
      <x:c r="O10" s="20" t="str"/>
    </x:row>
    <x:row r="11">
      <x:c r="A11" s="20" t="str">
        <x:v>DID-008</x:v>
      </x:c>
      <x:c r="B11" s="20" t="str">
        <x:v>Monitoring</x:v>
      </x:c>
      <x:c r="C11" s="20" t="str">
        <x:v>Detect, investigate, and reconstruct adverse activity</x:v>
      </x:c>
      <x:c r="D11" s="20" t="str">
        <x:v>SIEM, EDR, alerting</x:v>
      </x:c>
      <x:c r="E11" s="20" t="n">
        <x:v>4</x:v>
      </x:c>
      <x:c r="F11" s="20" t="n">
        <x:v>4</x:v>
      </x:c>
      <x:c r="G11" s="20" t="str">
        <x:v>Some cloud and SaaS sources missing</x:v>
      </x:c>
      <x:c r="H11" s="20" t="n">
        <x:v>3</x:v>
      </x:c>
      <x:c r="I11" s="20" t="n">
        <x:v>4</x:v>
      </x:c>
      <x:c r="J11" s="20" t="n">
        <x:f>IF(OR(H11="",I11=""),"",H11*I11)</x:f>
        <x:v>12</x:v>
      </x:c>
      <x:c r="K11" s="20" t="str">
        <x:f>IF(J11="","",IF(J11&gt;=20,"Critical",IF(J11&gt;=12,"High",IF(J11&gt;=6,"Moderate","Low"))))</x:f>
        <x:v>High</x:v>
      </x:c>
      <x:c r="L11" s="20" t="str">
        <x:v>High</x:v>
      </x:c>
      <x:c r="M11" s="20" t="str">
        <x:v>SOC Lead</x:v>
      </x:c>
      <x:c r="N11" s="21" t="n">
        <x:v>46295</x:v>
      </x:c>
      <x:c r="O11" s="20" t="str"/>
    </x:row>
    <x:row r="12">
      <x:c r="A12" s="20" t="str">
        <x:v>DID-009</x:v>
      </x:c>
      <x:c r="B12" s="20" t="str">
        <x:v>Recovery</x:v>
      </x:c>
      <x:c r="C12" s="20" t="str">
        <x:v>Restore trusted operations and learn</x:v>
      </x:c>
      <x:c r="D12" s="20" t="str">
        <x:v>Backups, DR plans, incident response</x:v>
      </x:c>
      <x:c r="E12" s="20" t="n">
        <x:v>3</x:v>
      </x:c>
      <x:c r="F12" s="20" t="n">
        <x:v>3</x:v>
      </x:c>
      <x:c r="G12" s="20" t="str">
        <x:v>Recovery tests are inconsistent</x:v>
      </x:c>
      <x:c r="H12" s="20" t="n">
        <x:v>3</x:v>
      </x:c>
      <x:c r="I12" s="20" t="n">
        <x:v>5</x:v>
      </x:c>
      <x:c r="J12" s="20" t="n">
        <x:f>IF(OR(H12="",I12=""),"",H12*I12)</x:f>
        <x:v>15</x:v>
      </x:c>
      <x:c r="K12" s="20" t="str">
        <x:f>IF(J12="","",IF(J12&gt;=20,"Critical",IF(J12&gt;=12,"High",IF(J12&gt;=6,"Moderate","Low"))))</x:f>
        <x:v>High</x:v>
      </x:c>
      <x:c r="L12" s="20" t="str">
        <x:v>High</x:v>
      </x:c>
      <x:c r="M12" s="20" t="str">
        <x:v>BC Manager</x:v>
      </x:c>
      <x:c r="N12" s="21" t="n">
        <x:v>46326</x:v>
      </x:c>
      <x:c r="O12" s="20" t="str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 t="str">
        <x:f>IF(OR(H13="",I13=""),"",H13*I13)</x:f>
      </x:c>
      <x:c r="K13" s="20" t="str">
        <x:f>IF(J13="","",IF(J13&gt;=20,"Critical",IF(J13&gt;=12,"High",IF(J13&gt;=6,"Moderate","Low"))))</x:f>
      </x:c>
      <x:c r="L13" s="20"/>
      <x:c r="M13" s="20"/>
      <x:c r="N13" s="21"/>
      <x:c r="O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 t="str">
        <x:f>IF(OR(H14="",I14=""),"",H14*I14)</x:f>
      </x:c>
      <x:c r="K14" s="20" t="str">
        <x:f>IF(J14="","",IF(J14&gt;=20,"Critical",IF(J14&gt;=12,"High",IF(J14&gt;=6,"Moderate","Low"))))</x:f>
      </x:c>
      <x:c r="L14" s="20"/>
      <x:c r="M14" s="20"/>
      <x:c r="N14" s="21"/>
      <x:c r="O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 t="str">
        <x:f>IF(OR(H15="",I15=""),"",H15*I15)</x:f>
      </x:c>
      <x:c r="K15" s="20" t="str">
        <x:f>IF(J15="","",IF(J15&gt;=20,"Critical",IF(J15&gt;=12,"High",IF(J15&gt;=6,"Moderate","Low"))))</x:f>
      </x:c>
      <x:c r="L15" s="20"/>
      <x:c r="M15" s="20"/>
      <x:c r="N15" s="21"/>
      <x:c r="O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 t="str">
        <x:f>IF(OR(H16="",I16=""),"",H16*I16)</x:f>
      </x:c>
      <x:c r="K16" s="20" t="str">
        <x:f>IF(J16="","",IF(J16&gt;=20,"Critical",IF(J16&gt;=12,"High",IF(J16&gt;=6,"Moderate","Low"))))</x:f>
      </x:c>
      <x:c r="L16" s="20"/>
      <x:c r="M16" s="20"/>
      <x:c r="N16" s="21"/>
      <x:c r="O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 t="str">
        <x:f>IF(OR(H17="",I17=""),"",H17*I17)</x:f>
      </x:c>
      <x:c r="K17" s="20" t="str">
        <x:f>IF(J17="","",IF(J17&gt;=20,"Critical",IF(J17&gt;=12,"High",IF(J17&gt;=6,"Moderate","Low"))))</x:f>
      </x:c>
      <x:c r="L17" s="20"/>
      <x:c r="M17" s="20"/>
      <x:c r="N17" s="21"/>
      <x:c r="O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 t="str">
        <x:f>IF(OR(H18="",I18=""),"",H18*I18)</x:f>
      </x:c>
      <x:c r="K18" s="20" t="str">
        <x:f>IF(J18="","",IF(J18&gt;=20,"Critical",IF(J18&gt;=12,"High",IF(J18&gt;=6,"Moderate","Low"))))</x:f>
      </x:c>
      <x:c r="L18" s="20"/>
      <x:c r="M18" s="20"/>
      <x:c r="N18" s="21"/>
      <x:c r="O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 t="str">
        <x:f>IF(OR(H19="",I19=""),"",H19*I19)</x:f>
      </x:c>
      <x:c r="K19" s="20" t="str">
        <x:f>IF(J19="","",IF(J19&gt;=20,"Critical",IF(J19&gt;=12,"High",IF(J19&gt;=6,"Moderate","Low"))))</x:f>
      </x:c>
      <x:c r="L19" s="20"/>
      <x:c r="M19" s="20"/>
      <x:c r="N19" s="21"/>
      <x:c r="O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 t="str">
        <x:f>IF(OR(H20="",I20=""),"",H20*I20)</x:f>
      </x:c>
      <x:c r="K20" s="20" t="str">
        <x:f>IF(J20="","",IF(J20&gt;=20,"Critical",IF(J20&gt;=12,"High",IF(J20&gt;=6,"Moderate","Low"))))</x:f>
      </x:c>
      <x:c r="L20" s="20"/>
      <x:c r="M20" s="20"/>
      <x:c r="N20" s="21"/>
      <x:c r="O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 t="str">
        <x:f>IF(OR(H21="",I21=""),"",H21*I21)</x:f>
      </x:c>
      <x:c r="K21" s="20" t="str">
        <x:f>IF(J21="","",IF(J21&gt;=20,"Critical",IF(J21&gt;=12,"High",IF(J21&gt;=6,"Moderate","Low"))))</x:f>
      </x:c>
      <x:c r="L21" s="20"/>
      <x:c r="M21" s="20"/>
      <x:c r="N21" s="21"/>
      <x:c r="O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 t="str">
        <x:f>IF(OR(H22="",I22=""),"",H22*I22)</x:f>
      </x:c>
      <x:c r="K22" s="20" t="str">
        <x:f>IF(J22="","",IF(J22&gt;=20,"Critical",IF(J22&gt;=12,"High",IF(J22&gt;=6,"Moderate","Low"))))</x:f>
      </x:c>
      <x:c r="L22" s="20"/>
      <x:c r="M22" s="20"/>
      <x:c r="N22" s="21"/>
      <x:c r="O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 t="str">
        <x:f>IF(OR(H23="",I23=""),"",H23*I23)</x:f>
      </x:c>
      <x:c r="K23" s="20" t="str">
        <x:f>IF(J23="","",IF(J23&gt;=20,"Critical",IF(J23&gt;=12,"High",IF(J23&gt;=6,"Moderate","Low"))))</x:f>
      </x:c>
      <x:c r="L23" s="20"/>
      <x:c r="M23" s="20"/>
      <x:c r="N23" s="21"/>
      <x:c r="O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 t="str">
        <x:f>IF(OR(H24="",I24=""),"",H24*I24)</x:f>
      </x:c>
      <x:c r="K24" s="20" t="str">
        <x:f>IF(J24="","",IF(J24&gt;=20,"Critical",IF(J24&gt;=12,"High",IF(J24&gt;=6,"Moderate","Low"))))</x:f>
      </x:c>
      <x:c r="L24" s="20"/>
      <x:c r="M24" s="20"/>
      <x:c r="N24" s="21"/>
      <x:c r="O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 t="str">
        <x:f>IF(OR(H25="",I25=""),"",H25*I25)</x:f>
      </x:c>
      <x:c r="K25" s="20" t="str">
        <x:f>IF(J25="","",IF(J25&gt;=20,"Critical",IF(J25&gt;=12,"High",IF(J25&gt;=6,"Moderate","Low"))))</x:f>
      </x:c>
      <x:c r="L25" s="20"/>
      <x:c r="M25" s="20"/>
      <x:c r="N25" s="21"/>
      <x:c r="O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 t="str">
        <x:f>IF(OR(H26="",I26=""),"",H26*I26)</x:f>
      </x:c>
      <x:c r="K26" s="20" t="str">
        <x:f>IF(J26="","",IF(J26&gt;=20,"Critical",IF(J26&gt;=12,"High",IF(J26&gt;=6,"Moderate","Low"))))</x:f>
      </x:c>
      <x:c r="L26" s="20"/>
      <x:c r="M26" s="20"/>
      <x:c r="N26" s="21"/>
      <x:c r="O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 t="str">
        <x:f>IF(OR(H27="",I27=""),"",H27*I27)</x:f>
      </x:c>
      <x:c r="K27" s="20" t="str">
        <x:f>IF(J27="","",IF(J27&gt;=20,"Critical",IF(J27&gt;=12,"High",IF(J27&gt;=6,"Moderate","Low"))))</x:f>
      </x:c>
      <x:c r="L27" s="20"/>
      <x:c r="M27" s="20"/>
      <x:c r="N27" s="21"/>
      <x:c r="O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 t="str">
        <x:f>IF(OR(H28="",I28=""),"",H28*I28)</x:f>
      </x:c>
      <x:c r="K28" s="20" t="str">
        <x:f>IF(J28="","",IF(J28&gt;=20,"Critical",IF(J28&gt;=12,"High",IF(J28&gt;=6,"Moderate","Low"))))</x:f>
      </x:c>
      <x:c r="L28" s="20"/>
      <x:c r="M28" s="20"/>
      <x:c r="N28" s="21"/>
      <x:c r="O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 t="str">
        <x:f>IF(OR(H29="",I29=""),"",H29*I29)</x:f>
      </x:c>
      <x:c r="K29" s="20" t="str">
        <x:f>IF(J29="","",IF(J29&gt;=20,"Critical",IF(J29&gt;=12,"High",IF(J29&gt;=6,"Moderate","Low"))))</x:f>
      </x:c>
      <x:c r="L29" s="20"/>
      <x:c r="M29" s="20"/>
      <x:c r="N29" s="21"/>
      <x:c r="O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 t="str">
        <x:f>IF(OR(H30="",I30=""),"",H30*I30)</x:f>
      </x:c>
      <x:c r="K30" s="20" t="str">
        <x:f>IF(J30="","",IF(J30&gt;=20,"Critical",IF(J30&gt;=12,"High",IF(J30&gt;=6,"Moderate","Low"))))</x:f>
      </x:c>
      <x:c r="L30" s="20"/>
      <x:c r="M30" s="20"/>
      <x:c r="N30" s="21"/>
      <x:c r="O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 t="str">
        <x:f>IF(OR(H31="",I31=""),"",H31*I31)</x:f>
      </x:c>
      <x:c r="K31" s="20" t="str">
        <x:f>IF(J31="","",IF(J31&gt;=20,"Critical",IF(J31&gt;=12,"High",IF(J31&gt;=6,"Moderate","Low"))))</x:f>
      </x:c>
      <x:c r="L31" s="20"/>
      <x:c r="M31" s="20"/>
      <x:c r="N31" s="21"/>
      <x:c r="O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 t="str">
        <x:f>IF(OR(H32="",I32=""),"",H32*I32)</x:f>
      </x:c>
      <x:c r="K32" s="20" t="str">
        <x:f>IF(J32="","",IF(J32&gt;=20,"Critical",IF(J32&gt;=12,"High",IF(J32&gt;=6,"Moderate","Low"))))</x:f>
      </x:c>
      <x:c r="L32" s="20"/>
      <x:c r="M32" s="20"/>
      <x:c r="N32" s="21"/>
      <x:c r="O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 t="str">
        <x:f>IF(OR(H33="",I33=""),"",H33*I33)</x:f>
      </x:c>
      <x:c r="K33" s="20" t="str">
        <x:f>IF(J33="","",IF(J33&gt;=20,"Critical",IF(J33&gt;=12,"High",IF(J33&gt;=6,"Moderate","Low"))))</x:f>
      </x:c>
      <x:c r="L33" s="20"/>
      <x:c r="M33" s="20"/>
      <x:c r="N33" s="21"/>
      <x:c r="O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 t="str">
        <x:f>IF(OR(H34="",I34=""),"",H34*I34)</x:f>
      </x:c>
      <x:c r="K34" s="20" t="str">
        <x:f>IF(J34="","",IF(J34&gt;=20,"Critical",IF(J34&gt;=12,"High",IF(J34&gt;=6,"Moderate","Low"))))</x:f>
      </x:c>
      <x:c r="L34" s="20"/>
      <x:c r="M34" s="20"/>
      <x:c r="N34" s="21"/>
      <x:c r="O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 t="str">
        <x:f>IF(OR(H35="",I35=""),"",H35*I35)</x:f>
      </x:c>
      <x:c r="K35" s="20" t="str">
        <x:f>IF(J35="","",IF(J35&gt;=20,"Critical",IF(J35&gt;=12,"High",IF(J35&gt;=6,"Moderate","Low"))))</x:f>
      </x:c>
      <x:c r="L35" s="20"/>
      <x:c r="M35" s="20"/>
      <x:c r="N35" s="21"/>
      <x:c r="O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 t="str">
        <x:f>IF(OR(H36="",I36=""),"",H36*I36)</x:f>
      </x:c>
      <x:c r="K36" s="20" t="str">
        <x:f>IF(J36="","",IF(J36&gt;=20,"Critical",IF(J36&gt;=12,"High",IF(J36&gt;=6,"Moderate","Low"))))</x:f>
      </x:c>
      <x:c r="L36" s="20"/>
      <x:c r="M36" s="20"/>
      <x:c r="N36" s="21"/>
      <x:c r="O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 t="str">
        <x:f>IF(OR(H37="",I37=""),"",H37*I37)</x:f>
      </x:c>
      <x:c r="K37" s="20" t="str">
        <x:f>IF(J37="","",IF(J37&gt;=20,"Critical",IF(J37&gt;=12,"High",IF(J37&gt;=6,"Moderate","Low"))))</x:f>
      </x:c>
      <x:c r="L37" s="20"/>
      <x:c r="M37" s="20"/>
      <x:c r="N37" s="21"/>
      <x:c r="O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 t="str">
        <x:f>IF(OR(H38="",I38=""),"",H38*I38)</x:f>
      </x:c>
      <x:c r="K38" s="20" t="str">
        <x:f>IF(J38="","",IF(J38&gt;=20,"Critical",IF(J38&gt;=12,"High",IF(J38&gt;=6,"Moderate","Low"))))</x:f>
      </x:c>
      <x:c r="L38" s="20"/>
      <x:c r="M38" s="20"/>
      <x:c r="N38" s="21"/>
      <x:c r="O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 t="str">
        <x:f>IF(OR(H39="",I39=""),"",H39*I39)</x:f>
      </x:c>
      <x:c r="K39" s="20" t="str">
        <x:f>IF(J39="","",IF(J39&gt;=20,"Critical",IF(J39&gt;=12,"High",IF(J39&gt;=6,"Moderate","Low"))))</x:f>
      </x:c>
      <x:c r="L39" s="20"/>
      <x:c r="M39" s="20"/>
      <x:c r="N39" s="21"/>
      <x:c r="O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 t="str">
        <x:f>IF(OR(H40="",I40=""),"",H40*I40)</x:f>
      </x:c>
      <x:c r="K40" s="20" t="str">
        <x:f>IF(J40="","",IF(J40&gt;=20,"Critical",IF(J40&gt;=12,"High",IF(J40&gt;=6,"Moderate","Low"))))</x:f>
      </x:c>
      <x:c r="L40" s="20"/>
      <x:c r="M40" s="20"/>
      <x:c r="N40" s="21"/>
      <x:c r="O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 t="str">
        <x:f>IF(OR(H41="",I41=""),"",H41*I41)</x:f>
      </x:c>
      <x:c r="K41" s="20" t="str">
        <x:f>IF(J41="","",IF(J41&gt;=20,"Critical",IF(J41&gt;=12,"High",IF(J41&gt;=6,"Moderate","Low"))))</x:f>
      </x:c>
      <x:c r="L41" s="20"/>
      <x:c r="M41" s="20"/>
      <x:c r="N41" s="21"/>
      <x:c r="O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 t="str">
        <x:f>IF(OR(H42="",I42=""),"",H42*I42)</x:f>
      </x:c>
      <x:c r="K42" s="20" t="str">
        <x:f>IF(J42="","",IF(J42&gt;=20,"Critical",IF(J42&gt;=12,"High",IF(J42&gt;=6,"Moderate","Low"))))</x:f>
      </x:c>
      <x:c r="L42" s="20"/>
      <x:c r="M42" s="20"/>
      <x:c r="N42" s="21"/>
      <x:c r="O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 t="str">
        <x:f>IF(OR(H43="",I43=""),"",H43*I43)</x:f>
      </x:c>
      <x:c r="K43" s="20" t="str">
        <x:f>IF(J43="","",IF(J43&gt;=20,"Critical",IF(J43&gt;=12,"High",IF(J43&gt;=6,"Moderate","Low"))))</x:f>
      </x:c>
      <x:c r="L43" s="20"/>
      <x:c r="M43" s="20"/>
      <x:c r="N43" s="21"/>
      <x:c r="O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 t="str">
        <x:f>IF(OR(H44="",I44=""),"",H44*I44)</x:f>
      </x:c>
      <x:c r="K44" s="20" t="str">
        <x:f>IF(J44="","",IF(J44&gt;=20,"Critical",IF(J44&gt;=12,"High",IF(J44&gt;=6,"Moderate","Low"))))</x:f>
      </x:c>
      <x:c r="L44" s="20"/>
      <x:c r="M44" s="20"/>
      <x:c r="N44" s="21"/>
      <x:c r="O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 t="str">
        <x:f>IF(OR(H45="",I45=""),"",H45*I45)</x:f>
      </x:c>
      <x:c r="K45" s="20" t="str">
        <x:f>IF(J45="","",IF(J45&gt;=20,"Critical",IF(J45&gt;=12,"High",IF(J45&gt;=6,"Moderate","Low"))))</x:f>
      </x:c>
      <x:c r="L45" s="20"/>
      <x:c r="M45" s="20"/>
      <x:c r="N45" s="21"/>
      <x:c r="O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 t="str">
        <x:f>IF(OR(H46="",I46=""),"",H46*I46)</x:f>
      </x:c>
      <x:c r="K46" s="20" t="str">
        <x:f>IF(J46="","",IF(J46&gt;=20,"Critical",IF(J46&gt;=12,"High",IF(J46&gt;=6,"Moderate","Low"))))</x:f>
      </x:c>
      <x:c r="L46" s="20"/>
      <x:c r="M46" s="20"/>
      <x:c r="N46" s="21"/>
      <x:c r="O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 t="str">
        <x:f>IF(OR(H47="",I47=""),"",H47*I47)</x:f>
      </x:c>
      <x:c r="K47" s="20" t="str">
        <x:f>IF(J47="","",IF(J47&gt;=20,"Critical",IF(J47&gt;=12,"High",IF(J47&gt;=6,"Moderate","Low"))))</x:f>
      </x:c>
      <x:c r="L47" s="20"/>
      <x:c r="M47" s="20"/>
      <x:c r="N47" s="21"/>
      <x:c r="O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 t="str">
        <x:f>IF(OR(H48="",I48=""),"",H48*I48)</x:f>
      </x:c>
      <x:c r="K48" s="20" t="str">
        <x:f>IF(J48="","",IF(J48&gt;=20,"Critical",IF(J48&gt;=12,"High",IF(J48&gt;=6,"Moderate","Low"))))</x:f>
      </x:c>
      <x:c r="L48" s="20"/>
      <x:c r="M48" s="20"/>
      <x:c r="N48" s="21"/>
      <x:c r="O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 t="str">
        <x:f>IF(OR(H49="",I49=""),"",H49*I49)</x:f>
      </x:c>
      <x:c r="K49" s="20" t="str">
        <x:f>IF(J49="","",IF(J49&gt;=20,"Critical",IF(J49&gt;=12,"High",IF(J49&gt;=6,"Moderate","Low"))))</x:f>
      </x:c>
      <x:c r="L49" s="20"/>
      <x:c r="M49" s="20"/>
      <x:c r="N49" s="21"/>
      <x:c r="O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 t="str">
        <x:f>IF(OR(H50="",I50=""),"",H50*I50)</x:f>
      </x:c>
      <x:c r="K50" s="20" t="str">
        <x:f>IF(J50="","",IF(J50&gt;=20,"Critical",IF(J50&gt;=12,"High",IF(J50&gt;=6,"Moderate","Low"))))</x:f>
      </x:c>
      <x:c r="L50" s="20"/>
      <x:c r="M50" s="20"/>
      <x:c r="N50" s="21"/>
      <x:c r="O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 t="str">
        <x:f>IF(OR(H51="",I51=""),"",H51*I51)</x:f>
      </x:c>
      <x:c r="K51" s="20" t="str">
        <x:f>IF(J51="","",IF(J51&gt;=20,"Critical",IF(J51&gt;=12,"High",IF(J51&gt;=6,"Moderate","Low"))))</x:f>
      </x:c>
      <x:c r="L51" s="20"/>
      <x:c r="M51" s="20"/>
      <x:c r="N51" s="21"/>
      <x:c r="O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 t="str">
        <x:f>IF(OR(H52="",I52=""),"",H52*I52)</x:f>
      </x:c>
      <x:c r="K52" s="20" t="str">
        <x:f>IF(J52="","",IF(J52&gt;=20,"Critical",IF(J52&gt;=12,"High",IF(J52&gt;=6,"Moderate","Low"))))</x:f>
      </x:c>
      <x:c r="L52" s="20"/>
      <x:c r="M52" s="20"/>
      <x:c r="N52" s="21"/>
      <x:c r="O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 t="str">
        <x:f>IF(OR(H53="",I53=""),"",H53*I53)</x:f>
      </x:c>
      <x:c r="K53" s="20" t="str">
        <x:f>IF(J53="","",IF(J53&gt;=20,"Critical",IF(J53&gt;=12,"High",IF(J53&gt;=6,"Moderate","Low"))))</x:f>
      </x:c>
      <x:c r="L53" s="20"/>
      <x:c r="M53" s="20"/>
      <x:c r="N53" s="21"/>
      <x:c r="O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 t="str">
        <x:f>IF(OR(H54="",I54=""),"",H54*I54)</x:f>
      </x:c>
      <x:c r="K54" s="20" t="str">
        <x:f>IF(J54="","",IF(J54&gt;=20,"Critical",IF(J54&gt;=12,"High",IF(J54&gt;=6,"Moderate","Low"))))</x:f>
      </x:c>
      <x:c r="L54" s="20"/>
      <x:c r="M54" s="20"/>
      <x:c r="N54" s="21"/>
      <x:c r="O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 t="str">
        <x:f>IF(OR(H55="",I55=""),"",H55*I55)</x:f>
      </x:c>
      <x:c r="K55" s="20" t="str">
        <x:f>IF(J55="","",IF(J55&gt;=20,"Critical",IF(J55&gt;=12,"High",IF(J55&gt;=6,"Moderate","Low"))))</x:f>
      </x:c>
      <x:c r="L55" s="20"/>
      <x:c r="M55" s="20"/>
      <x:c r="N55" s="21"/>
      <x:c r="O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 t="str">
        <x:f>IF(OR(H56="",I56=""),"",H56*I56)</x:f>
      </x:c>
      <x:c r="K56" s="20" t="str">
        <x:f>IF(J56="","",IF(J56&gt;=20,"Critical",IF(J56&gt;=12,"High",IF(J56&gt;=6,"Moderate","Low"))))</x:f>
      </x:c>
      <x:c r="L56" s="20"/>
      <x:c r="M56" s="20"/>
      <x:c r="N56" s="21"/>
      <x:c r="O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 t="str">
        <x:f>IF(OR(H57="",I57=""),"",H57*I57)</x:f>
      </x:c>
      <x:c r="K57" s="20" t="str">
        <x:f>IF(J57="","",IF(J57&gt;=20,"Critical",IF(J57&gt;=12,"High",IF(J57&gt;=6,"Moderate","Low"))))</x:f>
      </x:c>
      <x:c r="L57" s="20"/>
      <x:c r="M57" s="20"/>
      <x:c r="N57" s="21"/>
      <x:c r="O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 t="str">
        <x:f>IF(OR(H58="",I58=""),"",H58*I58)</x:f>
      </x:c>
      <x:c r="K58" s="20" t="str">
        <x:f>IF(J58="","",IF(J58&gt;=20,"Critical",IF(J58&gt;=12,"High",IF(J58&gt;=6,"Moderate","Low"))))</x:f>
      </x:c>
      <x:c r="L58" s="20"/>
      <x:c r="M58" s="20"/>
      <x:c r="N58" s="21"/>
      <x:c r="O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 t="str">
        <x:f>IF(OR(H59="",I59=""),"",H59*I59)</x:f>
      </x:c>
      <x:c r="K59" s="20" t="str">
        <x:f>IF(J59="","",IF(J59&gt;=20,"Critical",IF(J59&gt;=12,"High",IF(J59&gt;=6,"Moderate","Low"))))</x:f>
      </x:c>
      <x:c r="L59" s="20"/>
      <x:c r="M59" s="20"/>
      <x:c r="N59" s="21"/>
      <x:c r="O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 t="str">
        <x:f>IF(OR(H60="",I60=""),"",H60*I60)</x:f>
      </x:c>
      <x:c r="K60" s="20" t="str">
        <x:f>IF(J60="","",IF(J60&gt;=20,"Critical",IF(J60&gt;=12,"High",IF(J60&gt;=6,"Moderate","Low"))))</x:f>
      </x:c>
      <x:c r="L60" s="20"/>
      <x:c r="M60" s="20"/>
      <x:c r="N60" s="21"/>
      <x:c r="O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 t="str">
        <x:f>IF(OR(H61="",I61=""),"",H61*I61)</x:f>
      </x:c>
      <x:c r="K61" s="20" t="str">
        <x:f>IF(J61="","",IF(J61&gt;=20,"Critical",IF(J61&gt;=12,"High",IF(J61&gt;=6,"Moderate","Low"))))</x:f>
      </x:c>
      <x:c r="L61" s="20"/>
      <x:c r="M61" s="20"/>
      <x:c r="N61" s="21"/>
      <x:c r="O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 t="str">
        <x:f>IF(OR(H62="",I62=""),"",H62*I62)</x:f>
      </x:c>
      <x:c r="K62" s="20" t="str">
        <x:f>IF(J62="","",IF(J62&gt;=20,"Critical",IF(J62&gt;=12,"High",IF(J62&gt;=6,"Moderate","Low"))))</x:f>
      </x:c>
      <x:c r="L62" s="20"/>
      <x:c r="M62" s="20"/>
      <x:c r="N62" s="21"/>
      <x:c r="O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 t="str">
        <x:f>IF(OR(H63="",I63=""),"",H63*I63)</x:f>
      </x:c>
      <x:c r="K63" s="20" t="str">
        <x:f>IF(J63="","",IF(J63&gt;=20,"Critical",IF(J63&gt;=12,"High",IF(J63&gt;=6,"Moderate","Low"))))</x:f>
      </x:c>
      <x:c r="L63" s="20"/>
      <x:c r="M63" s="20"/>
      <x:c r="N63" s="21"/>
      <x:c r="O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 t="str">
        <x:f>IF(OR(H64="",I64=""),"",H64*I64)</x:f>
      </x:c>
      <x:c r="K64" s="20" t="str">
        <x:f>IF(J64="","",IF(J64&gt;=20,"Critical",IF(J64&gt;=12,"High",IF(J64&gt;=6,"Moderate","Low"))))</x:f>
      </x:c>
      <x:c r="L64" s="20"/>
      <x:c r="M64" s="20"/>
      <x:c r="N64" s="21"/>
      <x:c r="O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 t="str">
        <x:f>IF(OR(H65="",I65=""),"",H65*I65)</x:f>
      </x:c>
      <x:c r="K65" s="20" t="str">
        <x:f>IF(J65="","",IF(J65&gt;=20,"Critical",IF(J65&gt;=12,"High",IF(J65&gt;=6,"Moderate","Low"))))</x:f>
      </x:c>
      <x:c r="L65" s="20"/>
      <x:c r="M65" s="20"/>
      <x:c r="N65" s="21"/>
      <x:c r="O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 t="str">
        <x:f>IF(OR(H66="",I66=""),"",H66*I66)</x:f>
      </x:c>
      <x:c r="K66" s="20" t="str">
        <x:f>IF(J66="","",IF(J66&gt;=20,"Critical",IF(J66&gt;=12,"High",IF(J66&gt;=6,"Moderate","Low"))))</x:f>
      </x:c>
      <x:c r="L66" s="20"/>
      <x:c r="M66" s="20"/>
      <x:c r="N66" s="21"/>
      <x:c r="O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 t="str">
        <x:f>IF(OR(H67="",I67=""),"",H67*I67)</x:f>
      </x:c>
      <x:c r="K67" s="20" t="str">
        <x:f>IF(J67="","",IF(J67&gt;=20,"Critical",IF(J67&gt;=12,"High",IF(J67&gt;=6,"Moderate","Low"))))</x:f>
      </x:c>
      <x:c r="L67" s="20"/>
      <x:c r="M67" s="20"/>
      <x:c r="N67" s="21"/>
      <x:c r="O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 t="str">
        <x:f>IF(OR(H68="",I68=""),"",H68*I68)</x:f>
      </x:c>
      <x:c r="K68" s="20" t="str">
        <x:f>IF(J68="","",IF(J68&gt;=20,"Critical",IF(J68&gt;=12,"High",IF(J68&gt;=6,"Moderate","Low"))))</x:f>
      </x:c>
      <x:c r="L68" s="20"/>
      <x:c r="M68" s="20"/>
      <x:c r="N68" s="21"/>
      <x:c r="O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 t="str">
        <x:f>IF(OR(H69="",I69=""),"",H69*I69)</x:f>
      </x:c>
      <x:c r="K69" s="20" t="str">
        <x:f>IF(J69="","",IF(J69&gt;=20,"Critical",IF(J69&gt;=12,"High",IF(J69&gt;=6,"Moderate","Low"))))</x:f>
      </x:c>
      <x:c r="L69" s="20"/>
      <x:c r="M69" s="20"/>
      <x:c r="N69" s="21"/>
      <x:c r="O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 t="str">
        <x:f>IF(OR(H70="",I70=""),"",H70*I70)</x:f>
      </x:c>
      <x:c r="K70" s="20" t="str">
        <x:f>IF(J70="","",IF(J70&gt;=20,"Critical",IF(J70&gt;=12,"High",IF(J70&gt;=6,"Moderate","Low"))))</x:f>
      </x:c>
      <x:c r="L70" s="20"/>
      <x:c r="M70" s="20"/>
      <x:c r="N70" s="21"/>
      <x:c r="O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 t="str">
        <x:f>IF(OR(H71="",I71=""),"",H71*I71)</x:f>
      </x:c>
      <x:c r="K71" s="20" t="str">
        <x:f>IF(J71="","",IF(J71&gt;=20,"Critical",IF(J71&gt;=12,"High",IF(J71&gt;=6,"Moderate","Low"))))</x:f>
      </x:c>
      <x:c r="L71" s="20"/>
      <x:c r="M71" s="20"/>
      <x:c r="N71" s="21"/>
      <x:c r="O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 t="str">
        <x:f>IF(OR(H72="",I72=""),"",H72*I72)</x:f>
      </x:c>
      <x:c r="K72" s="20" t="str">
        <x:f>IF(J72="","",IF(J72&gt;=20,"Critical",IF(J72&gt;=12,"High",IF(J72&gt;=6,"Moderate","Low"))))</x:f>
      </x:c>
      <x:c r="L72" s="20"/>
      <x:c r="M72" s="20"/>
      <x:c r="N72" s="21"/>
      <x:c r="O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 t="str">
        <x:f>IF(OR(H73="",I73=""),"",H73*I73)</x:f>
      </x:c>
      <x:c r="K73" s="20" t="str">
        <x:f>IF(J73="","",IF(J73&gt;=20,"Critical",IF(J73&gt;=12,"High",IF(J73&gt;=6,"Moderate","Low"))))</x:f>
      </x:c>
      <x:c r="L73" s="20"/>
      <x:c r="M73" s="20"/>
      <x:c r="N73" s="21"/>
      <x:c r="O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 t="str">
        <x:f>IF(OR(H74="",I74=""),"",H74*I74)</x:f>
      </x:c>
      <x:c r="K74" s="20" t="str">
        <x:f>IF(J74="","",IF(J74&gt;=20,"Critical",IF(J74&gt;=12,"High",IF(J74&gt;=6,"Moderate","Low"))))</x:f>
      </x:c>
      <x:c r="L74" s="20"/>
      <x:c r="M74" s="20"/>
      <x:c r="N74" s="21"/>
      <x:c r="O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 t="str">
        <x:f>IF(OR(H75="",I75=""),"",H75*I75)</x:f>
      </x:c>
      <x:c r="K75" s="20" t="str">
        <x:f>IF(J75="","",IF(J75&gt;=20,"Critical",IF(J75&gt;=12,"High",IF(J75&gt;=6,"Moderate","Low"))))</x:f>
      </x:c>
      <x:c r="L75" s="20"/>
      <x:c r="M75" s="20"/>
      <x:c r="N75" s="21"/>
      <x:c r="O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 t="str">
        <x:f>IF(OR(H76="",I76=""),"",H76*I76)</x:f>
      </x:c>
      <x:c r="K76" s="20" t="str">
        <x:f>IF(J76="","",IF(J76&gt;=20,"Critical",IF(J76&gt;=12,"High",IF(J76&gt;=6,"Moderate","Low"))))</x:f>
      </x:c>
      <x:c r="L76" s="20"/>
      <x:c r="M76" s="20"/>
      <x:c r="N76" s="21"/>
      <x:c r="O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 t="str">
        <x:f>IF(OR(H77="",I77=""),"",H77*I77)</x:f>
      </x:c>
      <x:c r="K77" s="20" t="str">
        <x:f>IF(J77="","",IF(J77&gt;=20,"Critical",IF(J77&gt;=12,"High",IF(J77&gt;=6,"Moderate","Low"))))</x:f>
      </x:c>
      <x:c r="L77" s="20"/>
      <x:c r="M77" s="20"/>
      <x:c r="N77" s="21"/>
      <x:c r="O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 t="str">
        <x:f>IF(OR(H78="",I78=""),"",H78*I78)</x:f>
      </x:c>
      <x:c r="K78" s="20" t="str">
        <x:f>IF(J78="","",IF(J78&gt;=20,"Critical",IF(J78&gt;=12,"High",IF(J78&gt;=6,"Moderate","Low"))))</x:f>
      </x:c>
      <x:c r="L78" s="20"/>
      <x:c r="M78" s="20"/>
      <x:c r="N78" s="21"/>
      <x:c r="O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 t="str">
        <x:f>IF(OR(H79="",I79=""),"",H79*I79)</x:f>
      </x:c>
      <x:c r="K79" s="20" t="str">
        <x:f>IF(J79="","",IF(J79&gt;=20,"Critical",IF(J79&gt;=12,"High",IF(J79&gt;=6,"Moderate","Low"))))</x:f>
      </x:c>
      <x:c r="L79" s="20"/>
      <x:c r="M79" s="20"/>
      <x:c r="N79" s="21"/>
      <x:c r="O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 t="str">
        <x:f>IF(OR(H80="",I80=""),"",H80*I80)</x:f>
      </x:c>
      <x:c r="K80" s="20" t="str">
        <x:f>IF(J80="","",IF(J80&gt;=20,"Critical",IF(J80&gt;=12,"High",IF(J80&gt;=6,"Moderate","Low"))))</x:f>
      </x:c>
      <x:c r="L80" s="20"/>
      <x:c r="M80" s="20"/>
      <x:c r="N80" s="21"/>
      <x:c r="O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 t="str">
        <x:f>IF(OR(H81="",I81=""),"",H81*I81)</x:f>
      </x:c>
      <x:c r="K81" s="20" t="str">
        <x:f>IF(J81="","",IF(J81&gt;=20,"Critical",IF(J81&gt;=12,"High",IF(J81&gt;=6,"Moderate","Low"))))</x:f>
      </x:c>
      <x:c r="L81" s="20"/>
      <x:c r="M81" s="20"/>
      <x:c r="N81" s="21"/>
      <x:c r="O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 t="str">
        <x:f>IF(OR(H82="",I82=""),"",H82*I82)</x:f>
      </x:c>
      <x:c r="K82" s="20" t="str">
        <x:f>IF(J82="","",IF(J82&gt;=20,"Critical",IF(J82&gt;=12,"High",IF(J82&gt;=6,"Moderate","Low"))))</x:f>
      </x:c>
      <x:c r="L82" s="20"/>
      <x:c r="M82" s="20"/>
      <x:c r="N82" s="21"/>
      <x:c r="O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 t="str">
        <x:f>IF(OR(H83="",I83=""),"",H83*I83)</x:f>
      </x:c>
      <x:c r="K83" s="20" t="str">
        <x:f>IF(J83="","",IF(J83&gt;=20,"Critical",IF(J83&gt;=12,"High",IF(J83&gt;=6,"Moderate","Low"))))</x:f>
      </x:c>
      <x:c r="L83" s="20"/>
      <x:c r="M83" s="20"/>
      <x:c r="N83" s="21"/>
      <x:c r="O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 t="str">
        <x:f>IF(OR(H84="",I84=""),"",H84*I84)</x:f>
      </x:c>
      <x:c r="K84" s="20" t="str">
        <x:f>IF(J84="","",IF(J84&gt;=20,"Critical",IF(J84&gt;=12,"High",IF(J84&gt;=6,"Moderate","Low"))))</x:f>
      </x:c>
      <x:c r="L84" s="20"/>
      <x:c r="M84" s="20"/>
      <x:c r="N84" s="21"/>
      <x:c r="O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 t="str">
        <x:f>IF(OR(H85="",I85=""),"",H85*I85)</x:f>
      </x:c>
      <x:c r="K85" s="20" t="str">
        <x:f>IF(J85="","",IF(J85&gt;=20,"Critical",IF(J85&gt;=12,"High",IF(J85&gt;=6,"Moderate","Low"))))</x:f>
      </x:c>
      <x:c r="L85" s="20"/>
      <x:c r="M85" s="20"/>
      <x:c r="N85" s="21"/>
      <x:c r="O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 t="str">
        <x:f>IF(OR(H86="",I86=""),"",H86*I86)</x:f>
      </x:c>
      <x:c r="K86" s="20" t="str">
        <x:f>IF(J86="","",IF(J86&gt;=20,"Critical",IF(J86&gt;=12,"High",IF(J86&gt;=6,"Moderate","Low"))))</x:f>
      </x:c>
      <x:c r="L86" s="20"/>
      <x:c r="M86" s="20"/>
      <x:c r="N86" s="21"/>
      <x:c r="O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 t="str">
        <x:f>IF(OR(H87="",I87=""),"",H87*I87)</x:f>
      </x:c>
      <x:c r="K87" s="20" t="str">
        <x:f>IF(J87="","",IF(J87&gt;=20,"Critical",IF(J87&gt;=12,"High",IF(J87&gt;=6,"Moderate","Low"))))</x:f>
      </x:c>
      <x:c r="L87" s="20"/>
      <x:c r="M87" s="20"/>
      <x:c r="N87" s="21"/>
      <x:c r="O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 t="str">
        <x:f>IF(OR(H88="",I88=""),"",H88*I88)</x:f>
      </x:c>
      <x:c r="K88" s="20" t="str">
        <x:f>IF(J88="","",IF(J88&gt;=20,"Critical",IF(J88&gt;=12,"High",IF(J88&gt;=6,"Moderate","Low"))))</x:f>
      </x:c>
      <x:c r="L88" s="20"/>
      <x:c r="M88" s="20"/>
      <x:c r="N88" s="21"/>
      <x:c r="O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 t="str">
        <x:f>IF(OR(H89="",I89=""),"",H89*I89)</x:f>
      </x:c>
      <x:c r="K89" s="20" t="str">
        <x:f>IF(J89="","",IF(J89&gt;=20,"Critical",IF(J89&gt;=12,"High",IF(J89&gt;=6,"Moderate","Low"))))</x:f>
      </x:c>
      <x:c r="L89" s="20"/>
      <x:c r="M89" s="20"/>
      <x:c r="N89" s="21"/>
      <x:c r="O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 t="str">
        <x:f>IF(OR(H90="",I90=""),"",H90*I90)</x:f>
      </x:c>
      <x:c r="K90" s="20" t="str">
        <x:f>IF(J90="","",IF(J90&gt;=20,"Critical",IF(J90&gt;=12,"High",IF(J90&gt;=6,"Moderate","Low"))))</x:f>
      </x:c>
      <x:c r="L90" s="20"/>
      <x:c r="M90" s="20"/>
      <x:c r="N90" s="21"/>
      <x:c r="O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 t="str">
        <x:f>IF(OR(H91="",I91=""),"",H91*I91)</x:f>
      </x:c>
      <x:c r="K91" s="20" t="str">
        <x:f>IF(J91="","",IF(J91&gt;=20,"Critical",IF(J91&gt;=12,"High",IF(J91&gt;=6,"Moderate","Low"))))</x:f>
      </x:c>
      <x:c r="L91" s="20"/>
      <x:c r="M91" s="20"/>
      <x:c r="N91" s="21"/>
      <x:c r="O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 t="str">
        <x:f>IF(OR(H92="",I92=""),"",H92*I92)</x:f>
      </x:c>
      <x:c r="K92" s="20" t="str">
        <x:f>IF(J92="","",IF(J92&gt;=20,"Critical",IF(J92&gt;=12,"High",IF(J92&gt;=6,"Moderate","Low"))))</x:f>
      </x:c>
      <x:c r="L92" s="20"/>
      <x:c r="M92" s="20"/>
      <x:c r="N92" s="21"/>
      <x:c r="O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 t="str">
        <x:f>IF(OR(H93="",I93=""),"",H93*I93)</x:f>
      </x:c>
      <x:c r="K93" s="20" t="str">
        <x:f>IF(J93="","",IF(J93&gt;=20,"Critical",IF(J93&gt;=12,"High",IF(J93&gt;=6,"Moderate","Low"))))</x:f>
      </x:c>
      <x:c r="L93" s="20"/>
      <x:c r="M93" s="20"/>
      <x:c r="N93" s="21"/>
      <x:c r="O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 t="str">
        <x:f>IF(OR(H94="",I94=""),"",H94*I94)</x:f>
      </x:c>
      <x:c r="K94" s="20" t="str">
        <x:f>IF(J94="","",IF(J94&gt;=20,"Critical",IF(J94&gt;=12,"High",IF(J94&gt;=6,"Moderate","Low"))))</x:f>
      </x:c>
      <x:c r="L94" s="20"/>
      <x:c r="M94" s="20"/>
      <x:c r="N94" s="21"/>
      <x:c r="O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 t="str">
        <x:f>IF(OR(H95="",I95=""),"",H95*I95)</x:f>
      </x:c>
      <x:c r="K95" s="20" t="str">
        <x:f>IF(J95="","",IF(J95&gt;=20,"Critical",IF(J95&gt;=12,"High",IF(J95&gt;=6,"Moderate","Low"))))</x:f>
      </x:c>
      <x:c r="L95" s="20"/>
      <x:c r="M95" s="20"/>
      <x:c r="N95" s="21"/>
      <x:c r="O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 t="str">
        <x:f>IF(OR(H96="",I96=""),"",H96*I96)</x:f>
      </x:c>
      <x:c r="K96" s="20" t="str">
        <x:f>IF(J96="","",IF(J96&gt;=20,"Critical",IF(J96&gt;=12,"High",IF(J96&gt;=6,"Moderate","Low"))))</x:f>
      </x:c>
      <x:c r="L96" s="20"/>
      <x:c r="M96" s="20"/>
      <x:c r="N96" s="21"/>
      <x:c r="O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 t="str">
        <x:f>IF(OR(H97="",I97=""),"",H97*I97)</x:f>
      </x:c>
      <x:c r="K97" s="20" t="str">
        <x:f>IF(J97="","",IF(J97&gt;=20,"Critical",IF(J97&gt;=12,"High",IF(J97&gt;=6,"Moderate","Low"))))</x:f>
      </x:c>
      <x:c r="L97" s="20"/>
      <x:c r="M97" s="20"/>
      <x:c r="N97" s="21"/>
      <x:c r="O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 t="str">
        <x:f>IF(OR(H98="",I98=""),"",H98*I98)</x:f>
      </x:c>
      <x:c r="K98" s="20" t="str">
        <x:f>IF(J98="","",IF(J98&gt;=20,"Critical",IF(J98&gt;=12,"High",IF(J98&gt;=6,"Moderate","Low"))))</x:f>
      </x:c>
      <x:c r="L98" s="20"/>
      <x:c r="M98" s="20"/>
      <x:c r="N98" s="21"/>
      <x:c r="O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 t="str">
        <x:f>IF(OR(H99="",I99=""),"",H99*I99)</x:f>
      </x:c>
      <x:c r="K99" s="20" t="str">
        <x:f>IF(J99="","",IF(J99&gt;=20,"Critical",IF(J99&gt;=12,"High",IF(J99&gt;=6,"Moderate","Low"))))</x:f>
      </x:c>
      <x:c r="L99" s="20"/>
      <x:c r="M99" s="20"/>
      <x:c r="N99" s="21"/>
      <x:c r="O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 t="str">
        <x:f>IF(OR(H100="",I100=""),"",H100*I100)</x:f>
      </x:c>
      <x:c r="K100" s="20" t="str">
        <x:f>IF(J100="","",IF(J100&gt;=20,"Critical",IF(J100&gt;=12,"High",IF(J100&gt;=6,"Moderate","Low"))))</x:f>
      </x:c>
      <x:c r="L100" s="20"/>
      <x:c r="M100" s="20"/>
      <x:c r="N100" s="21"/>
      <x:c r="O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 t="str">
        <x:f>IF(OR(H101="",I101=""),"",H101*I101)</x:f>
      </x:c>
      <x:c r="K101" s="20" t="str">
        <x:f>IF(J101="","",IF(J101&gt;=20,"Critical",IF(J101&gt;=12,"High",IF(J101&gt;=6,"Moderate","Low"))))</x:f>
      </x:c>
      <x:c r="L101" s="20"/>
      <x:c r="M101" s="20"/>
      <x:c r="N101" s="21"/>
      <x:c r="O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 t="str">
        <x:f>IF(OR(H102="",I102=""),"",H102*I102)</x:f>
      </x:c>
      <x:c r="K102" s="20" t="str">
        <x:f>IF(J102="","",IF(J102&gt;=20,"Critical",IF(J102&gt;=12,"High",IF(J102&gt;=6,"Moderate","Low"))))</x:f>
      </x:c>
      <x:c r="L102" s="20"/>
      <x:c r="M102" s="20"/>
      <x:c r="N102" s="21"/>
      <x:c r="O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 t="str">
        <x:f>IF(OR(H103="",I103=""),"",H103*I103)</x:f>
      </x:c>
      <x:c r="K103" s="20" t="str">
        <x:f>IF(J103="","",IF(J103&gt;=20,"Critical",IF(J103&gt;=12,"High",IF(J103&gt;=6,"Moderate","Low"))))</x:f>
      </x:c>
      <x:c r="L103" s="20"/>
      <x:c r="M103" s="20"/>
      <x:c r="N103" s="21"/>
      <x:c r="O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 t="str">
        <x:f>IF(OR(H104="",I104=""),"",H104*I104)</x:f>
      </x:c>
      <x:c r="K104" s="20" t="str">
        <x:f>IF(J104="","",IF(J104&gt;=20,"Critical",IF(J104&gt;=12,"High",IF(J104&gt;=6,"Moderate","Low"))))</x:f>
      </x:c>
      <x:c r="L104" s="20"/>
      <x:c r="M104" s="20"/>
      <x:c r="N104" s="21"/>
      <x:c r="O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 t="str">
        <x:f>IF(OR(H105="",I105=""),"",H105*I105)</x:f>
      </x:c>
      <x:c r="K105" s="20" t="str">
        <x:f>IF(J105="","",IF(J105&gt;=20,"Critical",IF(J105&gt;=12,"High",IF(J105&gt;=6,"Moderate","Low"))))</x:f>
      </x:c>
      <x:c r="L105" s="20"/>
      <x:c r="M105" s="20"/>
      <x:c r="N105" s="21"/>
      <x:c r="O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 t="str">
        <x:f>IF(OR(H106="",I106=""),"",H106*I106)</x:f>
      </x:c>
      <x:c r="K106" s="20" t="str">
        <x:f>IF(J106="","",IF(J106&gt;=20,"Critical",IF(J106&gt;=12,"High",IF(J106&gt;=6,"Moderate","Low"))))</x:f>
      </x:c>
      <x:c r="L106" s="20"/>
      <x:c r="M106" s="20"/>
      <x:c r="N106" s="21"/>
      <x:c r="O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 t="str">
        <x:f>IF(OR(H107="",I107=""),"",H107*I107)</x:f>
      </x:c>
      <x:c r="K107" s="20" t="str">
        <x:f>IF(J107="","",IF(J107&gt;=20,"Critical",IF(J107&gt;=12,"High",IF(J107&gt;=6,"Moderate","Low"))))</x:f>
      </x:c>
      <x:c r="L107" s="20"/>
      <x:c r="M107" s="20"/>
      <x:c r="N107" s="21"/>
      <x:c r="O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 t="str">
        <x:f>IF(OR(H108="",I108=""),"",H108*I108)</x:f>
      </x:c>
      <x:c r="K108" s="20" t="str">
        <x:f>IF(J108="","",IF(J108&gt;=20,"Critical",IF(J108&gt;=12,"High",IF(J108&gt;=6,"Moderate","Low"))))</x:f>
      </x:c>
      <x:c r="L108" s="20"/>
      <x:c r="M108" s="20"/>
      <x:c r="N108" s="21"/>
      <x:c r="O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 t="str">
        <x:f>IF(OR(H109="",I109=""),"",H109*I109)</x:f>
      </x:c>
      <x:c r="K109" s="20" t="str">
        <x:f>IF(J109="","",IF(J109&gt;=20,"Critical",IF(J109&gt;=12,"High",IF(J109&gt;=6,"Moderate","Low"))))</x:f>
      </x:c>
      <x:c r="L109" s="20"/>
      <x:c r="M109" s="20"/>
      <x:c r="N109" s="21"/>
      <x:c r="O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 t="str">
        <x:f>IF(OR(H110="",I110=""),"",H110*I110)</x:f>
      </x:c>
      <x:c r="K110" s="20" t="str">
        <x:f>IF(J110="","",IF(J110&gt;=20,"Critical",IF(J110&gt;=12,"High",IF(J110&gt;=6,"Moderate","Low"))))</x:f>
      </x:c>
      <x:c r="L110" s="20"/>
      <x:c r="M110" s="20"/>
      <x:c r="N110" s="21"/>
      <x:c r="O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 t="str">
        <x:f>IF(OR(H111="",I111=""),"",H111*I111)</x:f>
      </x:c>
      <x:c r="K111" s="20" t="str">
        <x:f>IF(J111="","",IF(J111&gt;=20,"Critical",IF(J111&gt;=12,"High",IF(J111&gt;=6,"Moderate","Low"))))</x:f>
      </x:c>
      <x:c r="L111" s="20"/>
      <x:c r="M111" s="20"/>
      <x:c r="N111" s="21"/>
      <x:c r="O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 t="str">
        <x:f>IF(OR(H112="",I112=""),"",H112*I112)</x:f>
      </x:c>
      <x:c r="K112" s="20" t="str">
        <x:f>IF(J112="","",IF(J112&gt;=20,"Critical",IF(J112&gt;=12,"High",IF(J112&gt;=6,"Moderate","Low"))))</x:f>
      </x:c>
      <x:c r="L112" s="20"/>
      <x:c r="M112" s="20"/>
      <x:c r="N112" s="21"/>
      <x:c r="O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 t="str">
        <x:f>IF(OR(H113="",I113=""),"",H113*I113)</x:f>
      </x:c>
      <x:c r="K113" s="20" t="str">
        <x:f>IF(J113="","",IF(J113&gt;=20,"Critical",IF(J113&gt;=12,"High",IF(J113&gt;=6,"Moderate","Low"))))</x:f>
      </x:c>
      <x:c r="L113" s="20"/>
      <x:c r="M113" s="20"/>
      <x:c r="N113" s="21"/>
      <x:c r="O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 t="str">
        <x:f>IF(OR(H114="",I114=""),"",H114*I114)</x:f>
      </x:c>
      <x:c r="K114" s="20" t="str">
        <x:f>IF(J114="","",IF(J114&gt;=20,"Critical",IF(J114&gt;=12,"High",IF(J114&gt;=6,"Moderate","Low"))))</x:f>
      </x:c>
      <x:c r="L114" s="20"/>
      <x:c r="M114" s="20"/>
      <x:c r="N114" s="21"/>
      <x:c r="O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 t="str">
        <x:f>IF(OR(H115="",I115=""),"",H115*I115)</x:f>
      </x:c>
      <x:c r="K115" s="20" t="str">
        <x:f>IF(J115="","",IF(J115&gt;=20,"Critical",IF(J115&gt;=12,"High",IF(J115&gt;=6,"Moderate","Low"))))</x:f>
      </x:c>
      <x:c r="L115" s="20"/>
      <x:c r="M115" s="20"/>
      <x:c r="N115" s="21"/>
      <x:c r="O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 t="str">
        <x:f>IF(OR(H116="",I116=""),"",H116*I116)</x:f>
      </x:c>
      <x:c r="K116" s="20" t="str">
        <x:f>IF(J116="","",IF(J116&gt;=20,"Critical",IF(J116&gt;=12,"High",IF(J116&gt;=6,"Moderate","Low"))))</x:f>
      </x:c>
      <x:c r="L116" s="20"/>
      <x:c r="M116" s="20"/>
      <x:c r="N116" s="21"/>
      <x:c r="O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 t="str">
        <x:f>IF(OR(H117="",I117=""),"",H117*I117)</x:f>
      </x:c>
      <x:c r="K117" s="20" t="str">
        <x:f>IF(J117="","",IF(J117&gt;=20,"Critical",IF(J117&gt;=12,"High",IF(J117&gt;=6,"Moderate","Low"))))</x:f>
      </x:c>
      <x:c r="L117" s="20"/>
      <x:c r="M117" s="20"/>
      <x:c r="N117" s="21"/>
      <x:c r="O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 t="str">
        <x:f>IF(OR(H118="",I118=""),"",H118*I118)</x:f>
      </x:c>
      <x:c r="K118" s="20" t="str">
        <x:f>IF(J118="","",IF(J118&gt;=20,"Critical",IF(J118&gt;=12,"High",IF(J118&gt;=6,"Moderate","Low"))))</x:f>
      </x:c>
      <x:c r="L118" s="20"/>
      <x:c r="M118" s="20"/>
      <x:c r="N118" s="21"/>
      <x:c r="O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 t="str">
        <x:f>IF(OR(H119="",I119=""),"",H119*I119)</x:f>
      </x:c>
      <x:c r="K119" s="20" t="str">
        <x:f>IF(J119="","",IF(J119&gt;=20,"Critical",IF(J119&gt;=12,"High",IF(J119&gt;=6,"Moderate","Low"))))</x:f>
      </x:c>
      <x:c r="L119" s="20"/>
      <x:c r="M119" s="20"/>
      <x:c r="N119" s="21"/>
      <x:c r="O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 t="str">
        <x:f>IF(OR(H120="",I120=""),"",H120*I120)</x:f>
      </x:c>
      <x:c r="K120" s="20" t="str">
        <x:f>IF(J120="","",IF(J120&gt;=20,"Critical",IF(J120&gt;=12,"High",IF(J120&gt;=6,"Moderate","Low"))))</x:f>
      </x:c>
      <x:c r="L120" s="20"/>
      <x:c r="M120" s="20"/>
      <x:c r="N120" s="21"/>
      <x:c r="O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 t="str">
        <x:f>IF(OR(H121="",I121=""),"",H121*I121)</x:f>
      </x:c>
      <x:c r="K121" s="20" t="str">
        <x:f>IF(J121="","",IF(J121&gt;=20,"Critical",IF(J121&gt;=12,"High",IF(J121&gt;=6,"Moderate","Low"))))</x:f>
      </x:c>
      <x:c r="L121" s="20"/>
      <x:c r="M121" s="20"/>
      <x:c r="N121" s="21"/>
      <x:c r="O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 t="str">
        <x:f>IF(OR(H122="",I122=""),"",H122*I122)</x:f>
      </x:c>
      <x:c r="K122" s="20" t="str">
        <x:f>IF(J122="","",IF(J122&gt;=20,"Critical",IF(J122&gt;=12,"High",IF(J122&gt;=6,"Moderate","Low"))))</x:f>
      </x:c>
      <x:c r="L122" s="20"/>
      <x:c r="M122" s="20"/>
      <x:c r="N122" s="21"/>
      <x:c r="O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 t="str">
        <x:f>IF(OR(H123="",I123=""),"",H123*I123)</x:f>
      </x:c>
      <x:c r="K123" s="20" t="str">
        <x:f>IF(J123="","",IF(J123&gt;=20,"Critical",IF(J123&gt;=12,"High",IF(J123&gt;=6,"Moderate","Low"))))</x:f>
      </x:c>
      <x:c r="L123" s="20"/>
      <x:c r="M123" s="20"/>
      <x:c r="N123" s="21"/>
      <x:c r="O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 t="str">
        <x:f>IF(OR(H124="",I124=""),"",H124*I124)</x:f>
      </x:c>
      <x:c r="K124" s="20" t="str">
        <x:f>IF(J124="","",IF(J124&gt;=20,"Critical",IF(J124&gt;=12,"High",IF(J124&gt;=6,"Moderate","Low"))))</x:f>
      </x:c>
      <x:c r="L124" s="20"/>
      <x:c r="M124" s="20"/>
      <x:c r="N124" s="21"/>
      <x:c r="O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 t="str">
        <x:f>IF(OR(H125="",I125=""),"",H125*I125)</x:f>
      </x:c>
      <x:c r="K125" s="20" t="str">
        <x:f>IF(J125="","",IF(J125&gt;=20,"Critical",IF(J125&gt;=12,"High",IF(J125&gt;=6,"Moderate","Low"))))</x:f>
      </x:c>
      <x:c r="L125" s="20"/>
      <x:c r="M125" s="20"/>
      <x:c r="N125" s="21"/>
      <x:c r="O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 t="str">
        <x:f>IF(OR(H126="",I126=""),"",H126*I126)</x:f>
      </x:c>
      <x:c r="K126" s="20" t="str">
        <x:f>IF(J126="","",IF(J126&gt;=20,"Critical",IF(J126&gt;=12,"High",IF(J126&gt;=6,"Moderate","Low"))))</x:f>
      </x:c>
      <x:c r="L126" s="20"/>
      <x:c r="M126" s="20"/>
      <x:c r="N126" s="21"/>
      <x:c r="O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 t="str">
        <x:f>IF(OR(H127="",I127=""),"",H127*I127)</x:f>
      </x:c>
      <x:c r="K127" s="20" t="str">
        <x:f>IF(J127="","",IF(J127&gt;=20,"Critical",IF(J127&gt;=12,"High",IF(J127&gt;=6,"Moderate","Low"))))</x:f>
      </x:c>
      <x:c r="L127" s="20"/>
      <x:c r="M127" s="20"/>
      <x:c r="N127" s="21"/>
      <x:c r="O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 t="str">
        <x:f>IF(OR(H128="",I128=""),"",H128*I128)</x:f>
      </x:c>
      <x:c r="K128" s="20" t="str">
        <x:f>IF(J128="","",IF(J128&gt;=20,"Critical",IF(J128&gt;=12,"High",IF(J128&gt;=6,"Moderate","Low"))))</x:f>
      </x:c>
      <x:c r="L128" s="20"/>
      <x:c r="M128" s="20"/>
      <x:c r="N128" s="21"/>
      <x:c r="O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 t="str">
        <x:f>IF(OR(H129="",I129=""),"",H129*I129)</x:f>
      </x:c>
      <x:c r="K129" s="20" t="str">
        <x:f>IF(J129="","",IF(J129&gt;=20,"Critical",IF(J129&gt;=12,"High",IF(J129&gt;=6,"Moderate","Low"))))</x:f>
      </x:c>
      <x:c r="L129" s="20"/>
      <x:c r="M129" s="20"/>
      <x:c r="N129" s="21"/>
      <x:c r="O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 t="str">
        <x:f>IF(OR(H130="",I130=""),"",H130*I130)</x:f>
      </x:c>
      <x:c r="K130" s="20" t="str">
        <x:f>IF(J130="","",IF(J130&gt;=20,"Critical",IF(J130&gt;=12,"High",IF(J130&gt;=6,"Moderate","Low"))))</x:f>
      </x:c>
      <x:c r="L130" s="20"/>
      <x:c r="M130" s="20"/>
      <x:c r="N130" s="21"/>
      <x:c r="O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 t="str">
        <x:f>IF(OR(H131="",I131=""),"",H131*I131)</x:f>
      </x:c>
      <x:c r="K131" s="20" t="str">
        <x:f>IF(J131="","",IF(J131&gt;=20,"Critical",IF(J131&gt;=12,"High",IF(J131&gt;=6,"Moderate","Low"))))</x:f>
      </x:c>
      <x:c r="L131" s="20"/>
      <x:c r="M131" s="20"/>
      <x:c r="N131" s="21"/>
      <x:c r="O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 t="str">
        <x:f>IF(OR(H132="",I132=""),"",H132*I132)</x:f>
      </x:c>
      <x:c r="K132" s="20" t="str">
        <x:f>IF(J132="","",IF(J132&gt;=20,"Critical",IF(J132&gt;=12,"High",IF(J132&gt;=6,"Moderate","Low"))))</x:f>
      </x:c>
      <x:c r="L132" s="20"/>
      <x:c r="M132" s="20"/>
      <x:c r="N132" s="21"/>
      <x:c r="O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 t="str">
        <x:f>IF(OR(H133="",I133=""),"",H133*I133)</x:f>
      </x:c>
      <x:c r="K133" s="20" t="str">
        <x:f>IF(J133="","",IF(J133&gt;=20,"Critical",IF(J133&gt;=12,"High",IF(J133&gt;=6,"Moderate","Low"))))</x:f>
      </x:c>
      <x:c r="L133" s="20"/>
      <x:c r="M133" s="20"/>
      <x:c r="N133" s="21"/>
      <x:c r="O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 t="str">
        <x:f>IF(OR(H134="",I134=""),"",H134*I134)</x:f>
      </x:c>
      <x:c r="K134" s="20" t="str">
        <x:f>IF(J134="","",IF(J134&gt;=20,"Critical",IF(J134&gt;=12,"High",IF(J134&gt;=6,"Moderate","Low"))))</x:f>
      </x:c>
      <x:c r="L134" s="20"/>
      <x:c r="M134" s="20"/>
      <x:c r="N134" s="21"/>
      <x:c r="O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 t="str">
        <x:f>IF(OR(H135="",I135=""),"",H135*I135)</x:f>
      </x:c>
      <x:c r="K135" s="20" t="str">
        <x:f>IF(J135="","",IF(J135&gt;=20,"Critical",IF(J135&gt;=12,"High",IF(J135&gt;=6,"Moderate","Low"))))</x:f>
      </x:c>
      <x:c r="L135" s="20"/>
      <x:c r="M135" s="20"/>
      <x:c r="N135" s="21"/>
      <x:c r="O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 t="str">
        <x:f>IF(OR(H136="",I136=""),"",H136*I136)</x:f>
      </x:c>
      <x:c r="K136" s="20" t="str">
        <x:f>IF(J136="","",IF(J136&gt;=20,"Critical",IF(J136&gt;=12,"High",IF(J136&gt;=6,"Moderate","Low"))))</x:f>
      </x:c>
      <x:c r="L136" s="20"/>
      <x:c r="M136" s="20"/>
      <x:c r="N136" s="21"/>
      <x:c r="O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 t="str">
        <x:f>IF(OR(H137="",I137=""),"",H137*I137)</x:f>
      </x:c>
      <x:c r="K137" s="20" t="str">
        <x:f>IF(J137="","",IF(J137&gt;=20,"Critical",IF(J137&gt;=12,"High",IF(J137&gt;=6,"Moderate","Low"))))</x:f>
      </x:c>
      <x:c r="L137" s="20"/>
      <x:c r="M137" s="20"/>
      <x:c r="N137" s="21"/>
      <x:c r="O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 t="str">
        <x:f>IF(OR(H138="",I138=""),"",H138*I138)</x:f>
      </x:c>
      <x:c r="K138" s="20" t="str">
        <x:f>IF(J138="","",IF(J138&gt;=20,"Critical",IF(J138&gt;=12,"High",IF(J138&gt;=6,"Moderate","Low"))))</x:f>
      </x:c>
      <x:c r="L138" s="20"/>
      <x:c r="M138" s="20"/>
      <x:c r="N138" s="21"/>
      <x:c r="O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 t="str">
        <x:f>IF(OR(H139="",I139=""),"",H139*I139)</x:f>
      </x:c>
      <x:c r="K139" s="20" t="str">
        <x:f>IF(J139="","",IF(J139&gt;=20,"Critical",IF(J139&gt;=12,"High",IF(J139&gt;=6,"Moderate","Low"))))</x:f>
      </x:c>
      <x:c r="L139" s="20"/>
      <x:c r="M139" s="20"/>
      <x:c r="N139" s="21"/>
      <x:c r="O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 t="str">
        <x:f>IF(OR(H140="",I140=""),"",H140*I140)</x:f>
      </x:c>
      <x:c r="K140" s="20" t="str">
        <x:f>IF(J140="","",IF(J140&gt;=20,"Critical",IF(J140&gt;=12,"High",IF(J140&gt;=6,"Moderate","Low"))))</x:f>
      </x:c>
      <x:c r="L140" s="20"/>
      <x:c r="M140" s="20"/>
      <x:c r="N140" s="21"/>
      <x:c r="O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 t="str">
        <x:f>IF(OR(H141="",I141=""),"",H141*I141)</x:f>
      </x:c>
      <x:c r="K141" s="20" t="str">
        <x:f>IF(J141="","",IF(J141&gt;=20,"Critical",IF(J141&gt;=12,"High",IF(J141&gt;=6,"Moderate","Low"))))</x:f>
      </x:c>
      <x:c r="L141" s="20"/>
      <x:c r="M141" s="20"/>
      <x:c r="N141" s="21"/>
      <x:c r="O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 t="str">
        <x:f>IF(OR(H142="",I142=""),"",H142*I142)</x:f>
      </x:c>
      <x:c r="K142" s="20" t="str">
        <x:f>IF(J142="","",IF(J142&gt;=20,"Critical",IF(J142&gt;=12,"High",IF(J142&gt;=6,"Moderate","Low"))))</x:f>
      </x:c>
      <x:c r="L142" s="20"/>
      <x:c r="M142" s="20"/>
      <x:c r="N142" s="21"/>
      <x:c r="O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 t="str">
        <x:f>IF(OR(H143="",I143=""),"",H143*I143)</x:f>
      </x:c>
      <x:c r="K143" s="20" t="str">
        <x:f>IF(J143="","",IF(J143&gt;=20,"Critical",IF(J143&gt;=12,"High",IF(J143&gt;=6,"Moderate","Low"))))</x:f>
      </x:c>
      <x:c r="L143" s="20"/>
      <x:c r="M143" s="20"/>
      <x:c r="N143" s="21"/>
      <x:c r="O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 t="str">
        <x:f>IF(OR(H144="",I144=""),"",H144*I144)</x:f>
      </x:c>
      <x:c r="K144" s="20" t="str">
        <x:f>IF(J144="","",IF(J144&gt;=20,"Critical",IF(J144&gt;=12,"High",IF(J144&gt;=6,"Moderate","Low"))))</x:f>
      </x:c>
      <x:c r="L144" s="20"/>
      <x:c r="M144" s="20"/>
      <x:c r="N144" s="21"/>
      <x:c r="O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 t="str">
        <x:f>IF(OR(H145="",I145=""),"",H145*I145)</x:f>
      </x:c>
      <x:c r="K145" s="20" t="str">
        <x:f>IF(J145="","",IF(J145&gt;=20,"Critical",IF(J145&gt;=12,"High",IF(J145&gt;=6,"Moderate","Low"))))</x:f>
      </x:c>
      <x:c r="L145" s="20"/>
      <x:c r="M145" s="20"/>
      <x:c r="N145" s="21"/>
      <x:c r="O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 t="str">
        <x:f>IF(OR(H146="",I146=""),"",H146*I146)</x:f>
      </x:c>
      <x:c r="K146" s="20" t="str">
        <x:f>IF(J146="","",IF(J146&gt;=20,"Critical",IF(J146&gt;=12,"High",IF(J146&gt;=6,"Moderate","Low"))))</x:f>
      </x:c>
      <x:c r="L146" s="20"/>
      <x:c r="M146" s="20"/>
      <x:c r="N146" s="21"/>
      <x:c r="O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 t="str">
        <x:f>IF(OR(H147="",I147=""),"",H147*I147)</x:f>
      </x:c>
      <x:c r="K147" s="20" t="str">
        <x:f>IF(J147="","",IF(J147&gt;=20,"Critical",IF(J147&gt;=12,"High",IF(J147&gt;=6,"Moderate","Low"))))</x:f>
      </x:c>
      <x:c r="L147" s="20"/>
      <x:c r="M147" s="20"/>
      <x:c r="N147" s="21"/>
      <x:c r="O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 t="str">
        <x:f>IF(OR(H148="",I148=""),"",H148*I148)</x:f>
      </x:c>
      <x:c r="K148" s="20" t="str">
        <x:f>IF(J148="","",IF(J148&gt;=20,"Critical",IF(J148&gt;=12,"High",IF(J148&gt;=6,"Moderate","Low"))))</x:f>
      </x:c>
      <x:c r="L148" s="20"/>
      <x:c r="M148" s="20"/>
      <x:c r="N148" s="21"/>
      <x:c r="O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 t="str">
        <x:f>IF(OR(H149="",I149=""),"",H149*I149)</x:f>
      </x:c>
      <x:c r="K149" s="20" t="str">
        <x:f>IF(J149="","",IF(J149&gt;=20,"Critical",IF(J149&gt;=12,"High",IF(J149&gt;=6,"Moderate","Low"))))</x:f>
      </x:c>
      <x:c r="L149" s="20"/>
      <x:c r="M149" s="20"/>
      <x:c r="N149" s="21"/>
      <x:c r="O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 t="str">
        <x:f>IF(OR(H150="",I150=""),"",H150*I150)</x:f>
      </x:c>
      <x:c r="K150" s="20" t="str">
        <x:f>IF(J150="","",IF(J150&gt;=20,"Critical",IF(J150&gt;=12,"High",IF(J150&gt;=6,"Moderate","Low"))))</x:f>
      </x:c>
      <x:c r="L150" s="20"/>
      <x:c r="M150" s="20"/>
      <x:c r="N150" s="21"/>
      <x:c r="O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 t="str">
        <x:f>IF(OR(H151="",I151=""),"",H151*I151)</x:f>
      </x:c>
      <x:c r="K151" s="20" t="str">
        <x:f>IF(J151="","",IF(J151&gt;=20,"Critical",IF(J151&gt;=12,"High",IF(J151&gt;=6,"Moderate","Low"))))</x:f>
      </x:c>
      <x:c r="L151" s="20"/>
      <x:c r="M151" s="20"/>
      <x:c r="N151" s="21"/>
      <x:c r="O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 t="str">
        <x:f>IF(OR(H152="",I152=""),"",H152*I152)</x:f>
      </x:c>
      <x:c r="K152" s="20" t="str">
        <x:f>IF(J152="","",IF(J152&gt;=20,"Critical",IF(J152&gt;=12,"High",IF(J152&gt;=6,"Moderate","Low"))))</x:f>
      </x:c>
      <x:c r="L152" s="20"/>
      <x:c r="M152" s="20"/>
      <x:c r="N152" s="21"/>
      <x:c r="O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 t="str">
        <x:f>IF(OR(H153="",I153=""),"",H153*I153)</x:f>
      </x:c>
      <x:c r="K153" s="20" t="str">
        <x:f>IF(J153="","",IF(J153&gt;=20,"Critical",IF(J153&gt;=12,"High",IF(J153&gt;=6,"Moderate","Low"))))</x:f>
      </x:c>
      <x:c r="L153" s="20"/>
      <x:c r="M153" s="20"/>
      <x:c r="N153" s="21"/>
      <x:c r="O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 t="str">
        <x:f>IF(OR(H154="",I154=""),"",H154*I154)</x:f>
      </x:c>
      <x:c r="K154" s="20" t="str">
        <x:f>IF(J154="","",IF(J154&gt;=20,"Critical",IF(J154&gt;=12,"High",IF(J154&gt;=6,"Moderate","Low"))))</x:f>
      </x:c>
      <x:c r="L154" s="20"/>
      <x:c r="M154" s="20"/>
      <x:c r="N154" s="21"/>
      <x:c r="O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 t="str">
        <x:f>IF(OR(H155="",I155=""),"",H155*I155)</x:f>
      </x:c>
      <x:c r="K155" s="20" t="str">
        <x:f>IF(J155="","",IF(J155&gt;=20,"Critical",IF(J155&gt;=12,"High",IF(J155&gt;=6,"Moderate","Low"))))</x:f>
      </x:c>
      <x:c r="L155" s="20"/>
      <x:c r="M155" s="20"/>
      <x:c r="N155" s="21"/>
      <x:c r="O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 t="str">
        <x:f>IF(OR(H156="",I156=""),"",H156*I156)</x:f>
      </x:c>
      <x:c r="K156" s="20" t="str">
        <x:f>IF(J156="","",IF(J156&gt;=20,"Critical",IF(J156&gt;=12,"High",IF(J156&gt;=6,"Moderate","Low"))))</x:f>
      </x:c>
      <x:c r="L156" s="20"/>
      <x:c r="M156" s="20"/>
      <x:c r="N156" s="21"/>
      <x:c r="O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 t="str">
        <x:f>IF(OR(H157="",I157=""),"",H157*I157)</x:f>
      </x:c>
      <x:c r="K157" s="20" t="str">
        <x:f>IF(J157="","",IF(J157&gt;=20,"Critical",IF(J157&gt;=12,"High",IF(J157&gt;=6,"Moderate","Low"))))</x:f>
      </x:c>
      <x:c r="L157" s="20"/>
      <x:c r="M157" s="20"/>
      <x:c r="N157" s="21"/>
      <x:c r="O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 t="str">
        <x:f>IF(OR(H158="",I158=""),"",H158*I158)</x:f>
      </x:c>
      <x:c r="K158" s="20" t="str">
        <x:f>IF(J158="","",IF(J158&gt;=20,"Critical",IF(J158&gt;=12,"High",IF(J158&gt;=6,"Moderate","Low"))))</x:f>
      </x:c>
      <x:c r="L158" s="20"/>
      <x:c r="M158" s="20"/>
      <x:c r="N158" s="21"/>
      <x:c r="O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 t="str">
        <x:f>IF(OR(H159="",I159=""),"",H159*I159)</x:f>
      </x:c>
      <x:c r="K159" s="20" t="str">
        <x:f>IF(J159="","",IF(J159&gt;=20,"Critical",IF(J159&gt;=12,"High",IF(J159&gt;=6,"Moderate","Low"))))</x:f>
      </x:c>
      <x:c r="L159" s="20"/>
      <x:c r="M159" s="20"/>
      <x:c r="N159" s="21"/>
      <x:c r="O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 t="str">
        <x:f>IF(OR(H160="",I160=""),"",H160*I160)</x:f>
      </x:c>
      <x:c r="K160" s="20" t="str">
        <x:f>IF(J160="","",IF(J160&gt;=20,"Critical",IF(J160&gt;=12,"High",IF(J160&gt;=6,"Moderate","Low"))))</x:f>
      </x:c>
      <x:c r="L160" s="20"/>
      <x:c r="M160" s="20"/>
      <x:c r="N160" s="21"/>
      <x:c r="O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 t="str">
        <x:f>IF(OR(H161="",I161=""),"",H161*I161)</x:f>
      </x:c>
      <x:c r="K161" s="20" t="str">
        <x:f>IF(J161="","",IF(J161&gt;=20,"Critical",IF(J161&gt;=12,"High",IF(J161&gt;=6,"Moderate","Low"))))</x:f>
      </x:c>
      <x:c r="L161" s="20"/>
      <x:c r="M161" s="20"/>
      <x:c r="N161" s="21"/>
      <x:c r="O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 t="str">
        <x:f>IF(OR(H162="",I162=""),"",H162*I162)</x:f>
      </x:c>
      <x:c r="K162" s="20" t="str">
        <x:f>IF(J162="","",IF(J162&gt;=20,"Critical",IF(J162&gt;=12,"High",IF(J162&gt;=6,"Moderate","Low"))))</x:f>
      </x:c>
      <x:c r="L162" s="20"/>
      <x:c r="M162" s="20"/>
      <x:c r="N162" s="21"/>
      <x:c r="O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 t="str">
        <x:f>IF(OR(H163="",I163=""),"",H163*I163)</x:f>
      </x:c>
      <x:c r="K163" s="20" t="str">
        <x:f>IF(J163="","",IF(J163&gt;=20,"Critical",IF(J163&gt;=12,"High",IF(J163&gt;=6,"Moderate","Low"))))</x:f>
      </x:c>
      <x:c r="L163" s="20"/>
      <x:c r="M163" s="20"/>
      <x:c r="N163" s="21"/>
      <x:c r="O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 t="str">
        <x:f>IF(OR(H164="",I164=""),"",H164*I164)</x:f>
      </x:c>
      <x:c r="K164" s="20" t="str">
        <x:f>IF(J164="","",IF(J164&gt;=20,"Critical",IF(J164&gt;=12,"High",IF(J164&gt;=6,"Moderate","Low"))))</x:f>
      </x:c>
      <x:c r="L164" s="20"/>
      <x:c r="M164" s="20"/>
      <x:c r="N164" s="21"/>
      <x:c r="O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 t="str">
        <x:f>IF(OR(H165="",I165=""),"",H165*I165)</x:f>
      </x:c>
      <x:c r="K165" s="20" t="str">
        <x:f>IF(J165="","",IF(J165&gt;=20,"Critical",IF(J165&gt;=12,"High",IF(J165&gt;=6,"Moderate","Low"))))</x:f>
      </x:c>
      <x:c r="L165" s="20"/>
      <x:c r="M165" s="20"/>
      <x:c r="N165" s="21"/>
      <x:c r="O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 t="str">
        <x:f>IF(OR(H166="",I166=""),"",H166*I166)</x:f>
      </x:c>
      <x:c r="K166" s="20" t="str">
        <x:f>IF(J166="","",IF(J166&gt;=20,"Critical",IF(J166&gt;=12,"High",IF(J166&gt;=6,"Moderate","Low"))))</x:f>
      </x:c>
      <x:c r="L166" s="20"/>
      <x:c r="M166" s="20"/>
      <x:c r="N166" s="21"/>
      <x:c r="O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 t="str">
        <x:f>IF(OR(H167="",I167=""),"",H167*I167)</x:f>
      </x:c>
      <x:c r="K167" s="20" t="str">
        <x:f>IF(J167="","",IF(J167&gt;=20,"Critical",IF(J167&gt;=12,"High",IF(J167&gt;=6,"Moderate","Low"))))</x:f>
      </x:c>
      <x:c r="L167" s="20"/>
      <x:c r="M167" s="20"/>
      <x:c r="N167" s="21"/>
      <x:c r="O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 t="str">
        <x:f>IF(OR(H168="",I168=""),"",H168*I168)</x:f>
      </x:c>
      <x:c r="K168" s="20" t="str">
        <x:f>IF(J168="","",IF(J168&gt;=20,"Critical",IF(J168&gt;=12,"High",IF(J168&gt;=6,"Moderate","Low"))))</x:f>
      </x:c>
      <x:c r="L168" s="20"/>
      <x:c r="M168" s="20"/>
      <x:c r="N168" s="21"/>
      <x:c r="O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 t="str">
        <x:f>IF(OR(H169="",I169=""),"",H169*I169)</x:f>
      </x:c>
      <x:c r="K169" s="20" t="str">
        <x:f>IF(J169="","",IF(J169&gt;=20,"Critical",IF(J169&gt;=12,"High",IF(J169&gt;=6,"Moderate","Low"))))</x:f>
      </x:c>
      <x:c r="L169" s="20"/>
      <x:c r="M169" s="20"/>
      <x:c r="N169" s="21"/>
      <x:c r="O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 t="str">
        <x:f>IF(OR(H170="",I170=""),"",H170*I170)</x:f>
      </x:c>
      <x:c r="K170" s="20" t="str">
        <x:f>IF(J170="","",IF(J170&gt;=20,"Critical",IF(J170&gt;=12,"High",IF(J170&gt;=6,"Moderate","Low"))))</x:f>
      </x:c>
      <x:c r="L170" s="20"/>
      <x:c r="M170" s="20"/>
      <x:c r="N170" s="21"/>
      <x:c r="O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 t="str">
        <x:f>IF(OR(H171="",I171=""),"",H171*I171)</x:f>
      </x:c>
      <x:c r="K171" s="20" t="str">
        <x:f>IF(J171="","",IF(J171&gt;=20,"Critical",IF(J171&gt;=12,"High",IF(J171&gt;=6,"Moderate","Low"))))</x:f>
      </x:c>
      <x:c r="L171" s="20"/>
      <x:c r="M171" s="20"/>
      <x:c r="N171" s="21"/>
      <x:c r="O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 t="str">
        <x:f>IF(OR(H172="",I172=""),"",H172*I172)</x:f>
      </x:c>
      <x:c r="K172" s="20" t="str">
        <x:f>IF(J172="","",IF(J172&gt;=20,"Critical",IF(J172&gt;=12,"High",IF(J172&gt;=6,"Moderate","Low"))))</x:f>
      </x:c>
      <x:c r="L172" s="20"/>
      <x:c r="M172" s="20"/>
      <x:c r="N172" s="21"/>
      <x:c r="O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 t="str">
        <x:f>IF(OR(H173="",I173=""),"",H173*I173)</x:f>
      </x:c>
      <x:c r="K173" s="20" t="str">
        <x:f>IF(J173="","",IF(J173&gt;=20,"Critical",IF(J173&gt;=12,"High",IF(J173&gt;=6,"Moderate","Low"))))</x:f>
      </x:c>
      <x:c r="L173" s="20"/>
      <x:c r="M173" s="20"/>
      <x:c r="N173" s="21"/>
      <x:c r="O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 t="str">
        <x:f>IF(OR(H174="",I174=""),"",H174*I174)</x:f>
      </x:c>
      <x:c r="K174" s="20" t="str">
        <x:f>IF(J174="","",IF(J174&gt;=20,"Critical",IF(J174&gt;=12,"High",IF(J174&gt;=6,"Moderate","Low"))))</x:f>
      </x:c>
      <x:c r="L174" s="20"/>
      <x:c r="M174" s="20"/>
      <x:c r="N174" s="21"/>
      <x:c r="O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 t="str">
        <x:f>IF(OR(H175="",I175=""),"",H175*I175)</x:f>
      </x:c>
      <x:c r="K175" s="20" t="str">
        <x:f>IF(J175="","",IF(J175&gt;=20,"Critical",IF(J175&gt;=12,"High",IF(J175&gt;=6,"Moderate","Low"))))</x:f>
      </x:c>
      <x:c r="L175" s="20"/>
      <x:c r="M175" s="20"/>
      <x:c r="N175" s="21"/>
      <x:c r="O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 t="str">
        <x:f>IF(OR(H176="",I176=""),"",H176*I176)</x:f>
      </x:c>
      <x:c r="K176" s="20" t="str">
        <x:f>IF(J176="","",IF(J176&gt;=20,"Critical",IF(J176&gt;=12,"High",IF(J176&gt;=6,"Moderate","Low"))))</x:f>
      </x:c>
      <x:c r="L176" s="20"/>
      <x:c r="M176" s="20"/>
      <x:c r="N176" s="21"/>
      <x:c r="O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 t="str">
        <x:f>IF(OR(H177="",I177=""),"",H177*I177)</x:f>
      </x:c>
      <x:c r="K177" s="20" t="str">
        <x:f>IF(J177="","",IF(J177&gt;=20,"Critical",IF(J177&gt;=12,"High",IF(J177&gt;=6,"Moderate","Low"))))</x:f>
      </x:c>
      <x:c r="L177" s="20"/>
      <x:c r="M177" s="20"/>
      <x:c r="N177" s="21"/>
      <x:c r="O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 t="str">
        <x:f>IF(OR(H178="",I178=""),"",H178*I178)</x:f>
      </x:c>
      <x:c r="K178" s="20" t="str">
        <x:f>IF(J178="","",IF(J178&gt;=20,"Critical",IF(J178&gt;=12,"High",IF(J178&gt;=6,"Moderate","Low"))))</x:f>
      </x:c>
      <x:c r="L178" s="20"/>
      <x:c r="M178" s="20"/>
      <x:c r="N178" s="21"/>
      <x:c r="O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 t="str">
        <x:f>IF(OR(H179="",I179=""),"",H179*I179)</x:f>
      </x:c>
      <x:c r="K179" s="20" t="str">
        <x:f>IF(J179="","",IF(J179&gt;=20,"Critical",IF(J179&gt;=12,"High",IF(J179&gt;=6,"Moderate","Low"))))</x:f>
      </x:c>
      <x:c r="L179" s="20"/>
      <x:c r="M179" s="20"/>
      <x:c r="N179" s="21"/>
      <x:c r="O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 t="str">
        <x:f>IF(OR(H180="",I180=""),"",H180*I180)</x:f>
      </x:c>
      <x:c r="K180" s="20" t="str">
        <x:f>IF(J180="","",IF(J180&gt;=20,"Critical",IF(J180&gt;=12,"High",IF(J180&gt;=6,"Moderate","Low"))))</x:f>
      </x:c>
      <x:c r="L180" s="20"/>
      <x:c r="M180" s="20"/>
      <x:c r="N180" s="21"/>
      <x:c r="O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 t="str">
        <x:f>IF(OR(H181="",I181=""),"",H181*I181)</x:f>
      </x:c>
      <x:c r="K181" s="20" t="str">
        <x:f>IF(J181="","",IF(J181&gt;=20,"Critical",IF(J181&gt;=12,"High",IF(J181&gt;=6,"Moderate","Low"))))</x:f>
      </x:c>
      <x:c r="L181" s="20"/>
      <x:c r="M181" s="20"/>
      <x:c r="N181" s="21"/>
      <x:c r="O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 t="str">
        <x:f>IF(OR(H182="",I182=""),"",H182*I182)</x:f>
      </x:c>
      <x:c r="K182" s="20" t="str">
        <x:f>IF(J182="","",IF(J182&gt;=20,"Critical",IF(J182&gt;=12,"High",IF(J182&gt;=6,"Moderate","Low"))))</x:f>
      </x:c>
      <x:c r="L182" s="20"/>
      <x:c r="M182" s="20"/>
      <x:c r="N182" s="21"/>
      <x:c r="O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 t="str">
        <x:f>IF(OR(H183="",I183=""),"",H183*I183)</x:f>
      </x:c>
      <x:c r="K183" s="20" t="str">
        <x:f>IF(J183="","",IF(J183&gt;=20,"Critical",IF(J183&gt;=12,"High",IF(J183&gt;=6,"Moderate","Low"))))</x:f>
      </x:c>
      <x:c r="L183" s="20"/>
      <x:c r="M183" s="20"/>
      <x:c r="N183" s="21"/>
      <x:c r="O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 t="str">
        <x:f>IF(OR(H184="",I184=""),"",H184*I184)</x:f>
      </x:c>
      <x:c r="K184" s="20" t="str">
        <x:f>IF(J184="","",IF(J184&gt;=20,"Critical",IF(J184&gt;=12,"High",IF(J184&gt;=6,"Moderate","Low"))))</x:f>
      </x:c>
      <x:c r="L184" s="20"/>
      <x:c r="M184" s="20"/>
      <x:c r="N184" s="21"/>
      <x:c r="O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 t="str">
        <x:f>IF(OR(H185="",I185=""),"",H185*I185)</x:f>
      </x:c>
      <x:c r="K185" s="20" t="str">
        <x:f>IF(J185="","",IF(J185&gt;=20,"Critical",IF(J185&gt;=12,"High",IF(J185&gt;=6,"Moderate","Low"))))</x:f>
      </x:c>
      <x:c r="L185" s="20"/>
      <x:c r="M185" s="20"/>
      <x:c r="N185" s="21"/>
      <x:c r="O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 t="str">
        <x:f>IF(OR(H186="",I186=""),"",H186*I186)</x:f>
      </x:c>
      <x:c r="K186" s="20" t="str">
        <x:f>IF(J186="","",IF(J186&gt;=20,"Critical",IF(J186&gt;=12,"High",IF(J186&gt;=6,"Moderate","Low"))))</x:f>
      </x:c>
      <x:c r="L186" s="20"/>
      <x:c r="M186" s="20"/>
      <x:c r="N186" s="21"/>
      <x:c r="O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 t="str">
        <x:f>IF(OR(H187="",I187=""),"",H187*I187)</x:f>
      </x:c>
      <x:c r="K187" s="20" t="str">
        <x:f>IF(J187="","",IF(J187&gt;=20,"Critical",IF(J187&gt;=12,"High",IF(J187&gt;=6,"Moderate","Low"))))</x:f>
      </x:c>
      <x:c r="L187" s="20"/>
      <x:c r="M187" s="20"/>
      <x:c r="N187" s="21"/>
      <x:c r="O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 t="str">
        <x:f>IF(OR(H188="",I188=""),"",H188*I188)</x:f>
      </x:c>
      <x:c r="K188" s="20" t="str">
        <x:f>IF(J188="","",IF(J188&gt;=20,"Critical",IF(J188&gt;=12,"High",IF(J188&gt;=6,"Moderate","Low"))))</x:f>
      </x:c>
      <x:c r="L188" s="20"/>
      <x:c r="M188" s="20"/>
      <x:c r="N188" s="21"/>
      <x:c r="O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 t="str">
        <x:f>IF(OR(H189="",I189=""),"",H189*I189)</x:f>
      </x:c>
      <x:c r="K189" s="20" t="str">
        <x:f>IF(J189="","",IF(J189&gt;=20,"Critical",IF(J189&gt;=12,"High",IF(J189&gt;=6,"Moderate","Low"))))</x:f>
      </x:c>
      <x:c r="L189" s="20"/>
      <x:c r="M189" s="20"/>
      <x:c r="N189" s="21"/>
      <x:c r="O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 t="str">
        <x:f>IF(OR(H190="",I190=""),"",H190*I190)</x:f>
      </x:c>
      <x:c r="K190" s="20" t="str">
        <x:f>IF(J190="","",IF(J190&gt;=20,"Critical",IF(J190&gt;=12,"High",IF(J190&gt;=6,"Moderate","Low"))))</x:f>
      </x:c>
      <x:c r="L190" s="20"/>
      <x:c r="M190" s="20"/>
      <x:c r="N190" s="21"/>
      <x:c r="O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 t="str">
        <x:f>IF(OR(H191="",I191=""),"",H191*I191)</x:f>
      </x:c>
      <x:c r="K191" s="20" t="str">
        <x:f>IF(J191="","",IF(J191&gt;=20,"Critical",IF(J191&gt;=12,"High",IF(J191&gt;=6,"Moderate","Low"))))</x:f>
      </x:c>
      <x:c r="L191" s="20"/>
      <x:c r="M191" s="20"/>
      <x:c r="N191" s="21"/>
      <x:c r="O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 t="str">
        <x:f>IF(OR(H192="",I192=""),"",H192*I192)</x:f>
      </x:c>
      <x:c r="K192" s="20" t="str">
        <x:f>IF(J192="","",IF(J192&gt;=20,"Critical",IF(J192&gt;=12,"High",IF(J192&gt;=6,"Moderate","Low"))))</x:f>
      </x:c>
      <x:c r="L192" s="20"/>
      <x:c r="M192" s="20"/>
      <x:c r="N192" s="21"/>
      <x:c r="O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 t="str">
        <x:f>IF(OR(H193="",I193=""),"",H193*I193)</x:f>
      </x:c>
      <x:c r="K193" s="20" t="str">
        <x:f>IF(J193="","",IF(J193&gt;=20,"Critical",IF(J193&gt;=12,"High",IF(J193&gt;=6,"Moderate","Low"))))</x:f>
      </x:c>
      <x:c r="L193" s="20"/>
      <x:c r="M193" s="20"/>
      <x:c r="N193" s="21"/>
      <x:c r="O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 t="str">
        <x:f>IF(OR(H194="",I194=""),"",H194*I194)</x:f>
      </x:c>
      <x:c r="K194" s="20" t="str">
        <x:f>IF(J194="","",IF(J194&gt;=20,"Critical",IF(J194&gt;=12,"High",IF(J194&gt;=6,"Moderate","Low"))))</x:f>
      </x:c>
      <x:c r="L194" s="20"/>
      <x:c r="M194" s="20"/>
      <x:c r="N194" s="21"/>
      <x:c r="O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 t="str">
        <x:f>IF(OR(H195="",I195=""),"",H195*I195)</x:f>
      </x:c>
      <x:c r="K195" s="20" t="str">
        <x:f>IF(J195="","",IF(J195&gt;=20,"Critical",IF(J195&gt;=12,"High",IF(J195&gt;=6,"Moderate","Low"))))</x:f>
      </x:c>
      <x:c r="L195" s="20"/>
      <x:c r="M195" s="20"/>
      <x:c r="N195" s="21"/>
      <x:c r="O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 t="str">
        <x:f>IF(OR(H196="",I196=""),"",H196*I196)</x:f>
      </x:c>
      <x:c r="K196" s="20" t="str">
        <x:f>IF(J196="","",IF(J196&gt;=20,"Critical",IF(J196&gt;=12,"High",IF(J196&gt;=6,"Moderate","Low"))))</x:f>
      </x:c>
      <x:c r="L196" s="20"/>
      <x:c r="M196" s="20"/>
      <x:c r="N196" s="21"/>
      <x:c r="O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 t="str">
        <x:f>IF(OR(H197="",I197=""),"",H197*I197)</x:f>
      </x:c>
      <x:c r="K197" s="20" t="str">
        <x:f>IF(J197="","",IF(J197&gt;=20,"Critical",IF(J197&gt;=12,"High",IF(J197&gt;=6,"Moderate","Low"))))</x:f>
      </x:c>
      <x:c r="L197" s="20"/>
      <x:c r="M197" s="20"/>
      <x:c r="N197" s="21"/>
      <x:c r="O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 t="str">
        <x:f>IF(OR(H198="",I198=""),"",H198*I198)</x:f>
      </x:c>
      <x:c r="K198" s="20" t="str">
        <x:f>IF(J198="","",IF(J198&gt;=20,"Critical",IF(J198&gt;=12,"High",IF(J198&gt;=6,"Moderate","Low"))))</x:f>
      </x:c>
      <x:c r="L198" s="20"/>
      <x:c r="M198" s="20"/>
      <x:c r="N198" s="21"/>
      <x:c r="O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 t="str">
        <x:f>IF(OR(H199="",I199=""),"",H199*I199)</x:f>
      </x:c>
      <x:c r="K199" s="20" t="str">
        <x:f>IF(J199="","",IF(J199&gt;=20,"Critical",IF(J199&gt;=12,"High",IF(J199&gt;=6,"Moderate","Low"))))</x:f>
      </x:c>
      <x:c r="L199" s="20"/>
      <x:c r="M199" s="20"/>
      <x:c r="N199" s="21"/>
      <x:c r="O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 t="str">
        <x:f>IF(OR(H200="",I200=""),"",H200*I200)</x:f>
      </x:c>
      <x:c r="K200" s="20" t="str">
        <x:f>IF(J200="","",IF(J200&gt;=20,"Critical",IF(J200&gt;=12,"High",IF(J200&gt;=6,"Moderate","Low"))))</x:f>
      </x:c>
      <x:c r="L200" s="20"/>
      <x:c r="M200" s="20"/>
      <x:c r="N200" s="21"/>
      <x:c r="O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 t="str">
        <x:f>IF(OR(H201="",I201=""),"",H201*I201)</x:f>
      </x:c>
      <x:c r="K201" s="20" t="str">
        <x:f>IF(J201="","",IF(J201&gt;=20,"Critical",IF(J201&gt;=12,"High",IF(J201&gt;=6,"Moderate","Low"))))</x:f>
      </x:c>
      <x:c r="L201" s="20"/>
      <x:c r="M201" s="20"/>
      <x:c r="N201" s="21"/>
      <x:c r="O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 t="str">
        <x:f>IF(OR(H202="",I202=""),"",H202*I202)</x:f>
      </x:c>
      <x:c r="K202" s="20" t="str">
        <x:f>IF(J202="","",IF(J202&gt;=20,"Critical",IF(J202&gt;=12,"High",IF(J202&gt;=6,"Moderate","Low"))))</x:f>
      </x:c>
      <x:c r="L202" s="20"/>
      <x:c r="M202" s="20"/>
      <x:c r="N202" s="21"/>
      <x:c r="O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 t="str">
        <x:f>IF(OR(H203="",I203=""),"",H203*I203)</x:f>
      </x:c>
      <x:c r="K203" s="20" t="str">
        <x:f>IF(J203="","",IF(J203&gt;=20,"Critical",IF(J203&gt;=12,"High",IF(J203&gt;=6,"Moderate","Low"))))</x:f>
      </x:c>
      <x:c r="L203" s="20"/>
      <x:c r="M203" s="20"/>
      <x:c r="N203" s="21"/>
      <x:c r="O203" s="20"/>
    </x:row>
  </x:sheetData>
  <x:mergeCells>
    <x:mergeCell ref="A1:O1"/>
  </x:mergeCells>
  <x:conditionalFormatting sqref="J4:J203">
    <x:cfRule type="colorScale" priority="1">
      <x:colorScale>
        <x:cfvo type="min"/>
        <x:cfvo type="percentile" val="50"/>
        <x:cfvo type="max"/>
        <x:color rgb="FFD9EAD3"/>
        <x:color rgb="FFFFD966"/>
        <x:color rgb="FFF4CCCC"/>
      </x:colorScale>
    </x:cfRule>
  </x:conditionalFormatting>
  <x:dataValidations count="4">
    <x:dataValidation type="list" sqref="B4:B203">
      <x:formula1>"Physical,Perimeter,Network,Identity,Endpoint,Application,Data,Monitoring,Recovery"</x:formula1>
    </x:dataValidation>
    <x:dataValidation type="list" sqref="E4:F203">
      <x:formula1>"1,2,3,4,5"</x:formula1>
    </x:dataValidation>
    <x:dataValidation type="list" sqref="H4:I203">
      <x:formula1>"1,2,3,4,5"</x:formula1>
    </x:dataValidation>
    <x:dataValidation type="list" sqref="L4:L203">
      <x:formula1>"Low,Moderate,High,Critical"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4" hidden="0" customWidth="1"/>
    <x:col min="4" max="4" width="22" hidden="0" customWidth="1"/>
    <x:col min="5" max="5" width="24" hidden="0" customWidth="1"/>
    <x:col min="6" max="6" width="20" hidden="0" customWidth="1"/>
    <x:col min="7" max="7" width="18" hidden="0" customWidth="1"/>
    <x:col min="8" max="8" width="15" hidden="0" customWidth="1"/>
    <x:col min="9" max="9" width="30" hidden="0" customWidth="1"/>
    <x:col min="10" max="10" width="14" hidden="0" customWidth="1"/>
    <x:col min="11" max="11" width="14" hidden="0" customWidth="1"/>
    <x:col min="12" max="12" width="16" hidden="0" customWidth="1"/>
    <x:col min="13" max="13" width="24" hidden="0" customWidth="1"/>
    <x:col min="14" max="14" width="30" hidden="0" customWidth="1"/>
  </x:cols>
  <x:sheetData>
    <x:row r="1">
      <x:c r="A1" s="4" t="str">
        <x:v>Defense-in-Depth Control Inventory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3">
      <x:c r="A3" s="12" t="str">
        <x:v>Control ID</x:v>
      </x:c>
      <x:c r="B3" s="12" t="str">
        <x:v>Layer</x:v>
      </x:c>
      <x:c r="C3" s="12" t="str">
        <x:v>Control</x:v>
      </x:c>
      <x:c r="D3" s="12" t="str">
        <x:v>Control Type</x:v>
      </x:c>
      <x:c r="E3" s="12" t="str">
        <x:v>Scope</x:v>
      </x:c>
      <x:c r="F3" s="12" t="str">
        <x:v>Owner</x:v>
      </x:c>
      <x:c r="G3" s="12" t="str">
        <x:v>Coverage</x:v>
      </x:c>
      <x:c r="H3" s="12" t="str">
        <x:v>Effectiveness</x:v>
      </x:c>
      <x:c r="I3" s="12" t="str">
        <x:v>Evidence</x:v>
      </x:c>
      <x:c r="J3" s="12" t="str">
        <x:v>Last Test</x:v>
      </x:c>
      <x:c r="K3" s="12" t="str">
        <x:v>Next Test</x:v>
      </x:c>
      <x:c r="L3" s="12" t="str">
        <x:v>Status</x:v>
      </x:c>
      <x:c r="M3" s="12" t="str">
        <x:v>Dependency</x:v>
      </x:c>
      <x:c r="N3" s="12" t="str">
        <x:v>Notes</x:v>
      </x:c>
    </x:row>
    <x:row r="4">
      <x:c r="A4" s="20" t="str">
        <x:v>DC-001</x:v>
      </x:c>
      <x:c r="B4" s="20" t="str">
        <x:v>Physical</x:v>
      </x:c>
      <x:c r="C4" s="20" t="str">
        <x:v>Badge-controlled server-room access</x:v>
      </x:c>
      <x:c r="D4" s="20" t="str">
        <x:v>Preventive</x:v>
      </x:c>
      <x:c r="E4" s="20" t="str">
        <x:v>Primary data center</x:v>
      </x:c>
      <x:c r="F4" s="20" t="str">
        <x:v>Facilities Manager</x:v>
      </x:c>
      <x:c r="G4" s="20" t="str">
        <x:v>Most areas</x:v>
      </x:c>
      <x:c r="H4" s="20" t="n">
        <x:v>4</x:v>
      </x:c>
      <x:c r="I4" s="20" t="str">
        <x:v>Access records</x:v>
      </x:c>
      <x:c r="J4" s="21" t="n">
        <x:v>46143</x:v>
      </x:c>
      <x:c r="K4" s="21" t="n">
        <x:v>46327</x:v>
      </x:c>
      <x:c r="L4" s="20" t="str">
        <x:v>Implemented</x:v>
      </x:c>
      <x:c r="M4" s="20" t="str">
        <x:v>Badge system</x:v>
      </x:c>
      <x:c r="N4" s="20" t="str"/>
    </x:row>
    <x:row r="5">
      <x:c r="A5" s="20" t="str">
        <x:v>DC-002</x:v>
      </x:c>
      <x:c r="B5" s="20" t="str">
        <x:v>Perimeter</x:v>
      </x:c>
      <x:c r="C5" s="20" t="str">
        <x:v>Web application firewall</x:v>
      </x:c>
      <x:c r="D5" s="20" t="str">
        <x:v>Preventive / Detective</x:v>
      </x:c>
      <x:c r="E5" s="20" t="str">
        <x:v>Public applications</x:v>
      </x:c>
      <x:c r="F5" s="20" t="str">
        <x:v>Network Lead</x:v>
      </x:c>
      <x:c r="G5" s="20" t="str">
        <x:v>All public web apps</x:v>
      </x:c>
      <x:c r="H5" s="20" t="n">
        <x:v>4</x:v>
      </x:c>
      <x:c r="I5" s="20" t="str">
        <x:v>WAF configuration and alerts</x:v>
      </x:c>
      <x:c r="J5" s="21" t="n">
        <x:v>46188</x:v>
      </x:c>
      <x:c r="K5" s="21" t="n">
        <x:v>46280</x:v>
      </x:c>
      <x:c r="L5" s="20" t="str">
        <x:v>Implemented</x:v>
      </x:c>
      <x:c r="M5" s="20" t="str">
        <x:v>CDN</x:v>
      </x:c>
      <x:c r="N5" s="20" t="str"/>
    </x:row>
    <x:row r="6">
      <x:c r="A6" s="20" t="str">
        <x:v>DC-003</x:v>
      </x:c>
      <x:c r="B6" s="20" t="str">
        <x:v>Network</x:v>
      </x:c>
      <x:c r="C6" s="20" t="str">
        <x:v>Critical-service segmentation</x:v>
      </x:c>
      <x:c r="D6" s="20" t="str">
        <x:v>Preventive</x:v>
      </x:c>
      <x:c r="E6" s="20" t="str">
        <x:v>Critical workloads</x:v>
      </x:c>
      <x:c r="F6" s="20" t="str">
        <x:v>Network Lead</x:v>
      </x:c>
      <x:c r="G6" s="20" t="str">
        <x:v>Partial</x:v>
      </x:c>
      <x:c r="H6" s="20" t="n">
        <x:v>3</x:v>
      </x:c>
      <x:c r="I6" s="20" t="str">
        <x:v>Firewall policy</x:v>
      </x:c>
      <x:c r="J6" s="21" t="n">
        <x:v>46127</x:v>
      </x:c>
      <x:c r="K6" s="21" t="n">
        <x:v>46310</x:v>
      </x:c>
      <x:c r="L6" s="20" t="str">
        <x:v>In Progress</x:v>
      </x:c>
      <x:c r="M6" s="20" t="str">
        <x:v>Network mapping</x:v>
      </x:c>
      <x:c r="N6" s="20" t="str"/>
    </x:row>
    <x:row r="7">
      <x:c r="A7" s="20" t="str">
        <x:v>DC-004</x:v>
      </x:c>
      <x:c r="B7" s="20" t="str">
        <x:v>Identity</x:v>
      </x:c>
      <x:c r="C7" s="20" t="str">
        <x:v>Multi-factor authentication</x:v>
      </x:c>
      <x:c r="D7" s="20" t="str">
        <x:v>Preventive</x:v>
      </x:c>
      <x:c r="E7" s="20" t="str">
        <x:v>Workforce</x:v>
      </x:c>
      <x:c r="F7" s="20" t="str">
        <x:v>IAM Lead</x:v>
      </x:c>
      <x:c r="G7" s="20" t="str">
        <x:v>95%</x:v>
      </x:c>
      <x:c r="H7" s="20" t="n">
        <x:v>4</x:v>
      </x:c>
      <x:c r="I7" s="20" t="str">
        <x:v>Authentication reports</x:v>
      </x:c>
      <x:c r="J7" s="21" t="n">
        <x:v>46204</x:v>
      </x:c>
      <x:c r="K7" s="21" t="n">
        <x:v>46296</x:v>
      </x:c>
      <x:c r="L7" s="20" t="str">
        <x:v>Implemented</x:v>
      </x:c>
      <x:c r="M7" s="20" t="str">
        <x:v>Identity platform</x:v>
      </x:c>
      <x:c r="N7" s="20" t="str"/>
    </x:row>
    <x:row r="8">
      <x:c r="A8" s="20" t="str">
        <x:v>DC-005</x:v>
      </x:c>
      <x:c r="B8" s="20" t="str">
        <x:v>Identity</x:v>
      </x:c>
      <x:c r="C8" s="20" t="str">
        <x:v>Privileged access review</x:v>
      </x:c>
      <x:c r="D8" s="20" t="str">
        <x:v>Preventive / Detective</x:v>
      </x:c>
      <x:c r="E8" s="20" t="str">
        <x:v>Privileged roles</x:v>
      </x:c>
      <x:c r="F8" s="20" t="str">
        <x:v>IAM Lead</x:v>
      </x:c>
      <x:c r="G8" s="20" t="str">
        <x:v>All privileged roles</x:v>
      </x:c>
      <x:c r="H8" s="20" t="n">
        <x:v>4</x:v>
      </x:c>
      <x:c r="I8" s="20" t="str">
        <x:v>Review records</x:v>
      </x:c>
      <x:c r="J8" s="21" t="n">
        <x:v>46204</x:v>
      </x:c>
      <x:c r="K8" s="21" t="n">
        <x:v>46235</x:v>
      </x:c>
      <x:c r="L8" s="20" t="str">
        <x:v>Implemented</x:v>
      </x:c>
      <x:c r="M8" s="20" t="str">
        <x:v>Managers and owners</x:v>
      </x:c>
      <x:c r="N8" s="20" t="str"/>
    </x:row>
    <x:row r="9">
      <x:c r="A9" s="20" t="str">
        <x:v>DC-006</x:v>
      </x:c>
      <x:c r="B9" s="20" t="str">
        <x:v>Endpoint</x:v>
      </x:c>
      <x:c r="C9" s="20" t="str">
        <x:v>Endpoint detection and response</x:v>
      </x:c>
      <x:c r="D9" s="20" t="str">
        <x:v>Preventive / Detective</x:v>
      </x:c>
      <x:c r="E9" s="20" t="str">
        <x:v>Corporate endpoints</x:v>
      </x:c>
      <x:c r="F9" s="20" t="str">
        <x:v>Endpoint Lead</x:v>
      </x:c>
      <x:c r="G9" s="20" t="str">
        <x:v>94%</x:v>
      </x:c>
      <x:c r="H9" s="20" t="n">
        <x:v>4</x:v>
      </x:c>
      <x:c r="I9" s="20" t="str">
        <x:v>EDR console</x:v>
      </x:c>
      <x:c r="J9" s="21" t="n">
        <x:v>46213</x:v>
      </x:c>
      <x:c r="K9" s="21" t="n">
        <x:v>46244</x:v>
      </x:c>
      <x:c r="L9" s="20" t="str">
        <x:v>Implemented</x:v>
      </x:c>
      <x:c r="M9" s="20" t="str">
        <x:v>Agent health</x:v>
      </x:c>
      <x:c r="N9" s="20" t="str"/>
    </x:row>
    <x:row r="10">
      <x:c r="A10" s="20" t="str">
        <x:v>DC-007</x:v>
      </x:c>
      <x:c r="B10" s="20" t="str">
        <x:v>Application</x:v>
      </x:c>
      <x:c r="C10" s="20" t="str">
        <x:v>Static and dependency scanning</x:v>
      </x:c>
      <x:c r="D10" s="20" t="str">
        <x:v>Preventive / Detective</x:v>
      </x:c>
      <x:c r="E10" s="20" t="str">
        <x:v>Managed applications</x:v>
      </x:c>
      <x:c r="F10" s="20" t="str">
        <x:v>AppSec Lead</x:v>
      </x:c>
      <x:c r="G10" s="20" t="str">
        <x:v>80%</x:v>
      </x:c>
      <x:c r="H10" s="20" t="n">
        <x:v>3</x:v>
      </x:c>
      <x:c r="I10" s="20" t="str">
        <x:v>Pipeline records</x:v>
      </x:c>
      <x:c r="J10" s="21" t="n">
        <x:v>46203</x:v>
      </x:c>
      <x:c r="K10" s="21" t="n">
        <x:v>46295</x:v>
      </x:c>
      <x:c r="L10" s="20" t="str">
        <x:v>In Progress</x:v>
      </x:c>
      <x:c r="M10" s="20" t="str">
        <x:v>CI/CD</x:v>
      </x:c>
      <x:c r="N10" s="20" t="str"/>
    </x:row>
    <x:row r="11">
      <x:c r="A11" s="20" t="str">
        <x:v>DC-008</x:v>
      </x:c>
      <x:c r="B11" s="20" t="str">
        <x:v>Data</x:v>
      </x:c>
      <x:c r="C11" s="20" t="str">
        <x:v>Encryption at rest</x:v>
      </x:c>
      <x:c r="D11" s="20" t="str">
        <x:v>Preventive</x:v>
      </x:c>
      <x:c r="E11" s="20" t="str">
        <x:v>Restricted data systems</x:v>
      </x:c>
      <x:c r="F11" s="20" t="str">
        <x:v>Data Owner</x:v>
      </x:c>
      <x:c r="G11" s="20" t="str">
        <x:v>Most critical systems</x:v>
      </x:c>
      <x:c r="H11" s="20" t="n">
        <x:v>4</x:v>
      </x:c>
      <x:c r="I11" s="20" t="str">
        <x:v>Configuration evidence</x:v>
      </x:c>
      <x:c r="J11" s="21" t="n">
        <x:v>46174</x:v>
      </x:c>
      <x:c r="K11" s="21" t="n">
        <x:v>46357</x:v>
      </x:c>
      <x:c r="L11" s="20" t="str">
        <x:v>Implemented</x:v>
      </x:c>
      <x:c r="M11" s="20" t="str">
        <x:v>Key management</x:v>
      </x:c>
      <x:c r="N11" s="20" t="str"/>
    </x:row>
    <x:row r="12">
      <x:c r="A12" s="20" t="str">
        <x:v>DC-009</x:v>
      </x:c>
      <x:c r="B12" s="20" t="str">
        <x:v>Monitoring</x:v>
      </x:c>
      <x:c r="C12" s="20" t="str">
        <x:v>Central security logging</x:v>
      </x:c>
      <x:c r="D12" s="20" t="str">
        <x:v>Detective</x:v>
      </x:c>
      <x:c r="E12" s="20" t="str">
        <x:v>Critical systems</x:v>
      </x:c>
      <x:c r="F12" s="20" t="str">
        <x:v>SOC Lead</x:v>
      </x:c>
      <x:c r="G12" s="20" t="str">
        <x:v>85%</x:v>
      </x:c>
      <x:c r="H12" s="20" t="n">
        <x:v>4</x:v>
      </x:c>
      <x:c r="I12" s="20" t="str">
        <x:v>SIEM source inventory</x:v>
      </x:c>
      <x:c r="J12" s="21" t="n">
        <x:v>46204</x:v>
      </x:c>
      <x:c r="K12" s="21" t="n">
        <x:v>46266</x:v>
      </x:c>
      <x:c r="L12" s="20" t="str">
        <x:v>In Progress</x:v>
      </x:c>
      <x:c r="M12" s="20" t="str">
        <x:v>Log connectors</x:v>
      </x:c>
      <x:c r="N12" s="20" t="str"/>
    </x:row>
    <x:row r="13">
      <x:c r="A13" s="20" t="str">
        <x:v>DC-010</x:v>
      </x:c>
      <x:c r="B13" s="20" t="str">
        <x:v>Recovery</x:v>
      </x:c>
      <x:c r="C13" s="20" t="str">
        <x:v>Immutable backup copies</x:v>
      </x:c>
      <x:c r="D13" s="20" t="str">
        <x:v>Corrective</x:v>
      </x:c>
      <x:c r="E13" s="20" t="str">
        <x:v>Tier 1 services</x:v>
      </x:c>
      <x:c r="F13" s="20" t="str">
        <x:v>BC Manager</x:v>
      </x:c>
      <x:c r="G13" s="20" t="str">
        <x:v>Critical services</x:v>
      </x:c>
      <x:c r="H13" s="20" t="n">
        <x:v>4</x:v>
      </x:c>
      <x:c r="I13" s="20" t="str">
        <x:v>Backup reports</x:v>
      </x:c>
      <x:c r="J13" s="21" t="n">
        <x:v>46193</x:v>
      </x:c>
      <x:c r="K13" s="21" t="n">
        <x:v>46285</x:v>
      </x:c>
      <x:c r="L13" s="20" t="str">
        <x:v>Implemented</x:v>
      </x:c>
      <x:c r="M13" s="20" t="str">
        <x:v>Backup platform</x:v>
      </x:c>
      <x:c r="N13" s="20" t="str"/>
    </x:row>
    <x:row r="14">
      <x:c r="A14" s="20" t="str">
        <x:v>DC-011</x:v>
      </x:c>
      <x:c r="B14" s="20" t="str">
        <x:v>Recovery</x:v>
      </x:c>
      <x:c r="C14" s="20" t="str">
        <x:v>Incident response exercises</x:v>
      </x:c>
      <x:c r="D14" s="20" t="str">
        <x:v>Corrective</x:v>
      </x:c>
      <x:c r="E14" s="20" t="str">
        <x:v>Enterprise</x:v>
      </x:c>
      <x:c r="F14" s="20" t="str">
        <x:v>CISO</x:v>
      </x:c>
      <x:c r="G14" s="20" t="str">
        <x:v>Annual</x:v>
      </x:c>
      <x:c r="H14" s="20" t="n">
        <x:v>3</x:v>
      </x:c>
      <x:c r="I14" s="20" t="str">
        <x:v>Exercise report</x:v>
      </x:c>
      <x:c r="J14" s="21" t="n">
        <x:v>46096</x:v>
      </x:c>
      <x:c r="K14" s="21" t="n">
        <x:v>46280</x:v>
      </x:c>
      <x:c r="L14" s="20" t="str">
        <x:v>Planned</x:v>
      </x:c>
      <x:c r="M14" s="20" t="str">
        <x:v>Stakeholder availability</x:v>
      </x:c>
      <x:c r="N14" s="20" t="str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1"/>
      <x:c r="K15" s="21"/>
      <x:c r="L15" s="20"/>
      <x:c r="M15" s="20"/>
      <x:c r="N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1"/>
      <x:c r="K16" s="21"/>
      <x:c r="L16" s="20"/>
      <x:c r="M16" s="20"/>
      <x:c r="N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1"/>
      <x:c r="K17" s="21"/>
      <x:c r="L17" s="20"/>
      <x:c r="M17" s="20"/>
      <x:c r="N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1"/>
      <x:c r="K18" s="21"/>
      <x:c r="L18" s="20"/>
      <x:c r="M18" s="20"/>
      <x:c r="N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1"/>
      <x:c r="K19" s="21"/>
      <x:c r="L19" s="20"/>
      <x:c r="M19" s="20"/>
      <x:c r="N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1"/>
      <x:c r="K20" s="21"/>
      <x:c r="L20" s="20"/>
      <x:c r="M20" s="20"/>
      <x:c r="N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1"/>
      <x:c r="K21" s="21"/>
      <x:c r="L21" s="20"/>
      <x:c r="M21" s="20"/>
      <x:c r="N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1"/>
      <x:c r="K22" s="21"/>
      <x:c r="L22" s="20"/>
      <x:c r="M22" s="20"/>
      <x:c r="N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1"/>
      <x:c r="K23" s="21"/>
      <x:c r="L23" s="20"/>
      <x:c r="M23" s="20"/>
      <x:c r="N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1"/>
      <x:c r="K24" s="21"/>
      <x:c r="L24" s="20"/>
      <x:c r="M24" s="20"/>
      <x:c r="N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1"/>
      <x:c r="K25" s="21"/>
      <x:c r="L25" s="20"/>
      <x:c r="M25" s="20"/>
      <x:c r="N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1"/>
      <x:c r="K26" s="21"/>
      <x:c r="L26" s="20"/>
      <x:c r="M26" s="20"/>
      <x:c r="N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1"/>
      <x:c r="K27" s="21"/>
      <x:c r="L27" s="20"/>
      <x:c r="M27" s="20"/>
      <x:c r="N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1"/>
      <x:c r="K28" s="21"/>
      <x:c r="L28" s="20"/>
      <x:c r="M28" s="20"/>
      <x:c r="N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1"/>
      <x:c r="K29" s="21"/>
      <x:c r="L29" s="20"/>
      <x:c r="M29" s="20"/>
      <x:c r="N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1"/>
      <x:c r="K30" s="21"/>
      <x:c r="L30" s="20"/>
      <x:c r="M30" s="20"/>
      <x:c r="N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1"/>
      <x:c r="K31" s="21"/>
      <x:c r="L31" s="20"/>
      <x:c r="M31" s="20"/>
      <x:c r="N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1"/>
      <x:c r="K32" s="21"/>
      <x:c r="L32" s="20"/>
      <x:c r="M32" s="20"/>
      <x:c r="N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1"/>
      <x:c r="K33" s="21"/>
      <x:c r="L33" s="20"/>
      <x:c r="M33" s="20"/>
      <x:c r="N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1"/>
      <x:c r="K34" s="21"/>
      <x:c r="L34" s="20"/>
      <x:c r="M34" s="20"/>
      <x:c r="N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1"/>
      <x:c r="K35" s="21"/>
      <x:c r="L35" s="20"/>
      <x:c r="M35" s="20"/>
      <x:c r="N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1"/>
      <x:c r="K36" s="21"/>
      <x:c r="L36" s="20"/>
      <x:c r="M36" s="20"/>
      <x:c r="N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1"/>
      <x:c r="K37" s="21"/>
      <x:c r="L37" s="20"/>
      <x:c r="M37" s="20"/>
      <x:c r="N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1"/>
      <x:c r="K38" s="21"/>
      <x:c r="L38" s="20"/>
      <x:c r="M38" s="20"/>
      <x:c r="N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1"/>
      <x:c r="K39" s="21"/>
      <x:c r="L39" s="20"/>
      <x:c r="M39" s="20"/>
      <x:c r="N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1"/>
      <x:c r="K40" s="21"/>
      <x:c r="L40" s="20"/>
      <x:c r="M40" s="20"/>
      <x:c r="N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1"/>
      <x:c r="K41" s="21"/>
      <x:c r="L41" s="20"/>
      <x:c r="M41" s="20"/>
      <x:c r="N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1"/>
      <x:c r="K42" s="21"/>
      <x:c r="L42" s="20"/>
      <x:c r="M42" s="20"/>
      <x:c r="N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1"/>
      <x:c r="K43" s="21"/>
      <x:c r="L43" s="20"/>
      <x:c r="M43" s="20"/>
      <x:c r="N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1"/>
      <x:c r="K44" s="21"/>
      <x:c r="L44" s="20"/>
      <x:c r="M44" s="20"/>
      <x:c r="N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1"/>
      <x:c r="K45" s="21"/>
      <x:c r="L45" s="20"/>
      <x:c r="M45" s="20"/>
      <x:c r="N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1"/>
      <x:c r="K46" s="21"/>
      <x:c r="L46" s="20"/>
      <x:c r="M46" s="20"/>
      <x:c r="N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1"/>
      <x:c r="K47" s="21"/>
      <x:c r="L47" s="20"/>
      <x:c r="M47" s="20"/>
      <x:c r="N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1"/>
      <x:c r="K48" s="21"/>
      <x:c r="L48" s="20"/>
      <x:c r="M48" s="20"/>
      <x:c r="N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1"/>
      <x:c r="K49" s="21"/>
      <x:c r="L49" s="20"/>
      <x:c r="M49" s="20"/>
      <x:c r="N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1"/>
      <x:c r="K50" s="21"/>
      <x:c r="L50" s="20"/>
      <x:c r="M50" s="20"/>
      <x:c r="N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1"/>
      <x:c r="K51" s="21"/>
      <x:c r="L51" s="20"/>
      <x:c r="M51" s="20"/>
      <x:c r="N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1"/>
      <x:c r="K52" s="21"/>
      <x:c r="L52" s="20"/>
      <x:c r="M52" s="20"/>
      <x:c r="N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1"/>
      <x:c r="K53" s="21"/>
      <x:c r="L53" s="20"/>
      <x:c r="M53" s="20"/>
      <x:c r="N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1"/>
      <x:c r="K54" s="21"/>
      <x:c r="L54" s="20"/>
      <x:c r="M54" s="20"/>
      <x:c r="N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1"/>
      <x:c r="K55" s="21"/>
      <x:c r="L55" s="20"/>
      <x:c r="M55" s="20"/>
      <x:c r="N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1"/>
      <x:c r="K56" s="21"/>
      <x:c r="L56" s="20"/>
      <x:c r="M56" s="20"/>
      <x:c r="N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1"/>
      <x:c r="K57" s="21"/>
      <x:c r="L57" s="20"/>
      <x:c r="M57" s="20"/>
      <x:c r="N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1"/>
      <x:c r="K58" s="21"/>
      <x:c r="L58" s="20"/>
      <x:c r="M58" s="20"/>
      <x:c r="N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1"/>
      <x:c r="K59" s="21"/>
      <x:c r="L59" s="20"/>
      <x:c r="M59" s="20"/>
      <x:c r="N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1"/>
      <x:c r="K60" s="21"/>
      <x:c r="L60" s="20"/>
      <x:c r="M60" s="20"/>
      <x:c r="N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1"/>
      <x:c r="K61" s="21"/>
      <x:c r="L61" s="20"/>
      <x:c r="M61" s="20"/>
      <x:c r="N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1"/>
      <x:c r="K62" s="21"/>
      <x:c r="L62" s="20"/>
      <x:c r="M62" s="20"/>
      <x:c r="N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1"/>
      <x:c r="K63" s="21"/>
      <x:c r="L63" s="20"/>
      <x:c r="M63" s="20"/>
      <x:c r="N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1"/>
      <x:c r="K64" s="21"/>
      <x:c r="L64" s="20"/>
      <x:c r="M64" s="20"/>
      <x:c r="N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1"/>
      <x:c r="K65" s="21"/>
      <x:c r="L65" s="20"/>
      <x:c r="M65" s="20"/>
      <x:c r="N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1"/>
      <x:c r="K66" s="21"/>
      <x:c r="L66" s="20"/>
      <x:c r="M66" s="20"/>
      <x:c r="N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1"/>
      <x:c r="K67" s="21"/>
      <x:c r="L67" s="20"/>
      <x:c r="M67" s="20"/>
      <x:c r="N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1"/>
      <x:c r="K68" s="21"/>
      <x:c r="L68" s="20"/>
      <x:c r="M68" s="20"/>
      <x:c r="N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1"/>
      <x:c r="K69" s="21"/>
      <x:c r="L69" s="20"/>
      <x:c r="M69" s="20"/>
      <x:c r="N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1"/>
      <x:c r="K70" s="21"/>
      <x:c r="L70" s="20"/>
      <x:c r="M70" s="20"/>
      <x:c r="N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1"/>
      <x:c r="K71" s="21"/>
      <x:c r="L71" s="20"/>
      <x:c r="M71" s="20"/>
      <x:c r="N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1"/>
      <x:c r="K72" s="21"/>
      <x:c r="L72" s="20"/>
      <x:c r="M72" s="20"/>
      <x:c r="N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1"/>
      <x:c r="K73" s="21"/>
      <x:c r="L73" s="20"/>
      <x:c r="M73" s="20"/>
      <x:c r="N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1"/>
      <x:c r="K74" s="21"/>
      <x:c r="L74" s="20"/>
      <x:c r="M74" s="20"/>
      <x:c r="N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1"/>
      <x:c r="K75" s="21"/>
      <x:c r="L75" s="20"/>
      <x:c r="M75" s="20"/>
      <x:c r="N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1"/>
      <x:c r="K76" s="21"/>
      <x:c r="L76" s="20"/>
      <x:c r="M76" s="20"/>
      <x:c r="N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1"/>
      <x:c r="K77" s="21"/>
      <x:c r="L77" s="20"/>
      <x:c r="M77" s="20"/>
      <x:c r="N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1"/>
      <x:c r="K78" s="21"/>
      <x:c r="L78" s="20"/>
      <x:c r="M78" s="20"/>
      <x:c r="N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1"/>
      <x:c r="K79" s="21"/>
      <x:c r="L79" s="20"/>
      <x:c r="M79" s="20"/>
      <x:c r="N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1"/>
      <x:c r="K80" s="21"/>
      <x:c r="L80" s="20"/>
      <x:c r="M80" s="20"/>
      <x:c r="N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1"/>
      <x:c r="K81" s="21"/>
      <x:c r="L81" s="20"/>
      <x:c r="M81" s="20"/>
      <x:c r="N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1"/>
      <x:c r="K82" s="21"/>
      <x:c r="L82" s="20"/>
      <x:c r="M82" s="20"/>
      <x:c r="N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1"/>
      <x:c r="K83" s="21"/>
      <x:c r="L83" s="20"/>
      <x:c r="M83" s="20"/>
      <x:c r="N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1"/>
      <x:c r="K84" s="21"/>
      <x:c r="L84" s="20"/>
      <x:c r="M84" s="20"/>
      <x:c r="N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1"/>
      <x:c r="K85" s="21"/>
      <x:c r="L85" s="20"/>
      <x:c r="M85" s="20"/>
      <x:c r="N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1"/>
      <x:c r="K86" s="21"/>
      <x:c r="L86" s="20"/>
      <x:c r="M86" s="20"/>
      <x:c r="N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1"/>
      <x:c r="K87" s="21"/>
      <x:c r="L87" s="20"/>
      <x:c r="M87" s="20"/>
      <x:c r="N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1"/>
      <x:c r="K88" s="21"/>
      <x:c r="L88" s="20"/>
      <x:c r="M88" s="20"/>
      <x:c r="N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1"/>
      <x:c r="K89" s="21"/>
      <x:c r="L89" s="20"/>
      <x:c r="M89" s="20"/>
      <x:c r="N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1"/>
      <x:c r="K90" s="21"/>
      <x:c r="L90" s="20"/>
      <x:c r="M90" s="20"/>
      <x:c r="N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1"/>
      <x:c r="K91" s="21"/>
      <x:c r="L91" s="20"/>
      <x:c r="M91" s="20"/>
      <x:c r="N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1"/>
      <x:c r="K92" s="21"/>
      <x:c r="L92" s="20"/>
      <x:c r="M92" s="20"/>
      <x:c r="N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1"/>
      <x:c r="K93" s="21"/>
      <x:c r="L93" s="20"/>
      <x:c r="M93" s="20"/>
      <x:c r="N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1"/>
      <x:c r="K94" s="21"/>
      <x:c r="L94" s="20"/>
      <x:c r="M94" s="20"/>
      <x:c r="N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1"/>
      <x:c r="K95" s="21"/>
      <x:c r="L95" s="20"/>
      <x:c r="M95" s="20"/>
      <x:c r="N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1"/>
      <x:c r="K96" s="21"/>
      <x:c r="L96" s="20"/>
      <x:c r="M96" s="20"/>
      <x:c r="N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1"/>
      <x:c r="K97" s="21"/>
      <x:c r="L97" s="20"/>
      <x:c r="M97" s="20"/>
      <x:c r="N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1"/>
      <x:c r="K98" s="21"/>
      <x:c r="L98" s="20"/>
      <x:c r="M98" s="20"/>
      <x:c r="N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1"/>
      <x:c r="K99" s="21"/>
      <x:c r="L99" s="20"/>
      <x:c r="M99" s="20"/>
      <x:c r="N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1"/>
      <x:c r="K100" s="21"/>
      <x:c r="L100" s="20"/>
      <x:c r="M100" s="20"/>
      <x:c r="N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1"/>
      <x:c r="K101" s="21"/>
      <x:c r="L101" s="20"/>
      <x:c r="M101" s="20"/>
      <x:c r="N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1"/>
      <x:c r="K102" s="21"/>
      <x:c r="L102" s="20"/>
      <x:c r="M102" s="20"/>
      <x:c r="N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1"/>
      <x:c r="K103" s="21"/>
      <x:c r="L103" s="20"/>
      <x:c r="M103" s="20"/>
      <x:c r="N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1"/>
      <x:c r="K104" s="21"/>
      <x:c r="L104" s="20"/>
      <x:c r="M104" s="20"/>
      <x:c r="N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1"/>
      <x:c r="K105" s="21"/>
      <x:c r="L105" s="20"/>
      <x:c r="M105" s="20"/>
      <x:c r="N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1"/>
      <x:c r="K106" s="21"/>
      <x:c r="L106" s="20"/>
      <x:c r="M106" s="20"/>
      <x:c r="N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1"/>
      <x:c r="K107" s="21"/>
      <x:c r="L107" s="20"/>
      <x:c r="M107" s="20"/>
      <x:c r="N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1"/>
      <x:c r="K108" s="21"/>
      <x:c r="L108" s="20"/>
      <x:c r="M108" s="20"/>
      <x:c r="N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1"/>
      <x:c r="K109" s="21"/>
      <x:c r="L109" s="20"/>
      <x:c r="M109" s="20"/>
      <x:c r="N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1"/>
      <x:c r="K110" s="21"/>
      <x:c r="L110" s="20"/>
      <x:c r="M110" s="20"/>
      <x:c r="N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1"/>
      <x:c r="K111" s="21"/>
      <x:c r="L111" s="20"/>
      <x:c r="M111" s="20"/>
      <x:c r="N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1"/>
      <x:c r="K112" s="21"/>
      <x:c r="L112" s="20"/>
      <x:c r="M112" s="20"/>
      <x:c r="N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1"/>
      <x:c r="K113" s="21"/>
      <x:c r="L113" s="20"/>
      <x:c r="M113" s="20"/>
      <x:c r="N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1"/>
      <x:c r="K114" s="21"/>
      <x:c r="L114" s="20"/>
      <x:c r="M114" s="20"/>
      <x:c r="N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1"/>
      <x:c r="K115" s="21"/>
      <x:c r="L115" s="20"/>
      <x:c r="M115" s="20"/>
      <x:c r="N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1"/>
      <x:c r="K116" s="21"/>
      <x:c r="L116" s="20"/>
      <x:c r="M116" s="20"/>
      <x:c r="N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1"/>
      <x:c r="K117" s="21"/>
      <x:c r="L117" s="20"/>
      <x:c r="M117" s="20"/>
      <x:c r="N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1"/>
      <x:c r="K118" s="21"/>
      <x:c r="L118" s="20"/>
      <x:c r="M118" s="20"/>
      <x:c r="N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1"/>
      <x:c r="K119" s="21"/>
      <x:c r="L119" s="20"/>
      <x:c r="M119" s="20"/>
      <x:c r="N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1"/>
      <x:c r="K120" s="21"/>
      <x:c r="L120" s="20"/>
      <x:c r="M120" s="20"/>
      <x:c r="N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1"/>
      <x:c r="K121" s="21"/>
      <x:c r="L121" s="20"/>
      <x:c r="M121" s="20"/>
      <x:c r="N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1"/>
      <x:c r="K122" s="21"/>
      <x:c r="L122" s="20"/>
      <x:c r="M122" s="20"/>
      <x:c r="N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1"/>
      <x:c r="K123" s="21"/>
      <x:c r="L123" s="20"/>
      <x:c r="M123" s="20"/>
      <x:c r="N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1"/>
      <x:c r="K124" s="21"/>
      <x:c r="L124" s="20"/>
      <x:c r="M124" s="20"/>
      <x:c r="N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1"/>
      <x:c r="K125" s="21"/>
      <x:c r="L125" s="20"/>
      <x:c r="M125" s="20"/>
      <x:c r="N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1"/>
      <x:c r="K126" s="21"/>
      <x:c r="L126" s="20"/>
      <x:c r="M126" s="20"/>
      <x:c r="N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1"/>
      <x:c r="K127" s="21"/>
      <x:c r="L127" s="20"/>
      <x:c r="M127" s="20"/>
      <x:c r="N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1"/>
      <x:c r="K128" s="21"/>
      <x:c r="L128" s="20"/>
      <x:c r="M128" s="20"/>
      <x:c r="N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1"/>
      <x:c r="K129" s="21"/>
      <x:c r="L129" s="20"/>
      <x:c r="M129" s="20"/>
      <x:c r="N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1"/>
      <x:c r="K130" s="21"/>
      <x:c r="L130" s="20"/>
      <x:c r="M130" s="20"/>
      <x:c r="N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1"/>
      <x:c r="K131" s="21"/>
      <x:c r="L131" s="20"/>
      <x:c r="M131" s="20"/>
      <x:c r="N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1"/>
      <x:c r="K132" s="21"/>
      <x:c r="L132" s="20"/>
      <x:c r="M132" s="20"/>
      <x:c r="N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1"/>
      <x:c r="K133" s="21"/>
      <x:c r="L133" s="20"/>
      <x:c r="M133" s="20"/>
      <x:c r="N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1"/>
      <x:c r="K134" s="21"/>
      <x:c r="L134" s="20"/>
      <x:c r="M134" s="20"/>
      <x:c r="N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1"/>
      <x:c r="K135" s="21"/>
      <x:c r="L135" s="20"/>
      <x:c r="M135" s="20"/>
      <x:c r="N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1"/>
      <x:c r="K136" s="21"/>
      <x:c r="L136" s="20"/>
      <x:c r="M136" s="20"/>
      <x:c r="N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1"/>
      <x:c r="K137" s="21"/>
      <x:c r="L137" s="20"/>
      <x:c r="M137" s="20"/>
      <x:c r="N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1"/>
      <x:c r="K138" s="21"/>
      <x:c r="L138" s="20"/>
      <x:c r="M138" s="20"/>
      <x:c r="N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1"/>
      <x:c r="K139" s="21"/>
      <x:c r="L139" s="20"/>
      <x:c r="M139" s="20"/>
      <x:c r="N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1"/>
      <x:c r="K140" s="21"/>
      <x:c r="L140" s="20"/>
      <x:c r="M140" s="20"/>
      <x:c r="N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1"/>
      <x:c r="K141" s="21"/>
      <x:c r="L141" s="20"/>
      <x:c r="M141" s="20"/>
      <x:c r="N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1"/>
      <x:c r="K142" s="21"/>
      <x:c r="L142" s="20"/>
      <x:c r="M142" s="20"/>
      <x:c r="N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1"/>
      <x:c r="K143" s="21"/>
      <x:c r="L143" s="20"/>
      <x:c r="M143" s="20"/>
      <x:c r="N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1"/>
      <x:c r="K144" s="21"/>
      <x:c r="L144" s="20"/>
      <x:c r="M144" s="20"/>
      <x:c r="N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1"/>
      <x:c r="K145" s="21"/>
      <x:c r="L145" s="20"/>
      <x:c r="M145" s="20"/>
      <x:c r="N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1"/>
      <x:c r="K146" s="21"/>
      <x:c r="L146" s="20"/>
      <x:c r="M146" s="20"/>
      <x:c r="N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1"/>
      <x:c r="K147" s="21"/>
      <x:c r="L147" s="20"/>
      <x:c r="M147" s="20"/>
      <x:c r="N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1"/>
      <x:c r="K148" s="21"/>
      <x:c r="L148" s="20"/>
      <x:c r="M148" s="20"/>
      <x:c r="N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1"/>
      <x:c r="K149" s="21"/>
      <x:c r="L149" s="20"/>
      <x:c r="M149" s="20"/>
      <x:c r="N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1"/>
      <x:c r="K150" s="21"/>
      <x:c r="L150" s="20"/>
      <x:c r="M150" s="20"/>
      <x:c r="N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1"/>
      <x:c r="K151" s="21"/>
      <x:c r="L151" s="20"/>
      <x:c r="M151" s="20"/>
      <x:c r="N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1"/>
      <x:c r="K152" s="21"/>
      <x:c r="L152" s="20"/>
      <x:c r="M152" s="20"/>
      <x:c r="N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1"/>
      <x:c r="K153" s="21"/>
      <x:c r="L153" s="20"/>
      <x:c r="M153" s="20"/>
      <x:c r="N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1"/>
      <x:c r="K154" s="21"/>
      <x:c r="L154" s="20"/>
      <x:c r="M154" s="20"/>
      <x:c r="N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1"/>
      <x:c r="K155" s="21"/>
      <x:c r="L155" s="20"/>
      <x:c r="M155" s="20"/>
      <x:c r="N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1"/>
      <x:c r="K156" s="21"/>
      <x:c r="L156" s="20"/>
      <x:c r="M156" s="20"/>
      <x:c r="N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1"/>
      <x:c r="K157" s="21"/>
      <x:c r="L157" s="20"/>
      <x:c r="M157" s="20"/>
      <x:c r="N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1"/>
      <x:c r="K158" s="21"/>
      <x:c r="L158" s="20"/>
      <x:c r="M158" s="20"/>
      <x:c r="N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1"/>
      <x:c r="K159" s="21"/>
      <x:c r="L159" s="20"/>
      <x:c r="M159" s="20"/>
      <x:c r="N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1"/>
      <x:c r="K160" s="21"/>
      <x:c r="L160" s="20"/>
      <x:c r="M160" s="20"/>
      <x:c r="N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1"/>
      <x:c r="K161" s="21"/>
      <x:c r="L161" s="20"/>
      <x:c r="M161" s="20"/>
      <x:c r="N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1"/>
      <x:c r="K162" s="21"/>
      <x:c r="L162" s="20"/>
      <x:c r="M162" s="20"/>
      <x:c r="N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1"/>
      <x:c r="K163" s="21"/>
      <x:c r="L163" s="20"/>
      <x:c r="M163" s="20"/>
      <x:c r="N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1"/>
      <x:c r="K164" s="21"/>
      <x:c r="L164" s="20"/>
      <x:c r="M164" s="20"/>
      <x:c r="N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1"/>
      <x:c r="K165" s="21"/>
      <x:c r="L165" s="20"/>
      <x:c r="M165" s="20"/>
      <x:c r="N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1"/>
      <x:c r="K166" s="21"/>
      <x:c r="L166" s="20"/>
      <x:c r="M166" s="20"/>
      <x:c r="N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1"/>
      <x:c r="K167" s="21"/>
      <x:c r="L167" s="20"/>
      <x:c r="M167" s="20"/>
      <x:c r="N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1"/>
      <x:c r="K168" s="21"/>
      <x:c r="L168" s="20"/>
      <x:c r="M168" s="20"/>
      <x:c r="N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1"/>
      <x:c r="K169" s="21"/>
      <x:c r="L169" s="20"/>
      <x:c r="M169" s="20"/>
      <x:c r="N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1"/>
      <x:c r="K170" s="21"/>
      <x:c r="L170" s="20"/>
      <x:c r="M170" s="20"/>
      <x:c r="N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1"/>
      <x:c r="K171" s="21"/>
      <x:c r="L171" s="20"/>
      <x:c r="M171" s="20"/>
      <x:c r="N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1"/>
      <x:c r="K172" s="21"/>
      <x:c r="L172" s="20"/>
      <x:c r="M172" s="20"/>
      <x:c r="N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1"/>
      <x:c r="K173" s="21"/>
      <x:c r="L173" s="20"/>
      <x:c r="M173" s="20"/>
      <x:c r="N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1"/>
      <x:c r="K174" s="21"/>
      <x:c r="L174" s="20"/>
      <x:c r="M174" s="20"/>
      <x:c r="N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1"/>
      <x:c r="K175" s="21"/>
      <x:c r="L175" s="20"/>
      <x:c r="M175" s="20"/>
      <x:c r="N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1"/>
      <x:c r="K176" s="21"/>
      <x:c r="L176" s="20"/>
      <x:c r="M176" s="20"/>
      <x:c r="N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1"/>
      <x:c r="K177" s="21"/>
      <x:c r="L177" s="20"/>
      <x:c r="M177" s="20"/>
      <x:c r="N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1"/>
      <x:c r="K178" s="21"/>
      <x:c r="L178" s="20"/>
      <x:c r="M178" s="20"/>
      <x:c r="N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1"/>
      <x:c r="K179" s="21"/>
      <x:c r="L179" s="20"/>
      <x:c r="M179" s="20"/>
      <x:c r="N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1"/>
      <x:c r="K180" s="21"/>
      <x:c r="L180" s="20"/>
      <x:c r="M180" s="20"/>
      <x:c r="N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1"/>
      <x:c r="K181" s="21"/>
      <x:c r="L181" s="20"/>
      <x:c r="M181" s="20"/>
      <x:c r="N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1"/>
      <x:c r="K182" s="21"/>
      <x:c r="L182" s="20"/>
      <x:c r="M182" s="20"/>
      <x:c r="N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1"/>
      <x:c r="K183" s="21"/>
      <x:c r="L183" s="20"/>
      <x:c r="M183" s="20"/>
      <x:c r="N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1"/>
      <x:c r="K184" s="21"/>
      <x:c r="L184" s="20"/>
      <x:c r="M184" s="20"/>
      <x:c r="N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1"/>
      <x:c r="K185" s="21"/>
      <x:c r="L185" s="20"/>
      <x:c r="M185" s="20"/>
      <x:c r="N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1"/>
      <x:c r="K186" s="21"/>
      <x:c r="L186" s="20"/>
      <x:c r="M186" s="20"/>
      <x:c r="N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1"/>
      <x:c r="K187" s="21"/>
      <x:c r="L187" s="20"/>
      <x:c r="M187" s="20"/>
      <x:c r="N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1"/>
      <x:c r="K188" s="21"/>
      <x:c r="L188" s="20"/>
      <x:c r="M188" s="20"/>
      <x:c r="N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1"/>
      <x:c r="K189" s="21"/>
      <x:c r="L189" s="20"/>
      <x:c r="M189" s="20"/>
      <x:c r="N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1"/>
      <x:c r="K190" s="21"/>
      <x:c r="L190" s="20"/>
      <x:c r="M190" s="20"/>
      <x:c r="N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1"/>
      <x:c r="K191" s="21"/>
      <x:c r="L191" s="20"/>
      <x:c r="M191" s="20"/>
      <x:c r="N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1"/>
      <x:c r="K192" s="21"/>
      <x:c r="L192" s="20"/>
      <x:c r="M192" s="20"/>
      <x:c r="N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1"/>
      <x:c r="K193" s="21"/>
      <x:c r="L193" s="20"/>
      <x:c r="M193" s="20"/>
      <x:c r="N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1"/>
      <x:c r="K194" s="21"/>
      <x:c r="L194" s="20"/>
      <x:c r="M194" s="20"/>
      <x:c r="N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1"/>
      <x:c r="K195" s="21"/>
      <x:c r="L195" s="20"/>
      <x:c r="M195" s="20"/>
      <x:c r="N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1"/>
      <x:c r="K196" s="21"/>
      <x:c r="L196" s="20"/>
      <x:c r="M196" s="20"/>
      <x:c r="N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1"/>
      <x:c r="K197" s="21"/>
      <x:c r="L197" s="20"/>
      <x:c r="M197" s="20"/>
      <x:c r="N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1"/>
      <x:c r="K198" s="21"/>
      <x:c r="L198" s="20"/>
      <x:c r="M198" s="20"/>
      <x:c r="N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1"/>
      <x:c r="K199" s="21"/>
      <x:c r="L199" s="20"/>
      <x:c r="M199" s="20"/>
      <x:c r="N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1"/>
      <x:c r="K200" s="21"/>
      <x:c r="L200" s="20"/>
      <x:c r="M200" s="20"/>
      <x:c r="N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1"/>
      <x:c r="K201" s="21"/>
      <x:c r="L201" s="20"/>
      <x:c r="M201" s="20"/>
      <x:c r="N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1"/>
      <x:c r="K202" s="21"/>
      <x:c r="L202" s="20"/>
      <x:c r="M202" s="20"/>
      <x:c r="N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1"/>
      <x:c r="K203" s="21"/>
      <x:c r="L203" s="20"/>
      <x:c r="M203" s="20"/>
      <x:c r="N203" s="20"/>
    </x:row>
    <x:row r="204">
      <x:c r="A204" s="20"/>
      <x:c r="B204" s="20"/>
      <x:c r="C204" s="20"/>
      <x:c r="D204" s="20"/>
      <x:c r="E204" s="20"/>
      <x:c r="F204" s="20"/>
      <x:c r="G204" s="20"/>
      <x:c r="H204" s="20"/>
      <x:c r="I204" s="20"/>
      <x:c r="J204" s="21"/>
      <x:c r="K204" s="21"/>
      <x:c r="L204" s="20"/>
      <x:c r="M204" s="20"/>
      <x:c r="N204" s="20"/>
    </x:row>
    <x:row r="205">
      <x:c r="A205" s="20"/>
      <x:c r="B205" s="20"/>
      <x:c r="C205" s="20"/>
      <x:c r="D205" s="20"/>
      <x:c r="E205" s="20"/>
      <x:c r="F205" s="20"/>
      <x:c r="G205" s="20"/>
      <x:c r="H205" s="20"/>
      <x:c r="I205" s="20"/>
      <x:c r="J205" s="21"/>
      <x:c r="K205" s="21"/>
      <x:c r="L205" s="20"/>
      <x:c r="M205" s="20"/>
      <x:c r="N205" s="20"/>
    </x:row>
    <x:row r="206">
      <x:c r="A206" s="20"/>
      <x:c r="B206" s="20"/>
      <x:c r="C206" s="20"/>
      <x:c r="D206" s="20"/>
      <x:c r="E206" s="20"/>
      <x:c r="F206" s="20"/>
      <x:c r="G206" s="20"/>
      <x:c r="H206" s="20"/>
      <x:c r="I206" s="20"/>
      <x:c r="J206" s="21"/>
      <x:c r="K206" s="21"/>
      <x:c r="L206" s="20"/>
      <x:c r="M206" s="20"/>
      <x:c r="N206" s="20"/>
    </x:row>
    <x:row r="207">
      <x:c r="A207" s="20"/>
      <x:c r="B207" s="20"/>
      <x:c r="C207" s="20"/>
      <x:c r="D207" s="20"/>
      <x:c r="E207" s="20"/>
      <x:c r="F207" s="20"/>
      <x:c r="G207" s="20"/>
      <x:c r="H207" s="20"/>
      <x:c r="I207" s="20"/>
      <x:c r="J207" s="21"/>
      <x:c r="K207" s="21"/>
      <x:c r="L207" s="20"/>
      <x:c r="M207" s="20"/>
      <x:c r="N207" s="20"/>
    </x:row>
    <x:row r="208">
      <x:c r="A208" s="20"/>
      <x:c r="B208" s="20"/>
      <x:c r="C208" s="20"/>
      <x:c r="D208" s="20"/>
      <x:c r="E208" s="20"/>
      <x:c r="F208" s="20"/>
      <x:c r="G208" s="20"/>
      <x:c r="H208" s="20"/>
      <x:c r="I208" s="20"/>
      <x:c r="J208" s="21"/>
      <x:c r="K208" s="21"/>
      <x:c r="L208" s="20"/>
      <x:c r="M208" s="20"/>
      <x:c r="N208" s="20"/>
    </x:row>
    <x:row r="209">
      <x:c r="A209" s="20"/>
      <x:c r="B209" s="20"/>
      <x:c r="C209" s="20"/>
      <x:c r="D209" s="20"/>
      <x:c r="E209" s="20"/>
      <x:c r="F209" s="20"/>
      <x:c r="G209" s="20"/>
      <x:c r="H209" s="20"/>
      <x:c r="I209" s="20"/>
      <x:c r="J209" s="21"/>
      <x:c r="K209" s="21"/>
      <x:c r="L209" s="20"/>
      <x:c r="M209" s="20"/>
      <x:c r="N209" s="20"/>
    </x:row>
    <x:row r="210">
      <x:c r="A210" s="20"/>
      <x:c r="B210" s="20"/>
      <x:c r="C210" s="20"/>
      <x:c r="D210" s="20"/>
      <x:c r="E210" s="20"/>
      <x:c r="F210" s="20"/>
      <x:c r="G210" s="20"/>
      <x:c r="H210" s="20"/>
      <x:c r="I210" s="20"/>
      <x:c r="J210" s="21"/>
      <x:c r="K210" s="21"/>
      <x:c r="L210" s="20"/>
      <x:c r="M210" s="20"/>
      <x:c r="N210" s="20"/>
    </x:row>
    <x:row r="211">
      <x:c r="A211" s="20"/>
      <x:c r="B211" s="20"/>
      <x:c r="C211" s="20"/>
      <x:c r="D211" s="20"/>
      <x:c r="E211" s="20"/>
      <x:c r="F211" s="20"/>
      <x:c r="G211" s="20"/>
      <x:c r="H211" s="20"/>
      <x:c r="I211" s="20"/>
      <x:c r="J211" s="21"/>
      <x:c r="K211" s="21"/>
      <x:c r="L211" s="20"/>
      <x:c r="M211" s="20"/>
      <x:c r="N211" s="20"/>
    </x:row>
    <x:row r="212">
      <x:c r="A212" s="20"/>
      <x:c r="B212" s="20"/>
      <x:c r="C212" s="20"/>
      <x:c r="D212" s="20"/>
      <x:c r="E212" s="20"/>
      <x:c r="F212" s="20"/>
      <x:c r="G212" s="20"/>
      <x:c r="H212" s="20"/>
      <x:c r="I212" s="20"/>
      <x:c r="J212" s="21"/>
      <x:c r="K212" s="21"/>
      <x:c r="L212" s="20"/>
      <x:c r="M212" s="20"/>
      <x:c r="N212" s="20"/>
    </x:row>
    <x:row r="213">
      <x:c r="A213" s="20"/>
      <x:c r="B213" s="20"/>
      <x:c r="C213" s="20"/>
      <x:c r="D213" s="20"/>
      <x:c r="E213" s="20"/>
      <x:c r="F213" s="20"/>
      <x:c r="G213" s="20"/>
      <x:c r="H213" s="20"/>
      <x:c r="I213" s="20"/>
      <x:c r="J213" s="21"/>
      <x:c r="K213" s="21"/>
      <x:c r="L213" s="20"/>
      <x:c r="M213" s="20"/>
      <x:c r="N213" s="20"/>
    </x:row>
    <x:row r="214">
      <x:c r="A214" s="20"/>
      <x:c r="B214" s="20"/>
      <x:c r="C214" s="20"/>
      <x:c r="D214" s="20"/>
      <x:c r="E214" s="20"/>
      <x:c r="F214" s="20"/>
      <x:c r="G214" s="20"/>
      <x:c r="H214" s="20"/>
      <x:c r="I214" s="20"/>
      <x:c r="J214" s="21"/>
      <x:c r="K214" s="21"/>
      <x:c r="L214" s="20"/>
      <x:c r="M214" s="20"/>
      <x:c r="N214" s="20"/>
    </x:row>
    <x:row r="215">
      <x:c r="A215" s="20"/>
      <x:c r="B215" s="20"/>
      <x:c r="C215" s="20"/>
      <x:c r="D215" s="20"/>
      <x:c r="E215" s="20"/>
      <x:c r="F215" s="20"/>
      <x:c r="G215" s="20"/>
      <x:c r="H215" s="20"/>
      <x:c r="I215" s="20"/>
      <x:c r="J215" s="21"/>
      <x:c r="K215" s="21"/>
      <x:c r="L215" s="20"/>
      <x:c r="M215" s="20"/>
      <x:c r="N215" s="20"/>
    </x:row>
    <x:row r="216">
      <x:c r="A216" s="20"/>
      <x:c r="B216" s="20"/>
      <x:c r="C216" s="20"/>
      <x:c r="D216" s="20"/>
      <x:c r="E216" s="20"/>
      <x:c r="F216" s="20"/>
      <x:c r="G216" s="20"/>
      <x:c r="H216" s="20"/>
      <x:c r="I216" s="20"/>
      <x:c r="J216" s="21"/>
      <x:c r="K216" s="21"/>
      <x:c r="L216" s="20"/>
      <x:c r="M216" s="20"/>
      <x:c r="N216" s="20"/>
    </x:row>
    <x:row r="217">
      <x:c r="A217" s="20"/>
      <x:c r="B217" s="20"/>
      <x:c r="C217" s="20"/>
      <x:c r="D217" s="20"/>
      <x:c r="E217" s="20"/>
      <x:c r="F217" s="20"/>
      <x:c r="G217" s="20"/>
      <x:c r="H217" s="20"/>
      <x:c r="I217" s="20"/>
      <x:c r="J217" s="21"/>
      <x:c r="K217" s="21"/>
      <x:c r="L217" s="20"/>
      <x:c r="M217" s="20"/>
      <x:c r="N217" s="20"/>
    </x:row>
    <x:row r="218">
      <x:c r="A218" s="20"/>
      <x:c r="B218" s="20"/>
      <x:c r="C218" s="20"/>
      <x:c r="D218" s="20"/>
      <x:c r="E218" s="20"/>
      <x:c r="F218" s="20"/>
      <x:c r="G218" s="20"/>
      <x:c r="H218" s="20"/>
      <x:c r="I218" s="20"/>
      <x:c r="J218" s="21"/>
      <x:c r="K218" s="21"/>
      <x:c r="L218" s="20"/>
      <x:c r="M218" s="20"/>
      <x:c r="N218" s="20"/>
    </x:row>
    <x:row r="219">
      <x:c r="A219" s="20"/>
      <x:c r="B219" s="20"/>
      <x:c r="C219" s="20"/>
      <x:c r="D219" s="20"/>
      <x:c r="E219" s="20"/>
      <x:c r="F219" s="20"/>
      <x:c r="G219" s="20"/>
      <x:c r="H219" s="20"/>
      <x:c r="I219" s="20"/>
      <x:c r="J219" s="21"/>
      <x:c r="K219" s="21"/>
      <x:c r="L219" s="20"/>
      <x:c r="M219" s="20"/>
      <x:c r="N219" s="20"/>
    </x:row>
    <x:row r="220">
      <x:c r="A220" s="20"/>
      <x:c r="B220" s="20"/>
      <x:c r="C220" s="20"/>
      <x:c r="D220" s="20"/>
      <x:c r="E220" s="20"/>
      <x:c r="F220" s="20"/>
      <x:c r="G220" s="20"/>
      <x:c r="H220" s="20"/>
      <x:c r="I220" s="20"/>
      <x:c r="J220" s="21"/>
      <x:c r="K220" s="21"/>
      <x:c r="L220" s="20"/>
      <x:c r="M220" s="20"/>
      <x:c r="N220" s="20"/>
    </x:row>
    <x:row r="221">
      <x:c r="A221" s="20"/>
      <x:c r="B221" s="20"/>
      <x:c r="C221" s="20"/>
      <x:c r="D221" s="20"/>
      <x:c r="E221" s="20"/>
      <x:c r="F221" s="20"/>
      <x:c r="G221" s="20"/>
      <x:c r="H221" s="20"/>
      <x:c r="I221" s="20"/>
      <x:c r="J221" s="21"/>
      <x:c r="K221" s="21"/>
      <x:c r="L221" s="20"/>
      <x:c r="M221" s="20"/>
      <x:c r="N221" s="20"/>
    </x:row>
    <x:row r="222">
      <x:c r="A222" s="20"/>
      <x:c r="B222" s="20"/>
      <x:c r="C222" s="20"/>
      <x:c r="D222" s="20"/>
      <x:c r="E222" s="20"/>
      <x:c r="F222" s="20"/>
      <x:c r="G222" s="20"/>
      <x:c r="H222" s="20"/>
      <x:c r="I222" s="20"/>
      <x:c r="J222" s="21"/>
      <x:c r="K222" s="21"/>
      <x:c r="L222" s="20"/>
      <x:c r="M222" s="20"/>
      <x:c r="N222" s="20"/>
    </x:row>
    <x:row r="223">
      <x:c r="A223" s="20"/>
      <x:c r="B223" s="20"/>
      <x:c r="C223" s="20"/>
      <x:c r="D223" s="20"/>
      <x:c r="E223" s="20"/>
      <x:c r="F223" s="20"/>
      <x:c r="G223" s="20"/>
      <x:c r="H223" s="20"/>
      <x:c r="I223" s="20"/>
      <x:c r="J223" s="21"/>
      <x:c r="K223" s="21"/>
      <x:c r="L223" s="20"/>
      <x:c r="M223" s="20"/>
      <x:c r="N223" s="20"/>
    </x:row>
    <x:row r="224">
      <x:c r="A224" s="20"/>
      <x:c r="B224" s="20"/>
      <x:c r="C224" s="20"/>
      <x:c r="D224" s="20"/>
      <x:c r="E224" s="20"/>
      <x:c r="F224" s="20"/>
      <x:c r="G224" s="20"/>
      <x:c r="H224" s="20"/>
      <x:c r="I224" s="20"/>
      <x:c r="J224" s="21"/>
      <x:c r="K224" s="21"/>
      <x:c r="L224" s="20"/>
      <x:c r="M224" s="20"/>
      <x:c r="N224" s="20"/>
    </x:row>
    <x:row r="225">
      <x:c r="A225" s="20"/>
      <x:c r="B225" s="20"/>
      <x:c r="C225" s="20"/>
      <x:c r="D225" s="20"/>
      <x:c r="E225" s="20"/>
      <x:c r="F225" s="20"/>
      <x:c r="G225" s="20"/>
      <x:c r="H225" s="20"/>
      <x:c r="I225" s="20"/>
      <x:c r="J225" s="21"/>
      <x:c r="K225" s="21"/>
      <x:c r="L225" s="20"/>
      <x:c r="M225" s="20"/>
      <x:c r="N225" s="20"/>
    </x:row>
    <x:row r="226">
      <x:c r="A226" s="20"/>
      <x:c r="B226" s="20"/>
      <x:c r="C226" s="20"/>
      <x:c r="D226" s="20"/>
      <x:c r="E226" s="20"/>
      <x:c r="F226" s="20"/>
      <x:c r="G226" s="20"/>
      <x:c r="H226" s="20"/>
      <x:c r="I226" s="20"/>
      <x:c r="J226" s="21"/>
      <x:c r="K226" s="21"/>
      <x:c r="L226" s="20"/>
      <x:c r="M226" s="20"/>
      <x:c r="N226" s="20"/>
    </x:row>
    <x:row r="227">
      <x:c r="A227" s="20"/>
      <x:c r="B227" s="20"/>
      <x:c r="C227" s="20"/>
      <x:c r="D227" s="20"/>
      <x:c r="E227" s="20"/>
      <x:c r="F227" s="20"/>
      <x:c r="G227" s="20"/>
      <x:c r="H227" s="20"/>
      <x:c r="I227" s="20"/>
      <x:c r="J227" s="21"/>
      <x:c r="K227" s="21"/>
      <x:c r="L227" s="20"/>
      <x:c r="M227" s="20"/>
      <x:c r="N227" s="20"/>
    </x:row>
    <x:row r="228">
      <x:c r="A228" s="20"/>
      <x:c r="B228" s="20"/>
      <x:c r="C228" s="20"/>
      <x:c r="D228" s="20"/>
      <x:c r="E228" s="20"/>
      <x:c r="F228" s="20"/>
      <x:c r="G228" s="20"/>
      <x:c r="H228" s="20"/>
      <x:c r="I228" s="20"/>
      <x:c r="J228" s="21"/>
      <x:c r="K228" s="21"/>
      <x:c r="L228" s="20"/>
      <x:c r="M228" s="20"/>
      <x:c r="N228" s="20"/>
    </x:row>
    <x:row r="229">
      <x:c r="A229" s="20"/>
      <x:c r="B229" s="20"/>
      <x:c r="C229" s="20"/>
      <x:c r="D229" s="20"/>
      <x:c r="E229" s="20"/>
      <x:c r="F229" s="20"/>
      <x:c r="G229" s="20"/>
      <x:c r="H229" s="20"/>
      <x:c r="I229" s="20"/>
      <x:c r="J229" s="21"/>
      <x:c r="K229" s="21"/>
      <x:c r="L229" s="20"/>
      <x:c r="M229" s="20"/>
      <x:c r="N229" s="20"/>
    </x:row>
    <x:row r="230">
      <x:c r="A230" s="20"/>
      <x:c r="B230" s="20"/>
      <x:c r="C230" s="20"/>
      <x:c r="D230" s="20"/>
      <x:c r="E230" s="20"/>
      <x:c r="F230" s="20"/>
      <x:c r="G230" s="20"/>
      <x:c r="H230" s="20"/>
      <x:c r="I230" s="20"/>
      <x:c r="J230" s="21"/>
      <x:c r="K230" s="21"/>
      <x:c r="L230" s="20"/>
      <x:c r="M230" s="20"/>
      <x:c r="N230" s="20"/>
    </x:row>
    <x:row r="231">
      <x:c r="A231" s="20"/>
      <x:c r="B231" s="20"/>
      <x:c r="C231" s="20"/>
      <x:c r="D231" s="20"/>
      <x:c r="E231" s="20"/>
      <x:c r="F231" s="20"/>
      <x:c r="G231" s="20"/>
      <x:c r="H231" s="20"/>
      <x:c r="I231" s="20"/>
      <x:c r="J231" s="21"/>
      <x:c r="K231" s="21"/>
      <x:c r="L231" s="20"/>
      <x:c r="M231" s="20"/>
      <x:c r="N231" s="20"/>
    </x:row>
    <x:row r="232">
      <x:c r="A232" s="20"/>
      <x:c r="B232" s="20"/>
      <x:c r="C232" s="20"/>
      <x:c r="D232" s="20"/>
      <x:c r="E232" s="20"/>
      <x:c r="F232" s="20"/>
      <x:c r="G232" s="20"/>
      <x:c r="H232" s="20"/>
      <x:c r="I232" s="20"/>
      <x:c r="J232" s="21"/>
      <x:c r="K232" s="21"/>
      <x:c r="L232" s="20"/>
      <x:c r="M232" s="20"/>
      <x:c r="N232" s="20"/>
    </x:row>
    <x:row r="233">
      <x:c r="A233" s="20"/>
      <x:c r="B233" s="20"/>
      <x:c r="C233" s="20"/>
      <x:c r="D233" s="20"/>
      <x:c r="E233" s="20"/>
      <x:c r="F233" s="20"/>
      <x:c r="G233" s="20"/>
      <x:c r="H233" s="20"/>
      <x:c r="I233" s="20"/>
      <x:c r="J233" s="21"/>
      <x:c r="K233" s="21"/>
      <x:c r="L233" s="20"/>
      <x:c r="M233" s="20"/>
      <x:c r="N233" s="20"/>
    </x:row>
    <x:row r="234">
      <x:c r="A234" s="20"/>
      <x:c r="B234" s="20"/>
      <x:c r="C234" s="20"/>
      <x:c r="D234" s="20"/>
      <x:c r="E234" s="20"/>
      <x:c r="F234" s="20"/>
      <x:c r="G234" s="20"/>
      <x:c r="H234" s="20"/>
      <x:c r="I234" s="20"/>
      <x:c r="J234" s="21"/>
      <x:c r="K234" s="21"/>
      <x:c r="L234" s="20"/>
      <x:c r="M234" s="20"/>
      <x:c r="N234" s="20"/>
    </x:row>
    <x:row r="235">
      <x:c r="A235" s="20"/>
      <x:c r="B235" s="20"/>
      <x:c r="C235" s="20"/>
      <x:c r="D235" s="20"/>
      <x:c r="E235" s="20"/>
      <x:c r="F235" s="20"/>
      <x:c r="G235" s="20"/>
      <x:c r="H235" s="20"/>
      <x:c r="I235" s="20"/>
      <x:c r="J235" s="21"/>
      <x:c r="K235" s="21"/>
      <x:c r="L235" s="20"/>
      <x:c r="M235" s="20"/>
      <x:c r="N235" s="20"/>
    </x:row>
    <x:row r="236">
      <x:c r="A236" s="20"/>
      <x:c r="B236" s="20"/>
      <x:c r="C236" s="20"/>
      <x:c r="D236" s="20"/>
      <x:c r="E236" s="20"/>
      <x:c r="F236" s="20"/>
      <x:c r="G236" s="20"/>
      <x:c r="H236" s="20"/>
      <x:c r="I236" s="20"/>
      <x:c r="J236" s="21"/>
      <x:c r="K236" s="21"/>
      <x:c r="L236" s="20"/>
      <x:c r="M236" s="20"/>
      <x:c r="N236" s="20"/>
    </x:row>
    <x:row r="237">
      <x:c r="A237" s="20"/>
      <x:c r="B237" s="20"/>
      <x:c r="C237" s="20"/>
      <x:c r="D237" s="20"/>
      <x:c r="E237" s="20"/>
      <x:c r="F237" s="20"/>
      <x:c r="G237" s="20"/>
      <x:c r="H237" s="20"/>
      <x:c r="I237" s="20"/>
      <x:c r="J237" s="21"/>
      <x:c r="K237" s="21"/>
      <x:c r="L237" s="20"/>
      <x:c r="M237" s="20"/>
      <x:c r="N237" s="20"/>
    </x:row>
    <x:row r="238">
      <x:c r="A238" s="20"/>
      <x:c r="B238" s="20"/>
      <x:c r="C238" s="20"/>
      <x:c r="D238" s="20"/>
      <x:c r="E238" s="20"/>
      <x:c r="F238" s="20"/>
      <x:c r="G238" s="20"/>
      <x:c r="H238" s="20"/>
      <x:c r="I238" s="20"/>
      <x:c r="J238" s="21"/>
      <x:c r="K238" s="21"/>
      <x:c r="L238" s="20"/>
      <x:c r="M238" s="20"/>
      <x:c r="N238" s="20"/>
    </x:row>
    <x:row r="239">
      <x:c r="A239" s="20"/>
      <x:c r="B239" s="20"/>
      <x:c r="C239" s="20"/>
      <x:c r="D239" s="20"/>
      <x:c r="E239" s="20"/>
      <x:c r="F239" s="20"/>
      <x:c r="G239" s="20"/>
      <x:c r="H239" s="20"/>
      <x:c r="I239" s="20"/>
      <x:c r="J239" s="21"/>
      <x:c r="K239" s="21"/>
      <x:c r="L239" s="20"/>
      <x:c r="M239" s="20"/>
      <x:c r="N239" s="20"/>
    </x:row>
    <x:row r="240">
      <x:c r="A240" s="20"/>
      <x:c r="B240" s="20"/>
      <x:c r="C240" s="20"/>
      <x:c r="D240" s="20"/>
      <x:c r="E240" s="20"/>
      <x:c r="F240" s="20"/>
      <x:c r="G240" s="20"/>
      <x:c r="H240" s="20"/>
      <x:c r="I240" s="20"/>
      <x:c r="J240" s="21"/>
      <x:c r="K240" s="21"/>
      <x:c r="L240" s="20"/>
      <x:c r="M240" s="20"/>
      <x:c r="N240" s="20"/>
    </x:row>
    <x:row r="241">
      <x:c r="A241" s="20"/>
      <x:c r="B241" s="20"/>
      <x:c r="C241" s="20"/>
      <x:c r="D241" s="20"/>
      <x:c r="E241" s="20"/>
      <x:c r="F241" s="20"/>
      <x:c r="G241" s="20"/>
      <x:c r="H241" s="20"/>
      <x:c r="I241" s="20"/>
      <x:c r="J241" s="21"/>
      <x:c r="K241" s="21"/>
      <x:c r="L241" s="20"/>
      <x:c r="M241" s="20"/>
      <x:c r="N241" s="20"/>
    </x:row>
    <x:row r="242">
      <x:c r="A242" s="20"/>
      <x:c r="B242" s="20"/>
      <x:c r="C242" s="20"/>
      <x:c r="D242" s="20"/>
      <x:c r="E242" s="20"/>
      <x:c r="F242" s="20"/>
      <x:c r="G242" s="20"/>
      <x:c r="H242" s="20"/>
      <x:c r="I242" s="20"/>
      <x:c r="J242" s="21"/>
      <x:c r="K242" s="21"/>
      <x:c r="L242" s="20"/>
      <x:c r="M242" s="20"/>
      <x:c r="N242" s="20"/>
    </x:row>
    <x:row r="243">
      <x:c r="A243" s="20"/>
      <x:c r="B243" s="20"/>
      <x:c r="C243" s="20"/>
      <x:c r="D243" s="20"/>
      <x:c r="E243" s="20"/>
      <x:c r="F243" s="20"/>
      <x:c r="G243" s="20"/>
      <x:c r="H243" s="20"/>
      <x:c r="I243" s="20"/>
      <x:c r="J243" s="21"/>
      <x:c r="K243" s="21"/>
      <x:c r="L243" s="20"/>
      <x:c r="M243" s="20"/>
      <x:c r="N243" s="20"/>
    </x:row>
    <x:row r="244">
      <x:c r="A244" s="20"/>
      <x:c r="B244" s="20"/>
      <x:c r="C244" s="20"/>
      <x:c r="D244" s="20"/>
      <x:c r="E244" s="20"/>
      <x:c r="F244" s="20"/>
      <x:c r="G244" s="20"/>
      <x:c r="H244" s="20"/>
      <x:c r="I244" s="20"/>
      <x:c r="J244" s="21"/>
      <x:c r="K244" s="21"/>
      <x:c r="L244" s="20"/>
      <x:c r="M244" s="20"/>
      <x:c r="N244" s="20"/>
    </x:row>
    <x:row r="245">
      <x:c r="A245" s="20"/>
      <x:c r="B245" s="20"/>
      <x:c r="C245" s="20"/>
      <x:c r="D245" s="20"/>
      <x:c r="E245" s="20"/>
      <x:c r="F245" s="20"/>
      <x:c r="G245" s="20"/>
      <x:c r="H245" s="20"/>
      <x:c r="I245" s="20"/>
      <x:c r="J245" s="21"/>
      <x:c r="K245" s="21"/>
      <x:c r="L245" s="20"/>
      <x:c r="M245" s="20"/>
      <x:c r="N245" s="20"/>
    </x:row>
    <x:row r="246">
      <x:c r="A246" s="20"/>
      <x:c r="B246" s="20"/>
      <x:c r="C246" s="20"/>
      <x:c r="D246" s="20"/>
      <x:c r="E246" s="20"/>
      <x:c r="F246" s="20"/>
      <x:c r="G246" s="20"/>
      <x:c r="H246" s="20"/>
      <x:c r="I246" s="20"/>
      <x:c r="J246" s="21"/>
      <x:c r="K246" s="21"/>
      <x:c r="L246" s="20"/>
      <x:c r="M246" s="20"/>
      <x:c r="N246" s="20"/>
    </x:row>
    <x:row r="247">
      <x:c r="A247" s="20"/>
      <x:c r="B247" s="20"/>
      <x:c r="C247" s="20"/>
      <x:c r="D247" s="20"/>
      <x:c r="E247" s="20"/>
      <x:c r="F247" s="20"/>
      <x:c r="G247" s="20"/>
      <x:c r="H247" s="20"/>
      <x:c r="I247" s="20"/>
      <x:c r="J247" s="21"/>
      <x:c r="K247" s="21"/>
      <x:c r="L247" s="20"/>
      <x:c r="M247" s="20"/>
      <x:c r="N247" s="20"/>
    </x:row>
    <x:row r="248">
      <x:c r="A248" s="20"/>
      <x:c r="B248" s="20"/>
      <x:c r="C248" s="20"/>
      <x:c r="D248" s="20"/>
      <x:c r="E248" s="20"/>
      <x:c r="F248" s="20"/>
      <x:c r="G248" s="20"/>
      <x:c r="H248" s="20"/>
      <x:c r="I248" s="20"/>
      <x:c r="J248" s="21"/>
      <x:c r="K248" s="21"/>
      <x:c r="L248" s="20"/>
      <x:c r="M248" s="20"/>
      <x:c r="N248" s="20"/>
    </x:row>
    <x:row r="249">
      <x:c r="A249" s="20"/>
      <x:c r="B249" s="20"/>
      <x:c r="C249" s="20"/>
      <x:c r="D249" s="20"/>
      <x:c r="E249" s="20"/>
      <x:c r="F249" s="20"/>
      <x:c r="G249" s="20"/>
      <x:c r="H249" s="20"/>
      <x:c r="I249" s="20"/>
      <x:c r="J249" s="21"/>
      <x:c r="K249" s="21"/>
      <x:c r="L249" s="20"/>
      <x:c r="M249" s="20"/>
      <x:c r="N249" s="20"/>
    </x:row>
    <x:row r="250">
      <x:c r="A250" s="20"/>
      <x:c r="B250" s="20"/>
      <x:c r="C250" s="20"/>
      <x:c r="D250" s="20"/>
      <x:c r="E250" s="20"/>
      <x:c r="F250" s="20"/>
      <x:c r="G250" s="20"/>
      <x:c r="H250" s="20"/>
      <x:c r="I250" s="20"/>
      <x:c r="J250" s="21"/>
      <x:c r="K250" s="21"/>
      <x:c r="L250" s="20"/>
      <x:c r="M250" s="20"/>
      <x:c r="N250" s="20"/>
    </x:row>
    <x:row r="251">
      <x:c r="A251" s="20"/>
      <x:c r="B251" s="20"/>
      <x:c r="C251" s="20"/>
      <x:c r="D251" s="20"/>
      <x:c r="E251" s="20"/>
      <x:c r="F251" s="20"/>
      <x:c r="G251" s="20"/>
      <x:c r="H251" s="20"/>
      <x:c r="I251" s="20"/>
      <x:c r="J251" s="21"/>
      <x:c r="K251" s="21"/>
      <x:c r="L251" s="20"/>
      <x:c r="M251" s="20"/>
      <x:c r="N251" s="20"/>
    </x:row>
    <x:row r="252">
      <x:c r="A252" s="20"/>
      <x:c r="B252" s="20"/>
      <x:c r="C252" s="20"/>
      <x:c r="D252" s="20"/>
      <x:c r="E252" s="20"/>
      <x:c r="F252" s="20"/>
      <x:c r="G252" s="20"/>
      <x:c r="H252" s="20"/>
      <x:c r="I252" s="20"/>
      <x:c r="J252" s="21"/>
      <x:c r="K252" s="21"/>
      <x:c r="L252" s="20"/>
      <x:c r="M252" s="20"/>
      <x:c r="N252" s="20"/>
    </x:row>
    <x:row r="253">
      <x:c r="A253" s="20"/>
      <x:c r="B253" s="20"/>
      <x:c r="C253" s="20"/>
      <x:c r="D253" s="20"/>
      <x:c r="E253" s="20"/>
      <x:c r="F253" s="20"/>
      <x:c r="G253" s="20"/>
      <x:c r="H253" s="20"/>
      <x:c r="I253" s="20"/>
      <x:c r="J253" s="21"/>
      <x:c r="K253" s="21"/>
      <x:c r="L253" s="20"/>
      <x:c r="M253" s="20"/>
      <x:c r="N253" s="20"/>
    </x:row>
    <x:row r="254">
      <x:c r="A254" s="20"/>
      <x:c r="B254" s="20"/>
      <x:c r="C254" s="20"/>
      <x:c r="D254" s="20"/>
      <x:c r="E254" s="20"/>
      <x:c r="F254" s="20"/>
      <x:c r="G254" s="20"/>
      <x:c r="H254" s="20"/>
      <x:c r="I254" s="20"/>
      <x:c r="J254" s="21"/>
      <x:c r="K254" s="21"/>
      <x:c r="L254" s="20"/>
      <x:c r="M254" s="20"/>
      <x:c r="N254" s="20"/>
    </x:row>
    <x:row r="255">
      <x:c r="A255" s="20"/>
      <x:c r="B255" s="20"/>
      <x:c r="C255" s="20"/>
      <x:c r="D255" s="20"/>
      <x:c r="E255" s="20"/>
      <x:c r="F255" s="20"/>
      <x:c r="G255" s="20"/>
      <x:c r="H255" s="20"/>
      <x:c r="I255" s="20"/>
      <x:c r="J255" s="21"/>
      <x:c r="K255" s="21"/>
      <x:c r="L255" s="20"/>
      <x:c r="M255" s="20"/>
      <x:c r="N255" s="20"/>
    </x:row>
    <x:row r="256">
      <x:c r="A256" s="20"/>
      <x:c r="B256" s="20"/>
      <x:c r="C256" s="20"/>
      <x:c r="D256" s="20"/>
      <x:c r="E256" s="20"/>
      <x:c r="F256" s="20"/>
      <x:c r="G256" s="20"/>
      <x:c r="H256" s="20"/>
      <x:c r="I256" s="20"/>
      <x:c r="J256" s="21"/>
      <x:c r="K256" s="21"/>
      <x:c r="L256" s="20"/>
      <x:c r="M256" s="20"/>
      <x:c r="N256" s="20"/>
    </x:row>
    <x:row r="257">
      <x:c r="A257" s="20"/>
      <x:c r="B257" s="20"/>
      <x:c r="C257" s="20"/>
      <x:c r="D257" s="20"/>
      <x:c r="E257" s="20"/>
      <x:c r="F257" s="20"/>
      <x:c r="G257" s="20"/>
      <x:c r="H257" s="20"/>
      <x:c r="I257" s="20"/>
      <x:c r="J257" s="21"/>
      <x:c r="K257" s="21"/>
      <x:c r="L257" s="20"/>
      <x:c r="M257" s="20"/>
      <x:c r="N257" s="20"/>
    </x:row>
    <x:row r="258">
      <x:c r="A258" s="20"/>
      <x:c r="B258" s="20"/>
      <x:c r="C258" s="20"/>
      <x:c r="D258" s="20"/>
      <x:c r="E258" s="20"/>
      <x:c r="F258" s="20"/>
      <x:c r="G258" s="20"/>
      <x:c r="H258" s="20"/>
      <x:c r="I258" s="20"/>
      <x:c r="J258" s="21"/>
      <x:c r="K258" s="21"/>
      <x:c r="L258" s="20"/>
      <x:c r="M258" s="20"/>
      <x:c r="N258" s="20"/>
    </x:row>
    <x:row r="259">
      <x:c r="A259" s="20"/>
      <x:c r="B259" s="20"/>
      <x:c r="C259" s="20"/>
      <x:c r="D259" s="20"/>
      <x:c r="E259" s="20"/>
      <x:c r="F259" s="20"/>
      <x:c r="G259" s="20"/>
      <x:c r="H259" s="20"/>
      <x:c r="I259" s="20"/>
      <x:c r="J259" s="21"/>
      <x:c r="K259" s="21"/>
      <x:c r="L259" s="20"/>
      <x:c r="M259" s="20"/>
      <x:c r="N259" s="20"/>
    </x:row>
    <x:row r="260">
      <x:c r="A260" s="20"/>
      <x:c r="B260" s="20"/>
      <x:c r="C260" s="20"/>
      <x:c r="D260" s="20"/>
      <x:c r="E260" s="20"/>
      <x:c r="F260" s="20"/>
      <x:c r="G260" s="20"/>
      <x:c r="H260" s="20"/>
      <x:c r="I260" s="20"/>
      <x:c r="J260" s="21"/>
      <x:c r="K260" s="21"/>
      <x:c r="L260" s="20"/>
      <x:c r="M260" s="20"/>
      <x:c r="N260" s="20"/>
    </x:row>
    <x:row r="261">
      <x:c r="A261" s="20"/>
      <x:c r="B261" s="20"/>
      <x:c r="C261" s="20"/>
      <x:c r="D261" s="20"/>
      <x:c r="E261" s="20"/>
      <x:c r="F261" s="20"/>
      <x:c r="G261" s="20"/>
      <x:c r="H261" s="20"/>
      <x:c r="I261" s="20"/>
      <x:c r="J261" s="21"/>
      <x:c r="K261" s="21"/>
      <x:c r="L261" s="20"/>
      <x:c r="M261" s="20"/>
      <x:c r="N261" s="20"/>
    </x:row>
    <x:row r="262">
      <x:c r="A262" s="20"/>
      <x:c r="B262" s="20"/>
      <x:c r="C262" s="20"/>
      <x:c r="D262" s="20"/>
      <x:c r="E262" s="20"/>
      <x:c r="F262" s="20"/>
      <x:c r="G262" s="20"/>
      <x:c r="H262" s="20"/>
      <x:c r="I262" s="20"/>
      <x:c r="J262" s="21"/>
      <x:c r="K262" s="21"/>
      <x:c r="L262" s="20"/>
      <x:c r="M262" s="20"/>
      <x:c r="N262" s="20"/>
    </x:row>
    <x:row r="263">
      <x:c r="A263" s="20"/>
      <x:c r="B263" s="20"/>
      <x:c r="C263" s="20"/>
      <x:c r="D263" s="20"/>
      <x:c r="E263" s="20"/>
      <x:c r="F263" s="20"/>
      <x:c r="G263" s="20"/>
      <x:c r="H263" s="20"/>
      <x:c r="I263" s="20"/>
      <x:c r="J263" s="21"/>
      <x:c r="K263" s="21"/>
      <x:c r="L263" s="20"/>
      <x:c r="M263" s="20"/>
      <x:c r="N263" s="20"/>
    </x:row>
    <x:row r="264">
      <x:c r="A264" s="20"/>
      <x:c r="B264" s="20"/>
      <x:c r="C264" s="20"/>
      <x:c r="D264" s="20"/>
      <x:c r="E264" s="20"/>
      <x:c r="F264" s="20"/>
      <x:c r="G264" s="20"/>
      <x:c r="H264" s="20"/>
      <x:c r="I264" s="20"/>
      <x:c r="J264" s="21"/>
      <x:c r="K264" s="21"/>
      <x:c r="L264" s="20"/>
      <x:c r="M264" s="20"/>
      <x:c r="N264" s="20"/>
    </x:row>
    <x:row r="265">
      <x:c r="A265" s="20"/>
      <x:c r="B265" s="20"/>
      <x:c r="C265" s="20"/>
      <x:c r="D265" s="20"/>
      <x:c r="E265" s="20"/>
      <x:c r="F265" s="20"/>
      <x:c r="G265" s="20"/>
      <x:c r="H265" s="20"/>
      <x:c r="I265" s="20"/>
      <x:c r="J265" s="21"/>
      <x:c r="K265" s="21"/>
      <x:c r="L265" s="20"/>
      <x:c r="M265" s="20"/>
      <x:c r="N265" s="20"/>
    </x:row>
    <x:row r="266">
      <x:c r="A266" s="20"/>
      <x:c r="B266" s="20"/>
      <x:c r="C266" s="20"/>
      <x:c r="D266" s="20"/>
      <x:c r="E266" s="20"/>
      <x:c r="F266" s="20"/>
      <x:c r="G266" s="20"/>
      <x:c r="H266" s="20"/>
      <x:c r="I266" s="20"/>
      <x:c r="J266" s="21"/>
      <x:c r="K266" s="21"/>
      <x:c r="L266" s="20"/>
      <x:c r="M266" s="20"/>
      <x:c r="N266" s="20"/>
    </x:row>
    <x:row r="267">
      <x:c r="A267" s="20"/>
      <x:c r="B267" s="20"/>
      <x:c r="C267" s="20"/>
      <x:c r="D267" s="20"/>
      <x:c r="E267" s="20"/>
      <x:c r="F267" s="20"/>
      <x:c r="G267" s="20"/>
      <x:c r="H267" s="20"/>
      <x:c r="I267" s="20"/>
      <x:c r="J267" s="21"/>
      <x:c r="K267" s="21"/>
      <x:c r="L267" s="20"/>
      <x:c r="M267" s="20"/>
      <x:c r="N267" s="20"/>
    </x:row>
    <x:row r="268">
      <x:c r="A268" s="20"/>
      <x:c r="B268" s="20"/>
      <x:c r="C268" s="20"/>
      <x:c r="D268" s="20"/>
      <x:c r="E268" s="20"/>
      <x:c r="F268" s="20"/>
      <x:c r="G268" s="20"/>
      <x:c r="H268" s="20"/>
      <x:c r="I268" s="20"/>
      <x:c r="J268" s="21"/>
      <x:c r="K268" s="21"/>
      <x:c r="L268" s="20"/>
      <x:c r="M268" s="20"/>
      <x:c r="N268" s="20"/>
    </x:row>
    <x:row r="269">
      <x:c r="A269" s="20"/>
      <x:c r="B269" s="20"/>
      <x:c r="C269" s="20"/>
      <x:c r="D269" s="20"/>
      <x:c r="E269" s="20"/>
      <x:c r="F269" s="20"/>
      <x:c r="G269" s="20"/>
      <x:c r="H269" s="20"/>
      <x:c r="I269" s="20"/>
      <x:c r="J269" s="21"/>
      <x:c r="K269" s="21"/>
      <x:c r="L269" s="20"/>
      <x:c r="M269" s="20"/>
      <x:c r="N269" s="20"/>
    </x:row>
    <x:row r="270">
      <x:c r="A270" s="20"/>
      <x:c r="B270" s="20"/>
      <x:c r="C270" s="20"/>
      <x:c r="D270" s="20"/>
      <x:c r="E270" s="20"/>
      <x:c r="F270" s="20"/>
      <x:c r="G270" s="20"/>
      <x:c r="H270" s="20"/>
      <x:c r="I270" s="20"/>
      <x:c r="J270" s="21"/>
      <x:c r="K270" s="21"/>
      <x:c r="L270" s="20"/>
      <x:c r="M270" s="20"/>
      <x:c r="N270" s="20"/>
    </x:row>
    <x:row r="271">
      <x:c r="A271" s="20"/>
      <x:c r="B271" s="20"/>
      <x:c r="C271" s="20"/>
      <x:c r="D271" s="20"/>
      <x:c r="E271" s="20"/>
      <x:c r="F271" s="20"/>
      <x:c r="G271" s="20"/>
      <x:c r="H271" s="20"/>
      <x:c r="I271" s="20"/>
      <x:c r="J271" s="21"/>
      <x:c r="K271" s="21"/>
      <x:c r="L271" s="20"/>
      <x:c r="M271" s="20"/>
      <x:c r="N271" s="20"/>
    </x:row>
    <x:row r="272">
      <x:c r="A272" s="20"/>
      <x:c r="B272" s="20"/>
      <x:c r="C272" s="20"/>
      <x:c r="D272" s="20"/>
      <x:c r="E272" s="20"/>
      <x:c r="F272" s="20"/>
      <x:c r="G272" s="20"/>
      <x:c r="H272" s="20"/>
      <x:c r="I272" s="20"/>
      <x:c r="J272" s="21"/>
      <x:c r="K272" s="21"/>
      <x:c r="L272" s="20"/>
      <x:c r="M272" s="20"/>
      <x:c r="N272" s="20"/>
    </x:row>
    <x:row r="273">
      <x:c r="A273" s="20"/>
      <x:c r="B273" s="20"/>
      <x:c r="C273" s="20"/>
      <x:c r="D273" s="20"/>
      <x:c r="E273" s="20"/>
      <x:c r="F273" s="20"/>
      <x:c r="G273" s="20"/>
      <x:c r="H273" s="20"/>
      <x:c r="I273" s="20"/>
      <x:c r="J273" s="21"/>
      <x:c r="K273" s="21"/>
      <x:c r="L273" s="20"/>
      <x:c r="M273" s="20"/>
      <x:c r="N273" s="20"/>
    </x:row>
    <x:row r="274">
      <x:c r="A274" s="20"/>
      <x:c r="B274" s="20"/>
      <x:c r="C274" s="20"/>
      <x:c r="D274" s="20"/>
      <x:c r="E274" s="20"/>
      <x:c r="F274" s="20"/>
      <x:c r="G274" s="20"/>
      <x:c r="H274" s="20"/>
      <x:c r="I274" s="20"/>
      <x:c r="J274" s="21"/>
      <x:c r="K274" s="21"/>
      <x:c r="L274" s="20"/>
      <x:c r="M274" s="20"/>
      <x:c r="N274" s="20"/>
    </x:row>
    <x:row r="275">
      <x:c r="A275" s="20"/>
      <x:c r="B275" s="20"/>
      <x:c r="C275" s="20"/>
      <x:c r="D275" s="20"/>
      <x:c r="E275" s="20"/>
      <x:c r="F275" s="20"/>
      <x:c r="G275" s="20"/>
      <x:c r="H275" s="20"/>
      <x:c r="I275" s="20"/>
      <x:c r="J275" s="21"/>
      <x:c r="K275" s="21"/>
      <x:c r="L275" s="20"/>
      <x:c r="M275" s="20"/>
      <x:c r="N275" s="20"/>
    </x:row>
    <x:row r="276">
      <x:c r="A276" s="20"/>
      <x:c r="B276" s="20"/>
      <x:c r="C276" s="20"/>
      <x:c r="D276" s="20"/>
      <x:c r="E276" s="20"/>
      <x:c r="F276" s="20"/>
      <x:c r="G276" s="20"/>
      <x:c r="H276" s="20"/>
      <x:c r="I276" s="20"/>
      <x:c r="J276" s="21"/>
      <x:c r="K276" s="21"/>
      <x:c r="L276" s="20"/>
      <x:c r="M276" s="20"/>
      <x:c r="N276" s="20"/>
    </x:row>
    <x:row r="277">
      <x:c r="A277" s="20"/>
      <x:c r="B277" s="20"/>
      <x:c r="C277" s="20"/>
      <x:c r="D277" s="20"/>
      <x:c r="E277" s="20"/>
      <x:c r="F277" s="20"/>
      <x:c r="G277" s="20"/>
      <x:c r="H277" s="20"/>
      <x:c r="I277" s="20"/>
      <x:c r="J277" s="21"/>
      <x:c r="K277" s="21"/>
      <x:c r="L277" s="20"/>
      <x:c r="M277" s="20"/>
      <x:c r="N277" s="20"/>
    </x:row>
    <x:row r="278">
      <x:c r="A278" s="20"/>
      <x:c r="B278" s="20"/>
      <x:c r="C278" s="20"/>
      <x:c r="D278" s="20"/>
      <x:c r="E278" s="20"/>
      <x:c r="F278" s="20"/>
      <x:c r="G278" s="20"/>
      <x:c r="H278" s="20"/>
      <x:c r="I278" s="20"/>
      <x:c r="J278" s="21"/>
      <x:c r="K278" s="21"/>
      <x:c r="L278" s="20"/>
      <x:c r="M278" s="20"/>
      <x:c r="N278" s="20"/>
    </x:row>
    <x:row r="279">
      <x:c r="A279" s="20"/>
      <x:c r="B279" s="20"/>
      <x:c r="C279" s="20"/>
      <x:c r="D279" s="20"/>
      <x:c r="E279" s="20"/>
      <x:c r="F279" s="20"/>
      <x:c r="G279" s="20"/>
      <x:c r="H279" s="20"/>
      <x:c r="I279" s="20"/>
      <x:c r="J279" s="21"/>
      <x:c r="K279" s="21"/>
      <x:c r="L279" s="20"/>
      <x:c r="M279" s="20"/>
      <x:c r="N279" s="20"/>
    </x:row>
    <x:row r="280">
      <x:c r="A280" s="20"/>
      <x:c r="B280" s="20"/>
      <x:c r="C280" s="20"/>
      <x:c r="D280" s="20"/>
      <x:c r="E280" s="20"/>
      <x:c r="F280" s="20"/>
      <x:c r="G280" s="20"/>
      <x:c r="H280" s="20"/>
      <x:c r="I280" s="20"/>
      <x:c r="J280" s="21"/>
      <x:c r="K280" s="21"/>
      <x:c r="L280" s="20"/>
      <x:c r="M280" s="20"/>
      <x:c r="N280" s="20"/>
    </x:row>
    <x:row r="281">
      <x:c r="A281" s="20"/>
      <x:c r="B281" s="20"/>
      <x:c r="C281" s="20"/>
      <x:c r="D281" s="20"/>
      <x:c r="E281" s="20"/>
      <x:c r="F281" s="20"/>
      <x:c r="G281" s="20"/>
      <x:c r="H281" s="20"/>
      <x:c r="I281" s="20"/>
      <x:c r="J281" s="21"/>
      <x:c r="K281" s="21"/>
      <x:c r="L281" s="20"/>
      <x:c r="M281" s="20"/>
      <x:c r="N281" s="20"/>
    </x:row>
    <x:row r="282">
      <x:c r="A282" s="20"/>
      <x:c r="B282" s="20"/>
      <x:c r="C282" s="20"/>
      <x:c r="D282" s="20"/>
      <x:c r="E282" s="20"/>
      <x:c r="F282" s="20"/>
      <x:c r="G282" s="20"/>
      <x:c r="H282" s="20"/>
      <x:c r="I282" s="20"/>
      <x:c r="J282" s="21"/>
      <x:c r="K282" s="21"/>
      <x:c r="L282" s="20"/>
      <x:c r="M282" s="20"/>
      <x:c r="N282" s="20"/>
    </x:row>
    <x:row r="283">
      <x:c r="A283" s="20"/>
      <x:c r="B283" s="20"/>
      <x:c r="C283" s="20"/>
      <x:c r="D283" s="20"/>
      <x:c r="E283" s="20"/>
      <x:c r="F283" s="20"/>
      <x:c r="G283" s="20"/>
      <x:c r="H283" s="20"/>
      <x:c r="I283" s="20"/>
      <x:c r="J283" s="21"/>
      <x:c r="K283" s="21"/>
      <x:c r="L283" s="20"/>
      <x:c r="M283" s="20"/>
      <x:c r="N283" s="20"/>
    </x:row>
    <x:row r="284">
      <x:c r="A284" s="20"/>
      <x:c r="B284" s="20"/>
      <x:c r="C284" s="20"/>
      <x:c r="D284" s="20"/>
      <x:c r="E284" s="20"/>
      <x:c r="F284" s="20"/>
      <x:c r="G284" s="20"/>
      <x:c r="H284" s="20"/>
      <x:c r="I284" s="20"/>
      <x:c r="J284" s="21"/>
      <x:c r="K284" s="21"/>
      <x:c r="L284" s="20"/>
      <x:c r="M284" s="20"/>
      <x:c r="N284" s="20"/>
    </x:row>
    <x:row r="285">
      <x:c r="A285" s="20"/>
      <x:c r="B285" s="20"/>
      <x:c r="C285" s="20"/>
      <x:c r="D285" s="20"/>
      <x:c r="E285" s="20"/>
      <x:c r="F285" s="20"/>
      <x:c r="G285" s="20"/>
      <x:c r="H285" s="20"/>
      <x:c r="I285" s="20"/>
      <x:c r="J285" s="21"/>
      <x:c r="K285" s="21"/>
      <x:c r="L285" s="20"/>
      <x:c r="M285" s="20"/>
      <x:c r="N285" s="20"/>
    </x:row>
    <x:row r="286">
      <x:c r="A286" s="20"/>
      <x:c r="B286" s="20"/>
      <x:c r="C286" s="20"/>
      <x:c r="D286" s="20"/>
      <x:c r="E286" s="20"/>
      <x:c r="F286" s="20"/>
      <x:c r="G286" s="20"/>
      <x:c r="H286" s="20"/>
      <x:c r="I286" s="20"/>
      <x:c r="J286" s="21"/>
      <x:c r="K286" s="21"/>
      <x:c r="L286" s="20"/>
      <x:c r="M286" s="20"/>
      <x:c r="N286" s="20"/>
    </x:row>
    <x:row r="287">
      <x:c r="A287" s="20"/>
      <x:c r="B287" s="20"/>
      <x:c r="C287" s="20"/>
      <x:c r="D287" s="20"/>
      <x:c r="E287" s="20"/>
      <x:c r="F287" s="20"/>
      <x:c r="G287" s="20"/>
      <x:c r="H287" s="20"/>
      <x:c r="I287" s="20"/>
      <x:c r="J287" s="21"/>
      <x:c r="K287" s="21"/>
      <x:c r="L287" s="20"/>
      <x:c r="M287" s="20"/>
      <x:c r="N287" s="20"/>
    </x:row>
    <x:row r="288">
      <x:c r="A288" s="20"/>
      <x:c r="B288" s="20"/>
      <x:c r="C288" s="20"/>
      <x:c r="D288" s="20"/>
      <x:c r="E288" s="20"/>
      <x:c r="F288" s="20"/>
      <x:c r="G288" s="20"/>
      <x:c r="H288" s="20"/>
      <x:c r="I288" s="20"/>
      <x:c r="J288" s="21"/>
      <x:c r="K288" s="21"/>
      <x:c r="L288" s="20"/>
      <x:c r="M288" s="20"/>
      <x:c r="N288" s="20"/>
    </x:row>
    <x:row r="289">
      <x:c r="A289" s="20"/>
      <x:c r="B289" s="20"/>
      <x:c r="C289" s="20"/>
      <x:c r="D289" s="20"/>
      <x:c r="E289" s="20"/>
      <x:c r="F289" s="20"/>
      <x:c r="G289" s="20"/>
      <x:c r="H289" s="20"/>
      <x:c r="I289" s="20"/>
      <x:c r="J289" s="21"/>
      <x:c r="K289" s="21"/>
      <x:c r="L289" s="20"/>
      <x:c r="M289" s="20"/>
      <x:c r="N289" s="20"/>
    </x:row>
    <x:row r="290">
      <x:c r="A290" s="20"/>
      <x:c r="B290" s="20"/>
      <x:c r="C290" s="20"/>
      <x:c r="D290" s="20"/>
      <x:c r="E290" s="20"/>
      <x:c r="F290" s="20"/>
      <x:c r="G290" s="20"/>
      <x:c r="H290" s="20"/>
      <x:c r="I290" s="20"/>
      <x:c r="J290" s="21"/>
      <x:c r="K290" s="21"/>
      <x:c r="L290" s="20"/>
      <x:c r="M290" s="20"/>
      <x:c r="N290" s="20"/>
    </x:row>
    <x:row r="291">
      <x:c r="A291" s="20"/>
      <x:c r="B291" s="20"/>
      <x:c r="C291" s="20"/>
      <x:c r="D291" s="20"/>
      <x:c r="E291" s="20"/>
      <x:c r="F291" s="20"/>
      <x:c r="G291" s="20"/>
      <x:c r="H291" s="20"/>
      <x:c r="I291" s="20"/>
      <x:c r="J291" s="21"/>
      <x:c r="K291" s="21"/>
      <x:c r="L291" s="20"/>
      <x:c r="M291" s="20"/>
      <x:c r="N291" s="20"/>
    </x:row>
    <x:row r="292">
      <x:c r="A292" s="20"/>
      <x:c r="B292" s="20"/>
      <x:c r="C292" s="20"/>
      <x:c r="D292" s="20"/>
      <x:c r="E292" s="20"/>
      <x:c r="F292" s="20"/>
      <x:c r="G292" s="20"/>
      <x:c r="H292" s="20"/>
      <x:c r="I292" s="20"/>
      <x:c r="J292" s="21"/>
      <x:c r="K292" s="21"/>
      <x:c r="L292" s="20"/>
      <x:c r="M292" s="20"/>
      <x:c r="N292" s="20"/>
    </x:row>
    <x:row r="293">
      <x:c r="A293" s="20"/>
      <x:c r="B293" s="20"/>
      <x:c r="C293" s="20"/>
      <x:c r="D293" s="20"/>
      <x:c r="E293" s="20"/>
      <x:c r="F293" s="20"/>
      <x:c r="G293" s="20"/>
      <x:c r="H293" s="20"/>
      <x:c r="I293" s="20"/>
      <x:c r="J293" s="21"/>
      <x:c r="K293" s="21"/>
      <x:c r="L293" s="20"/>
      <x:c r="M293" s="20"/>
      <x:c r="N293" s="20"/>
    </x:row>
    <x:row r="294">
      <x:c r="A294" s="20"/>
      <x:c r="B294" s="20"/>
      <x:c r="C294" s="20"/>
      <x:c r="D294" s="20"/>
      <x:c r="E294" s="20"/>
      <x:c r="F294" s="20"/>
      <x:c r="G294" s="20"/>
      <x:c r="H294" s="20"/>
      <x:c r="I294" s="20"/>
      <x:c r="J294" s="21"/>
      <x:c r="K294" s="21"/>
      <x:c r="L294" s="20"/>
      <x:c r="M294" s="20"/>
      <x:c r="N294" s="20"/>
    </x:row>
    <x:row r="295">
      <x:c r="A295" s="20"/>
      <x:c r="B295" s="20"/>
      <x:c r="C295" s="20"/>
      <x:c r="D295" s="20"/>
      <x:c r="E295" s="20"/>
      <x:c r="F295" s="20"/>
      <x:c r="G295" s="20"/>
      <x:c r="H295" s="20"/>
      <x:c r="I295" s="20"/>
      <x:c r="J295" s="21"/>
      <x:c r="K295" s="21"/>
      <x:c r="L295" s="20"/>
      <x:c r="M295" s="20"/>
      <x:c r="N295" s="20"/>
    </x:row>
    <x:row r="296">
      <x:c r="A296" s="20"/>
      <x:c r="B296" s="20"/>
      <x:c r="C296" s="20"/>
      <x:c r="D296" s="20"/>
      <x:c r="E296" s="20"/>
      <x:c r="F296" s="20"/>
      <x:c r="G296" s="20"/>
      <x:c r="H296" s="20"/>
      <x:c r="I296" s="20"/>
      <x:c r="J296" s="21"/>
      <x:c r="K296" s="21"/>
      <x:c r="L296" s="20"/>
      <x:c r="M296" s="20"/>
      <x:c r="N296" s="20"/>
    </x:row>
    <x:row r="297">
      <x:c r="A297" s="20"/>
      <x:c r="B297" s="20"/>
      <x:c r="C297" s="20"/>
      <x:c r="D297" s="20"/>
      <x:c r="E297" s="20"/>
      <x:c r="F297" s="20"/>
      <x:c r="G297" s="20"/>
      <x:c r="H297" s="20"/>
      <x:c r="I297" s="20"/>
      <x:c r="J297" s="21"/>
      <x:c r="K297" s="21"/>
      <x:c r="L297" s="20"/>
      <x:c r="M297" s="20"/>
      <x:c r="N297" s="20"/>
    </x:row>
    <x:row r="298">
      <x:c r="A298" s="20"/>
      <x:c r="B298" s="20"/>
      <x:c r="C298" s="20"/>
      <x:c r="D298" s="20"/>
      <x:c r="E298" s="20"/>
      <x:c r="F298" s="20"/>
      <x:c r="G298" s="20"/>
      <x:c r="H298" s="20"/>
      <x:c r="I298" s="20"/>
      <x:c r="J298" s="21"/>
      <x:c r="K298" s="21"/>
      <x:c r="L298" s="20"/>
      <x:c r="M298" s="20"/>
      <x:c r="N298" s="20"/>
    </x:row>
    <x:row r="299">
      <x:c r="A299" s="20"/>
      <x:c r="B299" s="20"/>
      <x:c r="C299" s="20"/>
      <x:c r="D299" s="20"/>
      <x:c r="E299" s="20"/>
      <x:c r="F299" s="20"/>
      <x:c r="G299" s="20"/>
      <x:c r="H299" s="20"/>
      <x:c r="I299" s="20"/>
      <x:c r="J299" s="21"/>
      <x:c r="K299" s="21"/>
      <x:c r="L299" s="20"/>
      <x:c r="M299" s="20"/>
      <x:c r="N299" s="20"/>
    </x:row>
    <x:row r="300">
      <x:c r="A300" s="20"/>
      <x:c r="B300" s="20"/>
      <x:c r="C300" s="20"/>
      <x:c r="D300" s="20"/>
      <x:c r="E300" s="20"/>
      <x:c r="F300" s="20"/>
      <x:c r="G300" s="20"/>
      <x:c r="H300" s="20"/>
      <x:c r="I300" s="20"/>
      <x:c r="J300" s="21"/>
      <x:c r="K300" s="21"/>
      <x:c r="L300" s="20"/>
      <x:c r="M300" s="20"/>
      <x:c r="N300" s="20"/>
    </x:row>
    <x:row r="301">
      <x:c r="A301" s="20"/>
      <x:c r="B301" s="20"/>
      <x:c r="C301" s="20"/>
      <x:c r="D301" s="20"/>
      <x:c r="E301" s="20"/>
      <x:c r="F301" s="20"/>
      <x:c r="G301" s="20"/>
      <x:c r="H301" s="20"/>
      <x:c r="I301" s="20"/>
      <x:c r="J301" s="21"/>
      <x:c r="K301" s="21"/>
      <x:c r="L301" s="20"/>
      <x:c r="M301" s="20"/>
      <x:c r="N301" s="20"/>
    </x:row>
    <x:row r="302">
      <x:c r="A302" s="20"/>
      <x:c r="B302" s="20"/>
      <x:c r="C302" s="20"/>
      <x:c r="D302" s="20"/>
      <x:c r="E302" s="20"/>
      <x:c r="F302" s="20"/>
      <x:c r="G302" s="20"/>
      <x:c r="H302" s="20"/>
      <x:c r="I302" s="20"/>
      <x:c r="J302" s="21"/>
      <x:c r="K302" s="21"/>
      <x:c r="L302" s="20"/>
      <x:c r="M302" s="20"/>
      <x:c r="N302" s="20"/>
    </x:row>
    <x:row r="303">
      <x:c r="A303" s="20"/>
      <x:c r="B303" s="20"/>
      <x:c r="C303" s="20"/>
      <x:c r="D303" s="20"/>
      <x:c r="E303" s="20"/>
      <x:c r="F303" s="20"/>
      <x:c r="G303" s="20"/>
      <x:c r="H303" s="20"/>
      <x:c r="I303" s="20"/>
      <x:c r="J303" s="21"/>
      <x:c r="K303" s="21"/>
      <x:c r="L303" s="20"/>
      <x:c r="M303" s="20"/>
      <x:c r="N303" s="20"/>
    </x:row>
  </x:sheetData>
  <x:mergeCells>
    <x:mergeCell ref="A1:N1"/>
  </x:mergeCells>
  <x:dataValidations count="3">
    <x:dataValidation type="list" sqref="B4:B303">
      <x:formula1>"Physical,Perimeter,Network,Identity,Endpoint,Application,Data,Monitoring,Recovery"</x:formula1>
    </x:dataValidation>
    <x:dataValidation type="list" sqref="H4:H303">
      <x:formula1>"1,2,3,4,5"</x:formula1>
    </x:dataValidation>
    <x:dataValidation type="list" sqref="L4:L303">
      <x:formula1>"Not Started,Planned,In Progress,Implemented,Measured,Retired"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6" hidden="0" customWidth="1"/>
    <x:col min="3" max="3" width="34" hidden="0" customWidth="1"/>
    <x:col min="4" max="4" width="40" hidden="0" customWidth="1"/>
    <x:col min="5" max="5" width="13" hidden="0" customWidth="1"/>
    <x:col min="6" max="6" width="13" hidden="0" customWidth="1"/>
    <x:col min="7" max="7" width="18" hidden="0" customWidth="1"/>
    <x:col min="8" max="8" width="20" hidden="0" customWidth="1"/>
    <x:col min="9" max="9" width="14" hidden="0" customWidth="1"/>
    <x:col min="10" max="10" width="14" hidden="0" customWidth="1"/>
    <x:col min="11" max="11" width="16" hidden="0" customWidth="1"/>
    <x:col min="12" max="12" width="28" hidden="0" customWidth="1"/>
    <x:col min="13" max="13" width="30" hidden="0" customWidth="1"/>
  </x:cols>
  <x:sheetData>
    <x:row r="1">
      <x:c r="A1" s="4" t="str">
        <x:v>Defense-in-Depth Improvement Roadmap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Action ID</x:v>
      </x:c>
      <x:c r="B3" s="12" t="str">
        <x:v>Layer</x:v>
      </x:c>
      <x:c r="C3" s="12" t="str">
        <x:v>Gap / Objective</x:v>
      </x:c>
      <x:c r="D3" s="12" t="str">
        <x:v>Improvement Action</x:v>
      </x:c>
      <x:c r="E3" s="12" t="str">
        <x:v>Priority</x:v>
      </x:c>
      <x:c r="F3" s="12" t="str">
        <x:v>Effort</x:v>
      </x:c>
      <x:c r="G3" s="12" t="str">
        <x:v>Estimated Cost</x:v>
      </x:c>
      <x:c r="H3" s="12" t="str">
        <x:v>Owner</x:v>
      </x:c>
      <x:c r="I3" s="12" t="str">
        <x:v>Start Date</x:v>
      </x:c>
      <x:c r="J3" s="12" t="str">
        <x:v>Target Date</x:v>
      </x:c>
      <x:c r="K3" s="12" t="str">
        <x:v>Status</x:v>
      </x:c>
      <x:c r="L3" s="12" t="str">
        <x:v>Validation</x:v>
      </x:c>
      <x:c r="M3" s="12" t="str">
        <x:v>Notes</x:v>
      </x:c>
    </x:row>
    <x:row r="4">
      <x:c r="A4" s="20" t="str">
        <x:v>DI-001</x:v>
      </x:c>
      <x:c r="B4" s="20" t="str">
        <x:v>Network</x:v>
      </x:c>
      <x:c r="C4" s="20" t="str">
        <x:v>East-west segmentation incomplete</x:v>
      </x:c>
      <x:c r="D4" s="20" t="str">
        <x:v>Map critical flows and enforce workload rules</x:v>
      </x:c>
      <x:c r="E4" s="20" t="str">
        <x:v>Critical</x:v>
      </x:c>
      <x:c r="F4" s="20" t="str">
        <x:v>High</x:v>
      </x:c>
      <x:c r="G4" s="20" t="str">
        <x:v>$25k-$75k</x:v>
      </x:c>
      <x:c r="H4" s="20" t="str">
        <x:v>Network Lead</x:v>
      </x:c>
      <x:c r="I4" s="21" t="n">
        <x:v>46235</x:v>
      </x:c>
      <x:c r="J4" s="21" t="n">
        <x:v>46310</x:v>
      </x:c>
      <x:c r="K4" s="20" t="str">
        <x:v>In Progress</x:v>
      </x:c>
      <x:c r="L4" s="20" t="str">
        <x:v>Segmentation test</x:v>
      </x:c>
      <x:c r="M4" s="20" t="str"/>
    </x:row>
    <x:row r="5">
      <x:c r="A5" s="20" t="str">
        <x:v>DI-002</x:v>
      </x:c>
      <x:c r="B5" s="20" t="str">
        <x:v>Identity</x:v>
      </x:c>
      <x:c r="C5" s="20" t="str">
        <x:v>Privileged MFA migration incomplete</x:v>
      </x:c>
      <x:c r="D5" s="20" t="str">
        <x:v>Deploy phishing-resistant MFA for administrators</x:v>
      </x:c>
      <x:c r="E5" s="20" t="str">
        <x:v>Critical</x:v>
      </x:c>
      <x:c r="F5" s="20" t="str">
        <x:v>Moderate</x:v>
      </x:c>
      <x:c r="G5" s="20" t="str">
        <x:v>$10k-$25k</x:v>
      </x:c>
      <x:c r="H5" s="20" t="str">
        <x:v>IAM Lead</x:v>
      </x:c>
      <x:c r="I5" s="21" t="n">
        <x:v>46218</x:v>
      </x:c>
      <x:c r="J5" s="21" t="n">
        <x:v>46295</x:v>
      </x:c>
      <x:c r="K5" s="20" t="str">
        <x:v>In Progress</x:v>
      </x:c>
      <x:c r="L5" s="20" t="str">
        <x:v>Authentication test</x:v>
      </x:c>
      <x:c r="M5" s="20" t="str"/>
    </x:row>
    <x:row r="6">
      <x:c r="A6" s="20" t="str">
        <x:v>DI-003</x:v>
      </x:c>
      <x:c r="B6" s="20" t="str">
        <x:v>Application</x:v>
      </x:c>
      <x:c r="C6" s="20" t="str">
        <x:v>Authorization testing inconsistent</x:v>
      </x:c>
      <x:c r="D6" s="20" t="str">
        <x:v>Add automated authorization abuse cases to pipelines</x:v>
      </x:c>
      <x:c r="E6" s="20" t="str">
        <x:v>High</x:v>
      </x:c>
      <x:c r="F6" s="20" t="str">
        <x:v>Moderate</x:v>
      </x:c>
      <x:c r="G6" s="20" t="str">
        <x:v>Under $10k</x:v>
      </x:c>
      <x:c r="H6" s="20" t="str">
        <x:v>AppSec Lead</x:v>
      </x:c>
      <x:c r="I6" s="21" t="n">
        <x:v>46235</x:v>
      </x:c>
      <x:c r="J6" s="21" t="n">
        <x:v>46280</x:v>
      </x:c>
      <x:c r="K6" s="20" t="str">
        <x:v>Planned</x:v>
      </x:c>
      <x:c r="L6" s="20" t="str">
        <x:v>Pipeline results</x:v>
      </x:c>
      <x:c r="M6" s="20" t="str"/>
    </x:row>
    <x:row r="7">
      <x:c r="A7" s="20" t="str">
        <x:v>DI-004</x:v>
      </x:c>
      <x:c r="B7" s="20" t="str">
        <x:v>Monitoring</x:v>
      </x:c>
      <x:c r="C7" s="20" t="str">
        <x:v>Cloud and SaaS log gaps</x:v>
      </x:c>
      <x:c r="D7" s="20" t="str">
        <x:v>Prioritize and onboard critical missing sources</x:v>
      </x:c>
      <x:c r="E7" s="20" t="str">
        <x:v>High</x:v>
      </x:c>
      <x:c r="F7" s="20" t="str">
        <x:v>Moderate</x:v>
      </x:c>
      <x:c r="G7" s="20" t="str">
        <x:v>$10k-$25k</x:v>
      </x:c>
      <x:c r="H7" s="20" t="str">
        <x:v>SOC Lead</x:v>
      </x:c>
      <x:c r="I7" s="21" t="n">
        <x:v>46249</x:v>
      </x:c>
      <x:c r="J7" s="21" t="n">
        <x:v>46295</x:v>
      </x:c>
      <x:c r="K7" s="20" t="str">
        <x:v>Planned</x:v>
      </x:c>
      <x:c r="L7" s="20" t="str">
        <x:v>Log-source coverage</x:v>
      </x:c>
      <x:c r="M7" s="20" t="str"/>
    </x:row>
    <x:row r="8">
      <x:c r="A8" s="20" t="str">
        <x:v>DI-005</x:v>
      </x:c>
      <x:c r="B8" s="20" t="str">
        <x:v>Recovery</x:v>
      </x:c>
      <x:c r="C8" s="20" t="str">
        <x:v>Recovery testing inconsistent</x:v>
      </x:c>
      <x:c r="D8" s="20" t="str">
        <x:v>Schedule restore and failover exercises by tier</x:v>
      </x:c>
      <x:c r="E8" s="20" t="str">
        <x:v>High</x:v>
      </x:c>
      <x:c r="F8" s="20" t="str">
        <x:v>Moderate</x:v>
      </x:c>
      <x:c r="G8" s="20" t="str">
        <x:v>Under $10k</x:v>
      </x:c>
      <x:c r="H8" s="20" t="str">
        <x:v>BC Manager</x:v>
      </x:c>
      <x:c r="I8" s="21" t="n">
        <x:v>46235</x:v>
      </x:c>
      <x:c r="J8" s="21" t="n">
        <x:v>46326</x:v>
      </x:c>
      <x:c r="K8" s="20" t="str">
        <x:v>Planned</x:v>
      </x:c>
      <x:c r="L8" s="20" t="str">
        <x:v>Exercise reports</x:v>
      </x:c>
      <x:c r="M8" s="20" t="str"/>
    </x:row>
    <x:row r="9">
      <x:c r="A9" s="20" t="str">
        <x:v>DI-006</x:v>
      </x:c>
      <x:c r="B9" s="20" t="str">
        <x:v>Endpoint</x:v>
      </x:c>
      <x:c r="C9" s="20" t="str">
        <x:v>Contractor endpoint controls inconsistent</x:v>
      </x:c>
      <x:c r="D9" s="20" t="str">
        <x:v>Deploy isolated browser or managed access environment</x:v>
      </x:c>
      <x:c r="E9" s="20" t="str">
        <x:v>High</x:v>
      </x:c>
      <x:c r="F9" s="20" t="str">
        <x:v>High</x:v>
      </x:c>
      <x:c r="G9" s="20" t="str">
        <x:v>$25k-$75k</x:v>
      </x:c>
      <x:c r="H9" s="20" t="str">
        <x:v>Endpoint Lead</x:v>
      </x:c>
      <x:c r="I9" s="21" t="n">
        <x:v>46266</x:v>
      </x:c>
      <x:c r="J9" s="21" t="n">
        <x:v>46327</x:v>
      </x:c>
      <x:c r="K9" s="20" t="str">
        <x:v>Not Started</x:v>
      </x:c>
      <x:c r="L9" s="20" t="str">
        <x:v>Access test</x:v>
      </x:c>
      <x:c r="M9" s="20" t="str"/>
    </x:row>
    <x:row r="10">
      <x:c r="A10" s="20" t="str">
        <x:v>DI-007</x:v>
      </x:c>
      <x:c r="B10" s="20" t="str">
        <x:v>Data</x:v>
      </x:c>
      <x:c r="C10" s="20" t="str">
        <x:v>Retention and data-aware controls incomplete</x:v>
      </x:c>
      <x:c r="D10" s="20" t="str">
        <x:v>Complete retention schedule and pilot policy enforcement</x:v>
      </x:c>
      <x:c r="E10" s="20" t="str">
        <x:v>High</x:v>
      </x:c>
      <x:c r="F10" s="20" t="str">
        <x:v>High</x:v>
      </x:c>
      <x:c r="G10" s="20" t="str">
        <x:v>$25k-$75k</x:v>
      </x:c>
      <x:c r="H10" s="20" t="str">
        <x:v>Data Owner</x:v>
      </x:c>
      <x:c r="I10" s="21" t="n">
        <x:v>46266</x:v>
      </x:c>
      <x:c r="J10" s="21" t="n">
        <x:v>46357</x:v>
      </x:c>
      <x:c r="K10" s="20" t="str">
        <x:v>Not Started</x:v>
      </x:c>
      <x:c r="L10" s="20" t="str">
        <x:v>Policy and deletion evidence</x:v>
      </x:c>
      <x:c r="M10" s="20" t="str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1"/>
      <x:c r="J11" s="21"/>
      <x:c r="K11" s="20"/>
      <x:c r="L11" s="20"/>
      <x:c r="M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1"/>
      <x:c r="J12" s="21"/>
      <x:c r="K12" s="20"/>
      <x:c r="L12" s="20"/>
      <x:c r="M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1"/>
      <x:c r="J13" s="21"/>
      <x:c r="K13" s="20"/>
      <x:c r="L13" s="20"/>
      <x:c r="M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1"/>
      <x:c r="J14" s="21"/>
      <x:c r="K14" s="20"/>
      <x:c r="L14" s="20"/>
      <x:c r="M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1"/>
      <x:c r="J15" s="21"/>
      <x:c r="K15" s="20"/>
      <x:c r="L15" s="20"/>
      <x:c r="M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1"/>
      <x:c r="J16" s="21"/>
      <x:c r="K16" s="20"/>
      <x:c r="L16" s="20"/>
      <x:c r="M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1"/>
      <x:c r="J17" s="21"/>
      <x:c r="K17" s="20"/>
      <x:c r="L17" s="20"/>
      <x:c r="M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1"/>
      <x:c r="J18" s="21"/>
      <x:c r="K18" s="20"/>
      <x:c r="L18" s="20"/>
      <x:c r="M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1"/>
      <x:c r="J19" s="21"/>
      <x:c r="K19" s="20"/>
      <x:c r="L19" s="20"/>
      <x:c r="M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1"/>
      <x:c r="J20" s="21"/>
      <x:c r="K20" s="20"/>
      <x:c r="L20" s="20"/>
      <x:c r="M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1"/>
      <x:c r="J21" s="21"/>
      <x:c r="K21" s="20"/>
      <x:c r="L21" s="20"/>
      <x:c r="M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1"/>
      <x:c r="J22" s="21"/>
      <x:c r="K22" s="20"/>
      <x:c r="L22" s="20"/>
      <x:c r="M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1"/>
      <x:c r="J23" s="21"/>
      <x:c r="K23" s="20"/>
      <x:c r="L23" s="20"/>
      <x:c r="M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1"/>
      <x:c r="J24" s="21"/>
      <x:c r="K24" s="20"/>
      <x:c r="L24" s="20"/>
      <x:c r="M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1"/>
      <x:c r="J25" s="21"/>
      <x:c r="K25" s="20"/>
      <x:c r="L25" s="20"/>
      <x:c r="M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1"/>
      <x:c r="J26" s="21"/>
      <x:c r="K26" s="20"/>
      <x:c r="L26" s="20"/>
      <x:c r="M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1"/>
      <x:c r="J27" s="21"/>
      <x:c r="K27" s="20"/>
      <x:c r="L27" s="20"/>
      <x:c r="M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1"/>
      <x:c r="J28" s="21"/>
      <x:c r="K28" s="20"/>
      <x:c r="L28" s="20"/>
      <x:c r="M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1"/>
      <x:c r="J29" s="21"/>
      <x:c r="K29" s="20"/>
      <x:c r="L29" s="20"/>
      <x:c r="M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1"/>
      <x:c r="J30" s="21"/>
      <x:c r="K30" s="20"/>
      <x:c r="L30" s="20"/>
      <x:c r="M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1"/>
      <x:c r="J31" s="21"/>
      <x:c r="K31" s="20"/>
      <x:c r="L31" s="20"/>
      <x:c r="M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1"/>
      <x:c r="J32" s="21"/>
      <x:c r="K32" s="20"/>
      <x:c r="L32" s="20"/>
      <x:c r="M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1"/>
      <x:c r="J33" s="21"/>
      <x:c r="K33" s="20"/>
      <x:c r="L33" s="20"/>
      <x:c r="M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1"/>
      <x:c r="J34" s="21"/>
      <x:c r="K34" s="20"/>
      <x:c r="L34" s="20"/>
      <x:c r="M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1"/>
      <x:c r="J35" s="21"/>
      <x:c r="K35" s="20"/>
      <x:c r="L35" s="20"/>
      <x:c r="M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1"/>
      <x:c r="J36" s="21"/>
      <x:c r="K36" s="20"/>
      <x:c r="L36" s="20"/>
      <x:c r="M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1"/>
      <x:c r="J37" s="21"/>
      <x:c r="K37" s="20"/>
      <x:c r="L37" s="20"/>
      <x:c r="M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1"/>
      <x:c r="J38" s="21"/>
      <x:c r="K38" s="20"/>
      <x:c r="L38" s="20"/>
      <x:c r="M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1"/>
      <x:c r="J39" s="21"/>
      <x:c r="K39" s="20"/>
      <x:c r="L39" s="20"/>
      <x:c r="M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1"/>
      <x:c r="J40" s="21"/>
      <x:c r="K40" s="20"/>
      <x:c r="L40" s="20"/>
      <x:c r="M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1"/>
      <x:c r="J41" s="21"/>
      <x:c r="K41" s="20"/>
      <x:c r="L41" s="20"/>
      <x:c r="M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1"/>
      <x:c r="J42" s="21"/>
      <x:c r="K42" s="20"/>
      <x:c r="L42" s="20"/>
      <x:c r="M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1"/>
      <x:c r="J43" s="21"/>
      <x:c r="K43" s="20"/>
      <x:c r="L43" s="20"/>
      <x:c r="M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1"/>
      <x:c r="J44" s="21"/>
      <x:c r="K44" s="20"/>
      <x:c r="L44" s="20"/>
      <x:c r="M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1"/>
      <x:c r="J45" s="21"/>
      <x:c r="K45" s="20"/>
      <x:c r="L45" s="20"/>
      <x:c r="M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1"/>
      <x:c r="J46" s="21"/>
      <x:c r="K46" s="20"/>
      <x:c r="L46" s="20"/>
      <x:c r="M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1"/>
      <x:c r="J47" s="21"/>
      <x:c r="K47" s="20"/>
      <x:c r="L47" s="20"/>
      <x:c r="M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1"/>
      <x:c r="J48" s="21"/>
      <x:c r="K48" s="20"/>
      <x:c r="L48" s="20"/>
      <x:c r="M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1"/>
      <x:c r="J49" s="21"/>
      <x:c r="K49" s="20"/>
      <x:c r="L49" s="20"/>
      <x:c r="M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1"/>
      <x:c r="J50" s="21"/>
      <x:c r="K50" s="20"/>
      <x:c r="L50" s="20"/>
      <x:c r="M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1"/>
      <x:c r="J51" s="21"/>
      <x:c r="K51" s="20"/>
      <x:c r="L51" s="20"/>
      <x:c r="M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1"/>
      <x:c r="J52" s="21"/>
      <x:c r="K52" s="20"/>
      <x:c r="L52" s="20"/>
      <x:c r="M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1"/>
      <x:c r="J53" s="21"/>
      <x:c r="K53" s="20"/>
      <x:c r="L53" s="20"/>
      <x:c r="M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1"/>
      <x:c r="J54" s="21"/>
      <x:c r="K54" s="20"/>
      <x:c r="L54" s="20"/>
      <x:c r="M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1"/>
      <x:c r="J55" s="21"/>
      <x:c r="K55" s="20"/>
      <x:c r="L55" s="20"/>
      <x:c r="M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1"/>
      <x:c r="J56" s="21"/>
      <x:c r="K56" s="20"/>
      <x:c r="L56" s="20"/>
      <x:c r="M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1"/>
      <x:c r="J57" s="21"/>
      <x:c r="K57" s="20"/>
      <x:c r="L57" s="20"/>
      <x:c r="M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1"/>
      <x:c r="J58" s="21"/>
      <x:c r="K58" s="20"/>
      <x:c r="L58" s="20"/>
      <x:c r="M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1"/>
      <x:c r="J59" s="21"/>
      <x:c r="K59" s="20"/>
      <x:c r="L59" s="20"/>
      <x:c r="M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1"/>
      <x:c r="J60" s="21"/>
      <x:c r="K60" s="20"/>
      <x:c r="L60" s="20"/>
      <x:c r="M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1"/>
      <x:c r="J61" s="21"/>
      <x:c r="K61" s="20"/>
      <x:c r="L61" s="20"/>
      <x:c r="M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1"/>
      <x:c r="J62" s="21"/>
      <x:c r="K62" s="20"/>
      <x:c r="L62" s="20"/>
      <x:c r="M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1"/>
      <x:c r="J63" s="21"/>
      <x:c r="K63" s="20"/>
      <x:c r="L63" s="20"/>
      <x:c r="M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1"/>
      <x:c r="J64" s="21"/>
      <x:c r="K64" s="20"/>
      <x:c r="L64" s="20"/>
      <x:c r="M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1"/>
      <x:c r="J65" s="21"/>
      <x:c r="K65" s="20"/>
      <x:c r="L65" s="20"/>
      <x:c r="M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1"/>
      <x:c r="J66" s="21"/>
      <x:c r="K66" s="20"/>
      <x:c r="L66" s="20"/>
      <x:c r="M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1"/>
      <x:c r="J67" s="21"/>
      <x:c r="K67" s="20"/>
      <x:c r="L67" s="20"/>
      <x:c r="M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1"/>
      <x:c r="J68" s="21"/>
      <x:c r="K68" s="20"/>
      <x:c r="L68" s="20"/>
      <x:c r="M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1"/>
      <x:c r="J69" s="21"/>
      <x:c r="K69" s="20"/>
      <x:c r="L69" s="20"/>
      <x:c r="M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1"/>
      <x:c r="J70" s="21"/>
      <x:c r="K70" s="20"/>
      <x:c r="L70" s="20"/>
      <x:c r="M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1"/>
      <x:c r="J71" s="21"/>
      <x:c r="K71" s="20"/>
      <x:c r="L71" s="20"/>
      <x:c r="M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1"/>
      <x:c r="J72" s="21"/>
      <x:c r="K72" s="20"/>
      <x:c r="L72" s="20"/>
      <x:c r="M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1"/>
      <x:c r="J73" s="21"/>
      <x:c r="K73" s="20"/>
      <x:c r="L73" s="20"/>
      <x:c r="M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1"/>
      <x:c r="J74" s="21"/>
      <x:c r="K74" s="20"/>
      <x:c r="L74" s="20"/>
      <x:c r="M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1"/>
      <x:c r="J75" s="21"/>
      <x:c r="K75" s="20"/>
      <x:c r="L75" s="20"/>
      <x:c r="M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1"/>
      <x:c r="J76" s="21"/>
      <x:c r="K76" s="20"/>
      <x:c r="L76" s="20"/>
      <x:c r="M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1"/>
      <x:c r="J77" s="21"/>
      <x:c r="K77" s="20"/>
      <x:c r="L77" s="20"/>
      <x:c r="M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1"/>
      <x:c r="J78" s="21"/>
      <x:c r="K78" s="20"/>
      <x:c r="L78" s="20"/>
      <x:c r="M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1"/>
      <x:c r="J79" s="21"/>
      <x:c r="K79" s="20"/>
      <x:c r="L79" s="20"/>
      <x:c r="M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1"/>
      <x:c r="J80" s="21"/>
      <x:c r="K80" s="20"/>
      <x:c r="L80" s="20"/>
      <x:c r="M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1"/>
      <x:c r="J81" s="21"/>
      <x:c r="K81" s="20"/>
      <x:c r="L81" s="20"/>
      <x:c r="M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1"/>
      <x:c r="J82" s="21"/>
      <x:c r="K82" s="20"/>
      <x:c r="L82" s="20"/>
      <x:c r="M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1"/>
      <x:c r="J83" s="21"/>
      <x:c r="K83" s="20"/>
      <x:c r="L83" s="20"/>
      <x:c r="M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1"/>
      <x:c r="J84" s="21"/>
      <x:c r="K84" s="20"/>
      <x:c r="L84" s="20"/>
      <x:c r="M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1"/>
      <x:c r="J85" s="21"/>
      <x:c r="K85" s="20"/>
      <x:c r="L85" s="20"/>
      <x:c r="M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1"/>
      <x:c r="J86" s="21"/>
      <x:c r="K86" s="20"/>
      <x:c r="L86" s="20"/>
      <x:c r="M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1"/>
      <x:c r="J87" s="21"/>
      <x:c r="K87" s="20"/>
      <x:c r="L87" s="20"/>
      <x:c r="M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1"/>
      <x:c r="J88" s="21"/>
      <x:c r="K88" s="20"/>
      <x:c r="L88" s="20"/>
      <x:c r="M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1"/>
      <x:c r="J89" s="21"/>
      <x:c r="K89" s="20"/>
      <x:c r="L89" s="20"/>
      <x:c r="M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1"/>
      <x:c r="J90" s="21"/>
      <x:c r="K90" s="20"/>
      <x:c r="L90" s="20"/>
      <x:c r="M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1"/>
      <x:c r="J91" s="21"/>
      <x:c r="K91" s="20"/>
      <x:c r="L91" s="20"/>
      <x:c r="M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1"/>
      <x:c r="J92" s="21"/>
      <x:c r="K92" s="20"/>
      <x:c r="L92" s="20"/>
      <x:c r="M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1"/>
      <x:c r="J93" s="21"/>
      <x:c r="K93" s="20"/>
      <x:c r="L93" s="20"/>
      <x:c r="M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1"/>
      <x:c r="J94" s="21"/>
      <x:c r="K94" s="20"/>
      <x:c r="L94" s="20"/>
      <x:c r="M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1"/>
      <x:c r="J95" s="21"/>
      <x:c r="K95" s="20"/>
      <x:c r="L95" s="20"/>
      <x:c r="M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1"/>
      <x:c r="J96" s="21"/>
      <x:c r="K96" s="20"/>
      <x:c r="L96" s="20"/>
      <x:c r="M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1"/>
      <x:c r="J97" s="21"/>
      <x:c r="K97" s="20"/>
      <x:c r="L97" s="20"/>
      <x:c r="M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1"/>
      <x:c r="J98" s="21"/>
      <x:c r="K98" s="20"/>
      <x:c r="L98" s="20"/>
      <x:c r="M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1"/>
      <x:c r="J99" s="21"/>
      <x:c r="K99" s="20"/>
      <x:c r="L99" s="20"/>
      <x:c r="M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1"/>
      <x:c r="J100" s="21"/>
      <x:c r="K100" s="20"/>
      <x:c r="L100" s="20"/>
      <x:c r="M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1"/>
      <x:c r="J101" s="21"/>
      <x:c r="K101" s="20"/>
      <x:c r="L101" s="20"/>
      <x:c r="M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1"/>
      <x:c r="J102" s="21"/>
      <x:c r="K102" s="20"/>
      <x:c r="L102" s="20"/>
      <x:c r="M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1"/>
      <x:c r="J103" s="21"/>
      <x:c r="K103" s="20"/>
      <x:c r="L103" s="20"/>
      <x:c r="M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1"/>
      <x:c r="J104" s="21"/>
      <x:c r="K104" s="20"/>
      <x:c r="L104" s="20"/>
      <x:c r="M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1"/>
      <x:c r="J105" s="21"/>
      <x:c r="K105" s="20"/>
      <x:c r="L105" s="20"/>
      <x:c r="M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1"/>
      <x:c r="J106" s="21"/>
      <x:c r="K106" s="20"/>
      <x:c r="L106" s="20"/>
      <x:c r="M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1"/>
      <x:c r="J107" s="21"/>
      <x:c r="K107" s="20"/>
      <x:c r="L107" s="20"/>
      <x:c r="M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1"/>
      <x:c r="J108" s="21"/>
      <x:c r="K108" s="20"/>
      <x:c r="L108" s="20"/>
      <x:c r="M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1"/>
      <x:c r="J109" s="21"/>
      <x:c r="K109" s="20"/>
      <x:c r="L109" s="20"/>
      <x:c r="M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1"/>
      <x:c r="J110" s="21"/>
      <x:c r="K110" s="20"/>
      <x:c r="L110" s="20"/>
      <x:c r="M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1"/>
      <x:c r="J111" s="21"/>
      <x:c r="K111" s="20"/>
      <x:c r="L111" s="20"/>
      <x:c r="M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1"/>
      <x:c r="J112" s="21"/>
      <x:c r="K112" s="20"/>
      <x:c r="L112" s="20"/>
      <x:c r="M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1"/>
      <x:c r="J113" s="21"/>
      <x:c r="K113" s="20"/>
      <x:c r="L113" s="20"/>
      <x:c r="M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1"/>
      <x:c r="J114" s="21"/>
      <x:c r="K114" s="20"/>
      <x:c r="L114" s="20"/>
      <x:c r="M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1"/>
      <x:c r="J115" s="21"/>
      <x:c r="K115" s="20"/>
      <x:c r="L115" s="20"/>
      <x:c r="M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1"/>
      <x:c r="J116" s="21"/>
      <x:c r="K116" s="20"/>
      <x:c r="L116" s="20"/>
      <x:c r="M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1"/>
      <x:c r="J117" s="21"/>
      <x:c r="K117" s="20"/>
      <x:c r="L117" s="20"/>
      <x:c r="M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1"/>
      <x:c r="J118" s="21"/>
      <x:c r="K118" s="20"/>
      <x:c r="L118" s="20"/>
      <x:c r="M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1"/>
      <x:c r="J119" s="21"/>
      <x:c r="K119" s="20"/>
      <x:c r="L119" s="20"/>
      <x:c r="M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1"/>
      <x:c r="J120" s="21"/>
      <x:c r="K120" s="20"/>
      <x:c r="L120" s="20"/>
      <x:c r="M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1"/>
      <x:c r="J121" s="21"/>
      <x:c r="K121" s="20"/>
      <x:c r="L121" s="20"/>
      <x:c r="M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1"/>
      <x:c r="J122" s="21"/>
      <x:c r="K122" s="20"/>
      <x:c r="L122" s="20"/>
      <x:c r="M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1"/>
      <x:c r="J123" s="21"/>
      <x:c r="K123" s="20"/>
      <x:c r="L123" s="20"/>
      <x:c r="M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1"/>
      <x:c r="J124" s="21"/>
      <x:c r="K124" s="20"/>
      <x:c r="L124" s="20"/>
      <x:c r="M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1"/>
      <x:c r="J125" s="21"/>
      <x:c r="K125" s="20"/>
      <x:c r="L125" s="20"/>
      <x:c r="M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1"/>
      <x:c r="J126" s="21"/>
      <x:c r="K126" s="20"/>
      <x:c r="L126" s="20"/>
      <x:c r="M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1"/>
      <x:c r="J127" s="21"/>
      <x:c r="K127" s="20"/>
      <x:c r="L127" s="20"/>
      <x:c r="M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1"/>
      <x:c r="J128" s="21"/>
      <x:c r="K128" s="20"/>
      <x:c r="L128" s="20"/>
      <x:c r="M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1"/>
      <x:c r="J129" s="21"/>
      <x:c r="K129" s="20"/>
      <x:c r="L129" s="20"/>
      <x:c r="M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1"/>
      <x:c r="J130" s="21"/>
      <x:c r="K130" s="20"/>
      <x:c r="L130" s="20"/>
      <x:c r="M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1"/>
      <x:c r="J131" s="21"/>
      <x:c r="K131" s="20"/>
      <x:c r="L131" s="20"/>
      <x:c r="M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1"/>
      <x:c r="J132" s="21"/>
      <x:c r="K132" s="20"/>
      <x:c r="L132" s="20"/>
      <x:c r="M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1"/>
      <x:c r="J133" s="21"/>
      <x:c r="K133" s="20"/>
      <x:c r="L133" s="20"/>
      <x:c r="M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1"/>
      <x:c r="J134" s="21"/>
      <x:c r="K134" s="20"/>
      <x:c r="L134" s="20"/>
      <x:c r="M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1"/>
      <x:c r="J135" s="21"/>
      <x:c r="K135" s="20"/>
      <x:c r="L135" s="20"/>
      <x:c r="M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1"/>
      <x:c r="J136" s="21"/>
      <x:c r="K136" s="20"/>
      <x:c r="L136" s="20"/>
      <x:c r="M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1"/>
      <x:c r="J137" s="21"/>
      <x:c r="K137" s="20"/>
      <x:c r="L137" s="20"/>
      <x:c r="M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1"/>
      <x:c r="J138" s="21"/>
      <x:c r="K138" s="20"/>
      <x:c r="L138" s="20"/>
      <x:c r="M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1"/>
      <x:c r="J139" s="21"/>
      <x:c r="K139" s="20"/>
      <x:c r="L139" s="20"/>
      <x:c r="M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1"/>
      <x:c r="J140" s="21"/>
      <x:c r="K140" s="20"/>
      <x:c r="L140" s="20"/>
      <x:c r="M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1"/>
      <x:c r="J141" s="21"/>
      <x:c r="K141" s="20"/>
      <x:c r="L141" s="20"/>
      <x:c r="M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1"/>
      <x:c r="J142" s="21"/>
      <x:c r="K142" s="20"/>
      <x:c r="L142" s="20"/>
      <x:c r="M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1"/>
      <x:c r="J143" s="21"/>
      <x:c r="K143" s="20"/>
      <x:c r="L143" s="20"/>
      <x:c r="M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1"/>
      <x:c r="J144" s="21"/>
      <x:c r="K144" s="20"/>
      <x:c r="L144" s="20"/>
      <x:c r="M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1"/>
      <x:c r="J145" s="21"/>
      <x:c r="K145" s="20"/>
      <x:c r="L145" s="20"/>
      <x:c r="M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1"/>
      <x:c r="J146" s="21"/>
      <x:c r="K146" s="20"/>
      <x:c r="L146" s="20"/>
      <x:c r="M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1"/>
      <x:c r="J147" s="21"/>
      <x:c r="K147" s="20"/>
      <x:c r="L147" s="20"/>
      <x:c r="M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1"/>
      <x:c r="J148" s="21"/>
      <x:c r="K148" s="20"/>
      <x:c r="L148" s="20"/>
      <x:c r="M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1"/>
      <x:c r="J149" s="21"/>
      <x:c r="K149" s="20"/>
      <x:c r="L149" s="20"/>
      <x:c r="M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1"/>
      <x:c r="J150" s="21"/>
      <x:c r="K150" s="20"/>
      <x:c r="L150" s="20"/>
      <x:c r="M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1"/>
      <x:c r="J151" s="21"/>
      <x:c r="K151" s="20"/>
      <x:c r="L151" s="20"/>
      <x:c r="M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1"/>
      <x:c r="J152" s="21"/>
      <x:c r="K152" s="20"/>
      <x:c r="L152" s="20"/>
      <x:c r="M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1"/>
      <x:c r="J153" s="21"/>
      <x:c r="K153" s="20"/>
      <x:c r="L153" s="20"/>
      <x:c r="M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1"/>
      <x:c r="J154" s="21"/>
      <x:c r="K154" s="20"/>
      <x:c r="L154" s="20"/>
      <x:c r="M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1"/>
      <x:c r="J155" s="21"/>
      <x:c r="K155" s="20"/>
      <x:c r="L155" s="20"/>
      <x:c r="M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1"/>
      <x:c r="J156" s="21"/>
      <x:c r="K156" s="20"/>
      <x:c r="L156" s="20"/>
      <x:c r="M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1"/>
      <x:c r="J157" s="21"/>
      <x:c r="K157" s="20"/>
      <x:c r="L157" s="20"/>
      <x:c r="M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1"/>
      <x:c r="J158" s="21"/>
      <x:c r="K158" s="20"/>
      <x:c r="L158" s="20"/>
      <x:c r="M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1"/>
      <x:c r="J159" s="21"/>
      <x:c r="K159" s="20"/>
      <x:c r="L159" s="20"/>
      <x:c r="M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1"/>
      <x:c r="J160" s="21"/>
      <x:c r="K160" s="20"/>
      <x:c r="L160" s="20"/>
      <x:c r="M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1"/>
      <x:c r="J161" s="21"/>
      <x:c r="K161" s="20"/>
      <x:c r="L161" s="20"/>
      <x:c r="M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1"/>
      <x:c r="J162" s="21"/>
      <x:c r="K162" s="20"/>
      <x:c r="L162" s="20"/>
      <x:c r="M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1"/>
      <x:c r="J163" s="21"/>
      <x:c r="K163" s="20"/>
      <x:c r="L163" s="20"/>
      <x:c r="M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1"/>
      <x:c r="J164" s="21"/>
      <x:c r="K164" s="20"/>
      <x:c r="L164" s="20"/>
      <x:c r="M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1"/>
      <x:c r="J165" s="21"/>
      <x:c r="K165" s="20"/>
      <x:c r="L165" s="20"/>
      <x:c r="M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1"/>
      <x:c r="J166" s="21"/>
      <x:c r="K166" s="20"/>
      <x:c r="L166" s="20"/>
      <x:c r="M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1"/>
      <x:c r="J167" s="21"/>
      <x:c r="K167" s="20"/>
      <x:c r="L167" s="20"/>
      <x:c r="M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1"/>
      <x:c r="J168" s="21"/>
      <x:c r="K168" s="20"/>
      <x:c r="L168" s="20"/>
      <x:c r="M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1"/>
      <x:c r="J169" s="21"/>
      <x:c r="K169" s="20"/>
      <x:c r="L169" s="20"/>
      <x:c r="M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1"/>
      <x:c r="J170" s="21"/>
      <x:c r="K170" s="20"/>
      <x:c r="L170" s="20"/>
      <x:c r="M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1"/>
      <x:c r="J171" s="21"/>
      <x:c r="K171" s="20"/>
      <x:c r="L171" s="20"/>
      <x:c r="M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1"/>
      <x:c r="J172" s="21"/>
      <x:c r="K172" s="20"/>
      <x:c r="L172" s="20"/>
      <x:c r="M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1"/>
      <x:c r="J173" s="21"/>
      <x:c r="K173" s="20"/>
      <x:c r="L173" s="20"/>
      <x:c r="M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1"/>
      <x:c r="J174" s="21"/>
      <x:c r="K174" s="20"/>
      <x:c r="L174" s="20"/>
      <x:c r="M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1"/>
      <x:c r="J175" s="21"/>
      <x:c r="K175" s="20"/>
      <x:c r="L175" s="20"/>
      <x:c r="M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1"/>
      <x:c r="J176" s="21"/>
      <x:c r="K176" s="20"/>
      <x:c r="L176" s="20"/>
      <x:c r="M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1"/>
      <x:c r="J177" s="21"/>
      <x:c r="K177" s="20"/>
      <x:c r="L177" s="20"/>
      <x:c r="M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1"/>
      <x:c r="J178" s="21"/>
      <x:c r="K178" s="20"/>
      <x:c r="L178" s="20"/>
      <x:c r="M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1"/>
      <x:c r="J179" s="21"/>
      <x:c r="K179" s="20"/>
      <x:c r="L179" s="20"/>
      <x:c r="M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1"/>
      <x:c r="J180" s="21"/>
      <x:c r="K180" s="20"/>
      <x:c r="L180" s="20"/>
      <x:c r="M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1"/>
      <x:c r="J181" s="21"/>
      <x:c r="K181" s="20"/>
      <x:c r="L181" s="20"/>
      <x:c r="M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1"/>
      <x:c r="J182" s="21"/>
      <x:c r="K182" s="20"/>
      <x:c r="L182" s="20"/>
      <x:c r="M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1"/>
      <x:c r="J183" s="21"/>
      <x:c r="K183" s="20"/>
      <x:c r="L183" s="20"/>
      <x:c r="M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1"/>
      <x:c r="J184" s="21"/>
      <x:c r="K184" s="20"/>
      <x:c r="L184" s="20"/>
      <x:c r="M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1"/>
      <x:c r="J185" s="21"/>
      <x:c r="K185" s="20"/>
      <x:c r="L185" s="20"/>
      <x:c r="M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1"/>
      <x:c r="J186" s="21"/>
      <x:c r="K186" s="20"/>
      <x:c r="L186" s="20"/>
      <x:c r="M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1"/>
      <x:c r="J187" s="21"/>
      <x:c r="K187" s="20"/>
      <x:c r="L187" s="20"/>
      <x:c r="M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1"/>
      <x:c r="J188" s="21"/>
      <x:c r="K188" s="20"/>
      <x:c r="L188" s="20"/>
      <x:c r="M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1"/>
      <x:c r="J189" s="21"/>
      <x:c r="K189" s="20"/>
      <x:c r="L189" s="20"/>
      <x:c r="M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1"/>
      <x:c r="J190" s="21"/>
      <x:c r="K190" s="20"/>
      <x:c r="L190" s="20"/>
      <x:c r="M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1"/>
      <x:c r="J191" s="21"/>
      <x:c r="K191" s="20"/>
      <x:c r="L191" s="20"/>
      <x:c r="M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1"/>
      <x:c r="J192" s="21"/>
      <x:c r="K192" s="20"/>
      <x:c r="L192" s="20"/>
      <x:c r="M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1"/>
      <x:c r="J193" s="21"/>
      <x:c r="K193" s="20"/>
      <x:c r="L193" s="20"/>
      <x:c r="M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1"/>
      <x:c r="J194" s="21"/>
      <x:c r="K194" s="20"/>
      <x:c r="L194" s="20"/>
      <x:c r="M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1"/>
      <x:c r="J195" s="21"/>
      <x:c r="K195" s="20"/>
      <x:c r="L195" s="20"/>
      <x:c r="M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1"/>
      <x:c r="J196" s="21"/>
      <x:c r="K196" s="20"/>
      <x:c r="L196" s="20"/>
      <x:c r="M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1"/>
      <x:c r="J197" s="21"/>
      <x:c r="K197" s="20"/>
      <x:c r="L197" s="20"/>
      <x:c r="M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1"/>
      <x:c r="J198" s="21"/>
      <x:c r="K198" s="20"/>
      <x:c r="L198" s="20"/>
      <x:c r="M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1"/>
      <x:c r="J199" s="21"/>
      <x:c r="K199" s="20"/>
      <x:c r="L199" s="20"/>
      <x:c r="M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1"/>
      <x:c r="J200" s="21"/>
      <x:c r="K200" s="20"/>
      <x:c r="L200" s="20"/>
      <x:c r="M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1"/>
      <x:c r="J201" s="21"/>
      <x:c r="K201" s="20"/>
      <x:c r="L201" s="20"/>
      <x:c r="M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1"/>
      <x:c r="J202" s="21"/>
      <x:c r="K202" s="20"/>
      <x:c r="L202" s="20"/>
      <x:c r="M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1"/>
      <x:c r="J203" s="21"/>
      <x:c r="K203" s="20"/>
      <x:c r="L203" s="20"/>
      <x:c r="M203" s="20"/>
    </x:row>
  </x:sheetData>
  <x:mergeCells>
    <x:mergeCell ref="A1:M1"/>
  </x:mergeCells>
  <x:dataValidations count="5">
    <x:dataValidation type="list" sqref="B4:B203">
      <x:formula1>"Physical,Perimeter,Network,Identity,Endpoint,Application,Data,Monitoring,Recovery"</x:formula1>
    </x:dataValidation>
    <x:dataValidation type="list" sqref="E4:E203">
      <x:formula1>"Low,Moderate,High,Critical"</x:formula1>
    </x:dataValidation>
    <x:dataValidation type="list" sqref="F4:F203">
      <x:formula1>"Low,Moderate,High"</x:formula1>
    </x:dataValidation>
    <x:dataValidation type="list" sqref="G4:G203">
      <x:formula1>"Under $10k,$10k-$25k,$25k-$75k,$75k-$250k,Over $250k,Internal Effort"</x:formula1>
    </x:dataValidation>
    <x:dataValidation type="list" sqref="K4:K203">
      <x:formula1>"Not Started,Planned,In Progress,Blocked,Complete,Accepted"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18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16" hidden="0" customWidth="1"/>
    <x:col min="13" max="13" width="30" hidden="0" customWidth="1"/>
  </x:cols>
  <x:sheetData>
    <x:row r="1">
      <x:c r="A1" s="4" t="str">
        <x:v>Adverse Scenario Coverage Matrix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3">
      <x:c r="A3" s="12" t="str">
        <x:v>Scenario ID</x:v>
      </x:c>
      <x:c r="B3" s="12" t="str">
        <x:v>Adverse Scenario</x:v>
      </x:c>
      <x:c r="C3" s="12" t="str">
        <x:v>Physical</x:v>
      </x:c>
      <x:c r="D3" s="12" t="str">
        <x:v>Perimeter</x:v>
      </x:c>
      <x:c r="E3" s="12" t="str">
        <x:v>Network</x:v>
      </x:c>
      <x:c r="F3" s="12" t="str">
        <x:v>Identity</x:v>
      </x:c>
      <x:c r="G3" s="12" t="str">
        <x:v>Endpoint</x:v>
      </x:c>
      <x:c r="H3" s="12" t="str">
        <x:v>Application</x:v>
      </x:c>
      <x:c r="I3" s="12" t="str">
        <x:v>Data</x:v>
      </x:c>
      <x:c r="J3" s="12" t="str">
        <x:v>Monitoring</x:v>
      </x:c>
      <x:c r="K3" s="12" t="str">
        <x:v>Recovery</x:v>
      </x:c>
      <x:c r="L3" s="12" t="str">
        <x:v>Coverage Rating</x:v>
      </x:c>
      <x:c r="M3" s="12" t="str">
        <x:v>Notes</x:v>
      </x:c>
    </x:row>
    <x:row r="4">
      <x:c r="A4" s="20" t="str">
        <x:v>SC-001</x:v>
      </x:c>
      <x:c r="B4" s="20" t="str">
        <x:v>Credential phishing and account takeover</x:v>
      </x:c>
      <x:c r="C4" s="20" t="str">
        <x:v>N/A</x:v>
      </x:c>
      <x:c r="D4" s="20" t="str">
        <x:v>Email filtering</x:v>
      </x:c>
      <x:c r="E4" s="20" t="str">
        <x:v>Segmentation</x:v>
      </x:c>
      <x:c r="F4" s="20" t="str">
        <x:v>MFA and risk controls</x:v>
      </x:c>
      <x:c r="G4" s="20" t="str">
        <x:v>EDR</x:v>
      </x:c>
      <x:c r="H4" s="20" t="str">
        <x:v>Secure session controls</x:v>
      </x:c>
      <x:c r="I4" s="20" t="str">
        <x:v>Data authorization</x:v>
      </x:c>
      <x:c r="J4" s="20" t="str">
        <x:v>Sign-in detections</x:v>
      </x:c>
      <x:c r="K4" s="20" t="str">
        <x:v>Account recovery</x:v>
      </x:c>
      <x:c r="L4" s="20" t="str">
        <x:v>Strong</x:v>
      </x:c>
      <x:c r="M4" s="20" t="str"/>
    </x:row>
    <x:row r="5">
      <x:c r="A5" s="20" t="str">
        <x:v>SC-002</x:v>
      </x:c>
      <x:c r="B5" s="20" t="str">
        <x:v>Ransomware on corporate endpoint</x:v>
      </x:c>
      <x:c r="C5" s="20" t="str">
        <x:v>Physical access</x:v>
      </x:c>
      <x:c r="D5" s="20" t="str">
        <x:v>Email/web filtering</x:v>
      </x:c>
      <x:c r="E5" s="20" t="str">
        <x:v>Segmentation</x:v>
      </x:c>
      <x:c r="F5" s="20" t="str">
        <x:v>Least privilege</x:v>
      </x:c>
      <x:c r="G5" s="20" t="str">
        <x:v>EDR and patching</x:v>
      </x:c>
      <x:c r="H5" s="20" t="str">
        <x:v>Application allowlisting</x:v>
      </x:c>
      <x:c r="I5" s="20" t="str">
        <x:v>Backups and access control</x:v>
      </x:c>
      <x:c r="J5" s="20" t="str">
        <x:v>Behavior detections</x:v>
      </x:c>
      <x:c r="K5" s="20" t="str">
        <x:v>Immutable backups</x:v>
      </x:c>
      <x:c r="L5" s="20" t="str">
        <x:v>Strong</x:v>
      </x:c>
      <x:c r="M5" s="20" t="str"/>
    </x:row>
    <x:row r="6">
      <x:c r="A6" s="20" t="str">
        <x:v>SC-003</x:v>
      </x:c>
      <x:c r="B6" s="20" t="str">
        <x:v>Public application exploitation</x:v>
      </x:c>
      <x:c r="C6" s="20" t="str">
        <x:v>N/A</x:v>
      </x:c>
      <x:c r="D6" s="20" t="str">
        <x:v>WAF / CDN</x:v>
      </x:c>
      <x:c r="E6" s="20" t="str">
        <x:v>DMZ segmentation</x:v>
      </x:c>
      <x:c r="F6" s="20" t="str">
        <x:v>Admin MFA</x:v>
      </x:c>
      <x:c r="G6" s="20" t="str">
        <x:v>Server EDR</x:v>
      </x:c>
      <x:c r="H6" s="20" t="str">
        <x:v>Secure SDLC</x:v>
      </x:c>
      <x:c r="I6" s="20" t="str">
        <x:v>Database controls</x:v>
      </x:c>
      <x:c r="J6" s="20" t="str">
        <x:v>Application and WAF logs</x:v>
      </x:c>
      <x:c r="K6" s="20" t="str">
        <x:v>Restore procedures</x:v>
      </x:c>
      <x:c r="L6" s="20" t="str">
        <x:v>Moderate</x:v>
      </x:c>
      <x:c r="M6" s="20" t="str">
        <x:v>Authorization testing gap</x:v>
      </x:c>
    </x:row>
    <x:row r="7">
      <x:c r="A7" s="20" t="str">
        <x:v>SC-004</x:v>
      </x:c>
      <x:c r="B7" s="20" t="str">
        <x:v>Malicious privileged administrator</x:v>
      </x:c>
      <x:c r="C7" s="20" t="str">
        <x:v>Physical controls</x:v>
      </x:c>
      <x:c r="D7" s="20" t="str">
        <x:v>Remote admin controls</x:v>
      </x:c>
      <x:c r="E7" s="20" t="str">
        <x:v>Admin zones</x:v>
      </x:c>
      <x:c r="F7" s="20" t="str">
        <x:v>PAM and reviews</x:v>
      </x:c>
      <x:c r="G7" s="20" t="str">
        <x:v>Privileged workstation</x:v>
      </x:c>
      <x:c r="H7" s="20" t="str">
        <x:v>Change controls</x:v>
      </x:c>
      <x:c r="I7" s="20" t="str">
        <x:v>Data monitoring</x:v>
      </x:c>
      <x:c r="J7" s="20" t="str">
        <x:v>Immutable logs</x:v>
      </x:c>
      <x:c r="K7" s="20" t="str">
        <x:v>Recovery and investigation</x:v>
      </x:c>
      <x:c r="L7" s="20" t="str">
        <x:v>Moderate</x:v>
      </x:c>
      <x:c r="M7" s="20" t="str">
        <x:v>PAM maturity gap</x:v>
      </x:c>
    </x:row>
    <x:row r="8">
      <x:c r="A8" s="20" t="str">
        <x:v>SC-005</x:v>
      </x:c>
      <x:c r="B8" s="20" t="str">
        <x:v>Cloud service misconfiguration</x:v>
      </x:c>
      <x:c r="C8" s="20" t="str">
        <x:v>N/A</x:v>
      </x:c>
      <x:c r="D8" s="20" t="str">
        <x:v>Cloud edge controls</x:v>
      </x:c>
      <x:c r="E8" s="20" t="str">
        <x:v>Cloud segmentation</x:v>
      </x:c>
      <x:c r="F8" s="20" t="str">
        <x:v>Cloud IAM</x:v>
      </x:c>
      <x:c r="G8" s="20" t="str">
        <x:v>Workload protection</x:v>
      </x:c>
      <x:c r="H8" s="20" t="str">
        <x:v>Configuration scanning</x:v>
      </x:c>
      <x:c r="I8" s="20" t="str">
        <x:v>Encryption and policy</x:v>
      </x:c>
      <x:c r="J8" s="20" t="str">
        <x:v>Cloud logs</x:v>
      </x:c>
      <x:c r="K8" s="20" t="str">
        <x:v>Infrastructure recovery</x:v>
      </x:c>
      <x:c r="L8" s="20" t="str">
        <x:v>Moderate</x:v>
      </x:c>
      <x:c r="M8" s="20" t="str">
        <x:v>Coverage varies by service</x:v>
      </x:c>
    </x:row>
    <x:row r="9">
      <x:c r="A9" s="20" t="str">
        <x:v>SC-006</x:v>
      </x:c>
      <x:c r="B9" s="20" t="str">
        <x:v>Data-center service outage</x:v>
      </x:c>
      <x:c r="C9" s="20" t="str">
        <x:v>Physical resilience</x:v>
      </x:c>
      <x:c r="D9" s="20" t="str">
        <x:v>DDoS protections</x:v>
      </x:c>
      <x:c r="E9" s="20" t="str">
        <x:v>Redundant connectivity</x:v>
      </x:c>
      <x:c r="F9" s="20" t="str">
        <x:v>Emergency access</x:v>
      </x:c>
      <x:c r="G9" s="20" t="str">
        <x:v>Spare devices</x:v>
      </x:c>
      <x:c r="H9" s="20" t="str">
        <x:v>Application resilience</x:v>
      </x:c>
      <x:c r="I9" s="20" t="str">
        <x:v>Replicas and backups</x:v>
      </x:c>
      <x:c r="J9" s="20" t="str">
        <x:v>Availability monitoring</x:v>
      </x:c>
      <x:c r="K9" s="20" t="str">
        <x:v>DR and failover</x:v>
      </x:c>
      <x:c r="L9" s="20" t="str">
        <x:v>Strong</x:v>
      </x:c>
      <x:c r="M9" s="20" t="str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0"/>
      <x:c r="L10" s="20"/>
      <x:c r="M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0"/>
      <x:c r="L11" s="20"/>
      <x:c r="M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0"/>
      <x:c r="L12" s="20"/>
      <x:c r="M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0"/>
      <x:c r="L13" s="20"/>
      <x:c r="M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  <x:c r="K14" s="20"/>
      <x:c r="L14" s="20"/>
      <x:c r="M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0"/>
      <x:c r="M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  <x:c r="K17" s="20"/>
      <x:c r="L17" s="20"/>
      <x:c r="M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  <x:c r="K18" s="20"/>
      <x:c r="L18" s="20"/>
      <x:c r="M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  <x:c r="K20" s="20"/>
      <x:c r="L20" s="20"/>
      <x:c r="M20" s="20"/>
    </x:row>
    <x:row r="21">
      <x:c r="A21" s="20"/>
      <x:c r="B21" s="20"/>
      <x:c r="C21" s="20"/>
      <x:c r="D21" s="20"/>
      <x:c r="E21" s="20"/>
      <x:c r="F21" s="20"/>
      <x:c r="G21" s="20"/>
      <x:c r="H21" s="20"/>
      <x:c r="I21" s="20"/>
      <x:c r="J21" s="20"/>
      <x:c r="K21" s="20"/>
      <x:c r="L21" s="20"/>
      <x:c r="M21" s="20"/>
    </x:row>
    <x:row r="22">
      <x:c r="A22" s="20"/>
      <x:c r="B22" s="20"/>
      <x:c r="C22" s="20"/>
      <x:c r="D22" s="20"/>
      <x:c r="E22" s="20"/>
      <x:c r="F22" s="20"/>
      <x:c r="G22" s="20"/>
      <x:c r="H22" s="20"/>
      <x:c r="I22" s="20"/>
      <x:c r="J22" s="20"/>
      <x:c r="K22" s="20"/>
      <x:c r="L22" s="20"/>
      <x:c r="M22" s="20"/>
    </x:row>
    <x:row r="23">
      <x:c r="A23" s="20"/>
      <x:c r="B23" s="20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</x:row>
    <x:row r="24">
      <x:c r="A24" s="20"/>
      <x:c r="B24" s="20"/>
      <x:c r="C24" s="20"/>
      <x:c r="D24" s="20"/>
      <x:c r="E24" s="20"/>
      <x:c r="F24" s="20"/>
      <x:c r="G24" s="20"/>
      <x:c r="H24" s="20"/>
      <x:c r="I24" s="20"/>
      <x:c r="J24" s="20"/>
      <x:c r="K24" s="20"/>
      <x:c r="L24" s="20"/>
      <x:c r="M24" s="20"/>
    </x:row>
    <x:row r="25">
      <x:c r="A25" s="20"/>
      <x:c r="B25" s="20"/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/>
    </x:row>
    <x:row r="26">
      <x:c r="A26" s="20"/>
      <x:c r="B26" s="20"/>
      <x:c r="C26" s="20"/>
      <x:c r="D26" s="20"/>
      <x:c r="E26" s="20"/>
      <x:c r="F26" s="20"/>
      <x:c r="G26" s="20"/>
      <x:c r="H26" s="20"/>
      <x:c r="I26" s="20"/>
      <x:c r="J26" s="20"/>
      <x:c r="K26" s="20"/>
      <x:c r="L26" s="20"/>
      <x:c r="M26" s="20"/>
    </x:row>
    <x:row r="27">
      <x:c r="A27" s="20"/>
      <x:c r="B27" s="20"/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/>
    </x:row>
    <x:row r="28">
      <x:c r="A28" s="20"/>
      <x:c r="B28" s="20"/>
      <x:c r="C28" s="20"/>
      <x:c r="D28" s="20"/>
      <x:c r="E28" s="20"/>
      <x:c r="F28" s="20"/>
      <x:c r="G28" s="20"/>
      <x:c r="H28" s="20"/>
      <x:c r="I28" s="20"/>
      <x:c r="J28" s="20"/>
      <x:c r="K28" s="20"/>
      <x:c r="L28" s="20"/>
      <x:c r="M28" s="20"/>
    </x:row>
    <x:row r="29">
      <x:c r="A29" s="20"/>
      <x:c r="B29" s="20"/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</x:row>
    <x:row r="30">
      <x:c r="A30" s="20"/>
      <x:c r="B30" s="20"/>
      <x:c r="C30" s="20"/>
      <x:c r="D30" s="20"/>
      <x:c r="E30" s="20"/>
      <x:c r="F30" s="20"/>
      <x:c r="G30" s="20"/>
      <x:c r="H30" s="20"/>
      <x:c r="I30" s="20"/>
      <x:c r="J30" s="20"/>
      <x:c r="K30" s="20"/>
      <x:c r="L30" s="20"/>
      <x:c r="M30" s="20"/>
    </x:row>
    <x:row r="31">
      <x:c r="A31" s="20"/>
      <x:c r="B31" s="20"/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</x:row>
    <x:row r="32">
      <x:c r="A32" s="20"/>
      <x:c r="B32" s="20"/>
      <x:c r="C32" s="20"/>
      <x:c r="D32" s="20"/>
      <x:c r="E32" s="20"/>
      <x:c r="F32" s="20"/>
      <x:c r="G32" s="20"/>
      <x:c r="H32" s="20"/>
      <x:c r="I32" s="20"/>
      <x:c r="J32" s="20"/>
      <x:c r="K32" s="20"/>
      <x:c r="L32" s="20"/>
      <x:c r="M32" s="20"/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</x:row>
    <x:row r="41">
      <x:c r="A41" s="20"/>
      <x:c r="B41" s="20"/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</x:row>
    <x:row r="42">
      <x:c r="A42" s="20"/>
      <x:c r="B42" s="20"/>
      <x:c r="C42" s="20"/>
      <x:c r="D42" s="20"/>
      <x:c r="E42" s="20"/>
      <x:c r="F42" s="20"/>
      <x:c r="G42" s="20"/>
      <x:c r="H42" s="20"/>
      <x:c r="I42" s="20"/>
      <x:c r="J42" s="20"/>
      <x:c r="K42" s="20"/>
      <x:c r="L42" s="20"/>
      <x:c r="M42" s="20"/>
    </x:row>
    <x:row r="43">
      <x:c r="A43" s="20"/>
      <x:c r="B43" s="20"/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</x:row>
    <x:row r="44">
      <x:c r="A44" s="20"/>
      <x:c r="B44" s="20"/>
      <x:c r="C44" s="20"/>
      <x:c r="D44" s="20"/>
      <x:c r="E44" s="20"/>
      <x:c r="F44" s="20"/>
      <x:c r="G44" s="20"/>
      <x:c r="H44" s="20"/>
      <x:c r="I44" s="20"/>
      <x:c r="J44" s="20"/>
      <x:c r="K44" s="20"/>
      <x:c r="L44" s="20"/>
      <x:c r="M44" s="20"/>
    </x:row>
    <x:row r="45">
      <x:c r="A45" s="20"/>
      <x:c r="B45" s="20"/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</x:row>
    <x:row r="46">
      <x:c r="A46" s="20"/>
      <x:c r="B46" s="20"/>
      <x:c r="C46" s="20"/>
      <x:c r="D46" s="20"/>
      <x:c r="E46" s="20"/>
      <x:c r="F46" s="20"/>
      <x:c r="G46" s="20"/>
      <x:c r="H46" s="20"/>
      <x:c r="I46" s="20"/>
      <x:c r="J46" s="20"/>
      <x:c r="K46" s="20"/>
      <x:c r="L46" s="20"/>
      <x:c r="M46" s="20"/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</x:row>
    <x:row r="48">
      <x:c r="A48" s="20"/>
      <x:c r="B48" s="20"/>
      <x:c r="C48" s="20"/>
      <x:c r="D48" s="20"/>
      <x:c r="E48" s="20"/>
      <x:c r="F48" s="20"/>
      <x:c r="G48" s="20"/>
      <x:c r="H48" s="20"/>
      <x:c r="I48" s="20"/>
      <x:c r="J48" s="20"/>
      <x:c r="K48" s="20"/>
      <x:c r="L48" s="20"/>
      <x:c r="M48" s="20"/>
    </x:row>
    <x:row r="49">
      <x:c r="A49" s="20"/>
      <x:c r="B49" s="20"/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</x:row>
    <x:row r="50">
      <x:c r="A50" s="20"/>
      <x:c r="B50" s="20"/>
      <x:c r="C50" s="20"/>
      <x:c r="D50" s="20"/>
      <x:c r="E50" s="20"/>
      <x:c r="F50" s="20"/>
      <x:c r="G50" s="20"/>
      <x:c r="H50" s="20"/>
      <x:c r="I50" s="20"/>
      <x:c r="J50" s="20"/>
      <x:c r="K50" s="20"/>
      <x:c r="L50" s="20"/>
      <x:c r="M50" s="20"/>
    </x:row>
    <x:row r="51">
      <x:c r="A51" s="20"/>
      <x:c r="B51" s="20"/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</x:row>
    <x:row r="52">
      <x:c r="A52" s="20"/>
      <x:c r="B52" s="20"/>
      <x:c r="C52" s="20"/>
      <x:c r="D52" s="20"/>
      <x:c r="E52" s="20"/>
      <x:c r="F52" s="20"/>
      <x:c r="G52" s="20"/>
      <x:c r="H52" s="20"/>
      <x:c r="I52" s="20"/>
      <x:c r="J52" s="20"/>
      <x:c r="K52" s="20"/>
      <x:c r="L52" s="20"/>
      <x:c r="M52" s="20"/>
    </x:row>
    <x:row r="53">
      <x:c r="A53" s="20"/>
      <x:c r="B53" s="20"/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</x:row>
    <x:row r="54">
      <x:c r="A54" s="20"/>
      <x:c r="B54" s="20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</x:row>
    <x:row r="55">
      <x:c r="A55" s="20"/>
      <x:c r="B55" s="20"/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</x:row>
    <x:row r="56">
      <x:c r="A56" s="20"/>
      <x:c r="B56" s="20"/>
      <x:c r="C56" s="20"/>
      <x:c r="D56" s="20"/>
      <x:c r="E56" s="20"/>
      <x:c r="F56" s="20"/>
      <x:c r="G56" s="20"/>
      <x:c r="H56" s="20"/>
      <x:c r="I56" s="20"/>
      <x:c r="J56" s="20"/>
      <x:c r="K56" s="20"/>
      <x:c r="L56" s="20"/>
      <x:c r="M56" s="20"/>
    </x:row>
    <x:row r="57">
      <x:c r="A57" s="20"/>
      <x:c r="B57" s="20"/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</x:row>
    <x:row r="58">
      <x:c r="A58" s="20"/>
      <x:c r="B58" s="20"/>
      <x:c r="C58" s="20"/>
      <x:c r="D58" s="20"/>
      <x:c r="E58" s="20"/>
      <x:c r="F58" s="20"/>
      <x:c r="G58" s="20"/>
      <x:c r="H58" s="20"/>
      <x:c r="I58" s="20"/>
      <x:c r="J58" s="20"/>
      <x:c r="K58" s="20"/>
      <x:c r="L58" s="20"/>
      <x:c r="M58" s="20"/>
    </x:row>
    <x:row r="59">
      <x:c r="A59" s="20"/>
      <x:c r="B59" s="20"/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</x:row>
    <x:row r="60">
      <x:c r="A60" s="20"/>
      <x:c r="B60" s="20"/>
      <x:c r="C60" s="20"/>
      <x:c r="D60" s="20"/>
      <x:c r="E60" s="20"/>
      <x:c r="F60" s="20"/>
      <x:c r="G60" s="20"/>
      <x:c r="H60" s="20"/>
      <x:c r="I60" s="20"/>
      <x:c r="J60" s="20"/>
      <x:c r="K60" s="20"/>
      <x:c r="L60" s="20"/>
      <x:c r="M60" s="20"/>
    </x:row>
    <x:row r="61">
      <x:c r="A61" s="20"/>
      <x:c r="B61" s="20"/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</x:row>
    <x:row r="62">
      <x:c r="A62" s="20"/>
      <x:c r="B62" s="20"/>
      <x:c r="C62" s="20"/>
      <x:c r="D62" s="20"/>
      <x:c r="E62" s="20"/>
      <x:c r="F62" s="20"/>
      <x:c r="G62" s="20"/>
      <x:c r="H62" s="20"/>
      <x:c r="I62" s="20"/>
      <x:c r="J62" s="20"/>
      <x:c r="K62" s="20"/>
      <x:c r="L62" s="20"/>
      <x:c r="M62" s="20"/>
    </x:row>
    <x:row r="63">
      <x:c r="A63" s="20"/>
      <x:c r="B63" s="20"/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</x:row>
    <x:row r="64">
      <x:c r="A64" s="20"/>
      <x:c r="B64" s="20"/>
      <x:c r="C64" s="20"/>
      <x:c r="D64" s="20"/>
      <x:c r="E64" s="20"/>
      <x:c r="F64" s="20"/>
      <x:c r="G64" s="20"/>
      <x:c r="H64" s="20"/>
      <x:c r="I64" s="20"/>
      <x:c r="J64" s="20"/>
      <x:c r="K64" s="20"/>
      <x:c r="L64" s="20"/>
      <x:c r="M64" s="20"/>
    </x:row>
    <x:row r="65">
      <x:c r="A65" s="20"/>
      <x:c r="B65" s="20"/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</x:row>
    <x:row r="66">
      <x:c r="A66" s="20"/>
      <x:c r="B66" s="20"/>
      <x:c r="C66" s="20"/>
      <x:c r="D66" s="20"/>
      <x:c r="E66" s="20"/>
      <x:c r="F66" s="20"/>
      <x:c r="G66" s="20"/>
      <x:c r="H66" s="20"/>
      <x:c r="I66" s="20"/>
      <x:c r="J66" s="20"/>
      <x:c r="K66" s="20"/>
      <x:c r="L66" s="20"/>
      <x:c r="M66" s="20"/>
    </x:row>
    <x:row r="67">
      <x:c r="A67" s="20"/>
      <x:c r="B67" s="20"/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</x:row>
    <x:row r="68">
      <x:c r="A68" s="20"/>
      <x:c r="B68" s="20"/>
      <x:c r="C68" s="20"/>
      <x:c r="D68" s="20"/>
      <x:c r="E68" s="20"/>
      <x:c r="F68" s="20"/>
      <x:c r="G68" s="20"/>
      <x:c r="H68" s="20"/>
      <x:c r="I68" s="20"/>
      <x:c r="J68" s="20"/>
      <x:c r="K68" s="20"/>
      <x:c r="L68" s="20"/>
      <x:c r="M68" s="20"/>
    </x:row>
    <x:row r="69">
      <x:c r="A69" s="20"/>
      <x:c r="B69" s="20"/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</x:row>
    <x:row r="70">
      <x:c r="A70" s="20"/>
      <x:c r="B70" s="20"/>
      <x:c r="C70" s="20"/>
      <x:c r="D70" s="20"/>
      <x:c r="E70" s="20"/>
      <x:c r="F70" s="20"/>
      <x:c r="G70" s="20"/>
      <x:c r="H70" s="20"/>
      <x:c r="I70" s="20"/>
      <x:c r="J70" s="20"/>
      <x:c r="K70" s="20"/>
      <x:c r="L70" s="20"/>
      <x:c r="M70" s="20"/>
    </x:row>
    <x:row r="71">
      <x:c r="A71" s="20"/>
      <x:c r="B71" s="20"/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</x:row>
    <x:row r="72">
      <x:c r="A72" s="20"/>
      <x:c r="B72" s="20"/>
      <x:c r="C72" s="20"/>
      <x:c r="D72" s="20"/>
      <x:c r="E72" s="20"/>
      <x:c r="F72" s="20"/>
      <x:c r="G72" s="20"/>
      <x:c r="H72" s="20"/>
      <x:c r="I72" s="20"/>
      <x:c r="J72" s="20"/>
      <x:c r="K72" s="20"/>
      <x:c r="L72" s="20"/>
      <x:c r="M72" s="20"/>
    </x:row>
    <x:row r="73">
      <x:c r="A73" s="20"/>
      <x:c r="B73" s="20"/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</x:row>
    <x:row r="74">
      <x:c r="A74" s="20"/>
      <x:c r="B74" s="20"/>
      <x:c r="C74" s="20"/>
      <x:c r="D74" s="20"/>
      <x:c r="E74" s="20"/>
      <x:c r="F74" s="20"/>
      <x:c r="G74" s="20"/>
      <x:c r="H74" s="20"/>
      <x:c r="I74" s="20"/>
      <x:c r="J74" s="20"/>
      <x:c r="K74" s="20"/>
      <x:c r="L74" s="20"/>
      <x:c r="M74" s="20"/>
    </x:row>
    <x:row r="75">
      <x:c r="A75" s="20"/>
      <x:c r="B75" s="20"/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20"/>
      <x:c r="L76" s="20"/>
      <x:c r="M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20"/>
      <x:c r="L78" s="20"/>
      <x:c r="M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20"/>
      <x:c r="L80" s="20"/>
      <x:c r="M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</x:row>
    <x:row r="91">
      <x:c r="A91" s="20"/>
      <x:c r="B91" s="20"/>
      <x:c r="C91" s="20"/>
      <x:c r="D91" s="20"/>
      <x:c r="E91" s="20"/>
      <x:c r="F91" s="20"/>
      <x:c r="G91" s="20"/>
      <x:c r="H91" s="20"/>
      <x:c r="I91" s="20"/>
      <x:c r="J91" s="20"/>
      <x:c r="K91" s="20"/>
      <x:c r="L91" s="20"/>
      <x:c r="M91" s="20"/>
    </x:row>
    <x:row r="92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</x:row>
    <x:row r="93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</x:row>
    <x:row r="94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</x:row>
    <x:row r="95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</x:row>
    <x:row r="96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</x:row>
    <x:row r="97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</x:row>
    <x:row r="98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</x:row>
    <x:row r="99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</x:row>
    <x:row r="100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</x:row>
    <x:row r="10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</x:row>
    <x:row r="102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</x:row>
    <x:row r="103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</x:row>
    <x:row r="104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</x:row>
    <x:row r="105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</x:row>
    <x:row r="106">
      <x:c r="A106" s="20"/>
      <x:c r="B106" s="20"/>
      <x:c r="C106" s="20"/>
      <x:c r="D106" s="20"/>
      <x:c r="E106" s="20"/>
      <x:c r="F106" s="20"/>
      <x:c r="G106" s="20"/>
      <x:c r="H106" s="20"/>
      <x:c r="I106" s="20"/>
      <x:c r="J106" s="20"/>
      <x:c r="K106" s="20"/>
      <x:c r="L106" s="20"/>
      <x:c r="M106" s="20"/>
    </x:row>
    <x:row r="107">
      <x:c r="A107" s="20"/>
      <x:c r="B107" s="20"/>
      <x:c r="C107" s="20"/>
      <x:c r="D107" s="20"/>
      <x:c r="E107" s="20"/>
      <x:c r="F107" s="20"/>
      <x:c r="G107" s="20"/>
      <x:c r="H107" s="20"/>
      <x:c r="I107" s="20"/>
      <x:c r="J107" s="20"/>
      <x:c r="K107" s="20"/>
      <x:c r="L107" s="20"/>
      <x:c r="M107" s="20"/>
    </x:row>
    <x:row r="108">
      <x:c r="A108" s="20"/>
      <x:c r="B108" s="20"/>
      <x:c r="C108" s="20"/>
      <x:c r="D108" s="20"/>
      <x:c r="E108" s="20"/>
      <x:c r="F108" s="20"/>
      <x:c r="G108" s="20"/>
      <x:c r="H108" s="20"/>
      <x:c r="I108" s="20"/>
      <x:c r="J108" s="20"/>
      <x:c r="K108" s="20"/>
      <x:c r="L108" s="20"/>
      <x:c r="M108" s="20"/>
    </x:row>
    <x:row r="109">
      <x:c r="A109" s="20"/>
      <x:c r="B109" s="20"/>
      <x:c r="C109" s="20"/>
      <x:c r="D109" s="20"/>
      <x:c r="E109" s="20"/>
      <x:c r="F109" s="20"/>
      <x:c r="G109" s="20"/>
      <x:c r="H109" s="20"/>
      <x:c r="I109" s="20"/>
      <x:c r="J109" s="20"/>
      <x:c r="K109" s="20"/>
      <x:c r="L109" s="20"/>
      <x:c r="M109" s="20"/>
    </x:row>
    <x:row r="110">
      <x:c r="A110" s="20"/>
      <x:c r="B110" s="20"/>
      <x:c r="C110" s="20"/>
      <x:c r="D110" s="20"/>
      <x:c r="E110" s="20"/>
      <x:c r="F110" s="20"/>
      <x:c r="G110" s="20"/>
      <x:c r="H110" s="20"/>
      <x:c r="I110" s="20"/>
      <x:c r="J110" s="20"/>
      <x:c r="K110" s="20"/>
      <x:c r="L110" s="20"/>
      <x:c r="M110" s="20"/>
    </x:row>
    <x:row r="111">
      <x:c r="A111" s="20"/>
      <x:c r="B111" s="20"/>
      <x:c r="C111" s="20"/>
      <x:c r="D111" s="20"/>
      <x:c r="E111" s="20"/>
      <x:c r="F111" s="20"/>
      <x:c r="G111" s="20"/>
      <x:c r="H111" s="20"/>
      <x:c r="I111" s="20"/>
      <x:c r="J111" s="20"/>
      <x:c r="K111" s="20"/>
      <x:c r="L111" s="20"/>
      <x:c r="M111" s="20"/>
    </x:row>
    <x:row r="112">
      <x:c r="A112" s="20"/>
      <x:c r="B112" s="20"/>
      <x:c r="C112" s="20"/>
      <x:c r="D112" s="20"/>
      <x:c r="E112" s="20"/>
      <x:c r="F112" s="20"/>
      <x:c r="G112" s="20"/>
      <x:c r="H112" s="20"/>
      <x:c r="I112" s="20"/>
      <x:c r="J112" s="20"/>
      <x:c r="K112" s="20"/>
      <x:c r="L112" s="20"/>
      <x:c r="M112" s="20"/>
    </x:row>
    <x:row r="113">
      <x:c r="A113" s="20"/>
      <x:c r="B113" s="20"/>
      <x:c r="C113" s="20"/>
      <x:c r="D113" s="20"/>
      <x:c r="E113" s="20"/>
      <x:c r="F113" s="20"/>
      <x:c r="G113" s="20"/>
      <x:c r="H113" s="20"/>
      <x:c r="I113" s="20"/>
      <x:c r="J113" s="20"/>
      <x:c r="K113" s="20"/>
      <x:c r="L113" s="20"/>
      <x:c r="M113" s="20"/>
    </x:row>
    <x:row r="114">
      <x:c r="A114" s="20"/>
      <x:c r="B114" s="20"/>
      <x:c r="C114" s="20"/>
      <x:c r="D114" s="20"/>
      <x:c r="E114" s="20"/>
      <x:c r="F114" s="20"/>
      <x:c r="G114" s="20"/>
      <x:c r="H114" s="20"/>
      <x:c r="I114" s="20"/>
      <x:c r="J114" s="20"/>
      <x:c r="K114" s="20"/>
      <x:c r="L114" s="20"/>
      <x:c r="M114" s="20"/>
    </x:row>
    <x:row r="115">
      <x:c r="A115" s="20"/>
      <x:c r="B115" s="20"/>
      <x:c r="C115" s="20"/>
      <x:c r="D115" s="20"/>
      <x:c r="E115" s="20"/>
      <x:c r="F115" s="20"/>
      <x:c r="G115" s="20"/>
      <x:c r="H115" s="20"/>
      <x:c r="I115" s="20"/>
      <x:c r="J115" s="20"/>
      <x:c r="K115" s="20"/>
      <x:c r="L115" s="20"/>
      <x:c r="M115" s="20"/>
    </x:row>
    <x:row r="116">
      <x:c r="A116" s="20"/>
      <x:c r="B116" s="20"/>
      <x:c r="C116" s="20"/>
      <x:c r="D116" s="20"/>
      <x:c r="E116" s="20"/>
      <x:c r="F116" s="20"/>
      <x:c r="G116" s="20"/>
      <x:c r="H116" s="20"/>
      <x:c r="I116" s="20"/>
      <x:c r="J116" s="20"/>
      <x:c r="K116" s="20"/>
      <x:c r="L116" s="20"/>
      <x:c r="M116" s="20"/>
    </x:row>
    <x:row r="117">
      <x:c r="A117" s="20"/>
      <x:c r="B117" s="20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</x:row>
    <x:row r="118">
      <x:c r="A118" s="20"/>
      <x:c r="B118" s="20"/>
      <x:c r="C118" s="20"/>
      <x:c r="D118" s="20"/>
      <x:c r="E118" s="20"/>
      <x:c r="F118" s="20"/>
      <x:c r="G118" s="20"/>
      <x:c r="H118" s="20"/>
      <x:c r="I118" s="20"/>
      <x:c r="J118" s="20"/>
      <x:c r="K118" s="20"/>
      <x:c r="L118" s="20"/>
      <x:c r="M118" s="20"/>
    </x:row>
    <x:row r="119">
      <x:c r="A119" s="20"/>
      <x:c r="B119" s="20"/>
      <x:c r="C119" s="20"/>
      <x:c r="D119" s="20"/>
      <x:c r="E119" s="20"/>
      <x:c r="F119" s="20"/>
      <x:c r="G119" s="20"/>
      <x:c r="H119" s="20"/>
      <x:c r="I119" s="20"/>
      <x:c r="J119" s="20"/>
      <x:c r="K119" s="20"/>
      <x:c r="L119" s="20"/>
      <x:c r="M119" s="20"/>
    </x:row>
    <x:row r="120">
      <x:c r="A120" s="20"/>
      <x:c r="B120" s="20"/>
      <x:c r="C120" s="20"/>
      <x:c r="D120" s="20"/>
      <x:c r="E120" s="20"/>
      <x:c r="F120" s="20"/>
      <x:c r="G120" s="20"/>
      <x:c r="H120" s="20"/>
      <x:c r="I120" s="20"/>
      <x:c r="J120" s="20"/>
      <x:c r="K120" s="20"/>
      <x:c r="L120" s="20"/>
      <x:c r="M120" s="20"/>
    </x:row>
    <x:row r="121">
      <x:c r="A121" s="20"/>
      <x:c r="B121" s="20"/>
      <x:c r="C121" s="20"/>
      <x:c r="D121" s="20"/>
      <x:c r="E121" s="20"/>
      <x:c r="F121" s="20"/>
      <x:c r="G121" s="20"/>
      <x:c r="H121" s="20"/>
      <x:c r="I121" s="20"/>
      <x:c r="J121" s="20"/>
      <x:c r="K121" s="20"/>
      <x:c r="L121" s="20"/>
      <x:c r="M121" s="20"/>
    </x:row>
    <x:row r="122">
      <x:c r="A122" s="20"/>
      <x:c r="B122" s="20"/>
      <x:c r="C122" s="20"/>
      <x:c r="D122" s="20"/>
      <x:c r="E122" s="20"/>
      <x:c r="F122" s="20"/>
      <x:c r="G122" s="20"/>
      <x:c r="H122" s="20"/>
      <x:c r="I122" s="20"/>
      <x:c r="J122" s="20"/>
      <x:c r="K122" s="20"/>
      <x:c r="L122" s="20"/>
      <x:c r="M122" s="20"/>
    </x:row>
    <x:row r="123">
      <x:c r="A123" s="20"/>
      <x:c r="B123" s="20"/>
      <x:c r="C123" s="20"/>
      <x:c r="D123" s="20"/>
      <x:c r="E123" s="20"/>
      <x:c r="F123" s="20"/>
      <x:c r="G123" s="20"/>
      <x:c r="H123" s="20"/>
      <x:c r="I123" s="20"/>
      <x:c r="J123" s="20"/>
      <x:c r="K123" s="20"/>
      <x:c r="L123" s="20"/>
      <x:c r="M123" s="20"/>
    </x:row>
    <x:row r="124">
      <x:c r="A124" s="20"/>
      <x:c r="B124" s="20"/>
      <x:c r="C124" s="20"/>
      <x:c r="D124" s="20"/>
      <x:c r="E124" s="20"/>
      <x:c r="F124" s="20"/>
      <x:c r="G124" s="20"/>
      <x:c r="H124" s="20"/>
      <x:c r="I124" s="20"/>
      <x:c r="J124" s="20"/>
      <x:c r="K124" s="20"/>
      <x:c r="L124" s="20"/>
      <x:c r="M124" s="20"/>
    </x:row>
    <x:row r="125">
      <x:c r="A125" s="20"/>
      <x:c r="B125" s="20"/>
      <x:c r="C125" s="20"/>
      <x:c r="D125" s="20"/>
      <x:c r="E125" s="20"/>
      <x:c r="F125" s="20"/>
      <x:c r="G125" s="20"/>
      <x:c r="H125" s="20"/>
      <x:c r="I125" s="20"/>
      <x:c r="J125" s="20"/>
      <x:c r="K125" s="20"/>
      <x:c r="L125" s="20"/>
      <x:c r="M125" s="20"/>
    </x:row>
    <x:row r="126">
      <x:c r="A126" s="20"/>
      <x:c r="B126" s="20"/>
      <x:c r="C126" s="20"/>
      <x:c r="D126" s="20"/>
      <x:c r="E126" s="20"/>
      <x:c r="F126" s="20"/>
      <x:c r="G126" s="20"/>
      <x:c r="H126" s="20"/>
      <x:c r="I126" s="20"/>
      <x:c r="J126" s="20"/>
      <x:c r="K126" s="20"/>
      <x:c r="L126" s="20"/>
      <x:c r="M126" s="20"/>
    </x:row>
    <x:row r="127">
      <x:c r="A127" s="20"/>
      <x:c r="B127" s="20"/>
      <x:c r="C127" s="20"/>
      <x:c r="D127" s="20"/>
      <x:c r="E127" s="20"/>
      <x:c r="F127" s="20"/>
      <x:c r="G127" s="20"/>
      <x:c r="H127" s="20"/>
      <x:c r="I127" s="20"/>
      <x:c r="J127" s="20"/>
      <x:c r="K127" s="20"/>
      <x:c r="L127" s="20"/>
      <x:c r="M127" s="20"/>
    </x:row>
    <x:row r="128">
      <x:c r="A128" s="20"/>
      <x:c r="B128" s="20"/>
      <x:c r="C128" s="20"/>
      <x:c r="D128" s="20"/>
      <x:c r="E128" s="20"/>
      <x:c r="F128" s="20"/>
      <x:c r="G128" s="20"/>
      <x:c r="H128" s="20"/>
      <x:c r="I128" s="20"/>
      <x:c r="J128" s="20"/>
      <x:c r="K128" s="20"/>
      <x:c r="L128" s="20"/>
      <x:c r="M128" s="20"/>
    </x:row>
    <x:row r="129">
      <x:c r="A129" s="20"/>
      <x:c r="B129" s="20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</x:row>
    <x:row r="130">
      <x:c r="A130" s="20"/>
      <x:c r="B130" s="20"/>
      <x:c r="C130" s="20"/>
      <x:c r="D130" s="20"/>
      <x:c r="E130" s="20"/>
      <x:c r="F130" s="20"/>
      <x:c r="G130" s="20"/>
      <x:c r="H130" s="20"/>
      <x:c r="I130" s="20"/>
      <x:c r="J130" s="20"/>
      <x:c r="K130" s="20"/>
      <x:c r="L130" s="20"/>
      <x:c r="M130" s="20"/>
    </x:row>
    <x:row r="131">
      <x:c r="A131" s="20"/>
      <x:c r="B131" s="20"/>
      <x:c r="C131" s="20"/>
      <x:c r="D131" s="20"/>
      <x:c r="E131" s="20"/>
      <x:c r="F131" s="20"/>
      <x:c r="G131" s="20"/>
      <x:c r="H131" s="20"/>
      <x:c r="I131" s="20"/>
      <x:c r="J131" s="20"/>
      <x:c r="K131" s="20"/>
      <x:c r="L131" s="20"/>
      <x:c r="M131" s="20"/>
    </x:row>
    <x:row r="132">
      <x:c r="A132" s="20"/>
      <x:c r="B132" s="20"/>
      <x:c r="C132" s="20"/>
      <x:c r="D132" s="20"/>
      <x:c r="E132" s="20"/>
      <x:c r="F132" s="20"/>
      <x:c r="G132" s="20"/>
      <x:c r="H132" s="20"/>
      <x:c r="I132" s="20"/>
      <x:c r="J132" s="20"/>
      <x:c r="K132" s="20"/>
      <x:c r="L132" s="20"/>
      <x:c r="M132" s="20"/>
    </x:row>
    <x:row r="133">
      <x:c r="A133" s="20"/>
      <x:c r="B133" s="20"/>
      <x:c r="C133" s="20"/>
      <x:c r="D133" s="20"/>
      <x:c r="E133" s="20"/>
      <x:c r="F133" s="20"/>
      <x:c r="G133" s="20"/>
      <x:c r="H133" s="20"/>
      <x:c r="I133" s="20"/>
      <x:c r="J133" s="20"/>
      <x:c r="K133" s="20"/>
      <x:c r="L133" s="20"/>
      <x:c r="M133" s="20"/>
    </x:row>
    <x:row r="134">
      <x:c r="A134" s="20"/>
      <x:c r="B134" s="20"/>
      <x:c r="C134" s="20"/>
      <x:c r="D134" s="20"/>
      <x:c r="E134" s="20"/>
      <x:c r="F134" s="20"/>
      <x:c r="G134" s="20"/>
      <x:c r="H134" s="20"/>
      <x:c r="I134" s="20"/>
      <x:c r="J134" s="20"/>
      <x:c r="K134" s="20"/>
      <x:c r="L134" s="20"/>
      <x:c r="M134" s="20"/>
    </x:row>
    <x:row r="135">
      <x:c r="A135" s="20"/>
      <x:c r="B135" s="20"/>
      <x:c r="C135" s="20"/>
      <x:c r="D135" s="20"/>
      <x:c r="E135" s="20"/>
      <x:c r="F135" s="20"/>
      <x:c r="G135" s="20"/>
      <x:c r="H135" s="20"/>
      <x:c r="I135" s="20"/>
      <x:c r="J135" s="20"/>
      <x:c r="K135" s="20"/>
      <x:c r="L135" s="20"/>
      <x:c r="M135" s="20"/>
    </x:row>
    <x:row r="136">
      <x:c r="A136" s="20"/>
      <x:c r="B136" s="20"/>
      <x:c r="C136" s="20"/>
      <x:c r="D136" s="20"/>
      <x:c r="E136" s="20"/>
      <x:c r="F136" s="20"/>
      <x:c r="G136" s="20"/>
      <x:c r="H136" s="20"/>
      <x:c r="I136" s="20"/>
      <x:c r="J136" s="20"/>
      <x:c r="K136" s="20"/>
      <x:c r="L136" s="20"/>
      <x:c r="M136" s="20"/>
    </x:row>
    <x:row r="137">
      <x:c r="A137" s="20"/>
      <x:c r="B137" s="20"/>
      <x:c r="C137" s="20"/>
      <x:c r="D137" s="20"/>
      <x:c r="E137" s="20"/>
      <x:c r="F137" s="20"/>
      <x:c r="G137" s="20"/>
      <x:c r="H137" s="20"/>
      <x:c r="I137" s="20"/>
      <x:c r="J137" s="20"/>
      <x:c r="K137" s="20"/>
      <x:c r="L137" s="20"/>
      <x:c r="M137" s="20"/>
    </x:row>
    <x:row r="138">
      <x:c r="A138" s="20"/>
      <x:c r="B138" s="20"/>
      <x:c r="C138" s="20"/>
      <x:c r="D138" s="20"/>
      <x:c r="E138" s="20"/>
      <x:c r="F138" s="20"/>
      <x:c r="G138" s="20"/>
      <x:c r="H138" s="20"/>
      <x:c r="I138" s="20"/>
      <x:c r="J138" s="20"/>
      <x:c r="K138" s="20"/>
      <x:c r="L138" s="20"/>
      <x:c r="M138" s="20"/>
    </x:row>
    <x:row r="139">
      <x:c r="A139" s="20"/>
      <x:c r="B139" s="20"/>
      <x:c r="C139" s="20"/>
      <x:c r="D139" s="20"/>
      <x:c r="E139" s="20"/>
      <x:c r="F139" s="20"/>
      <x:c r="G139" s="20"/>
      <x:c r="H139" s="20"/>
      <x:c r="I139" s="20"/>
      <x:c r="J139" s="20"/>
      <x:c r="K139" s="20"/>
      <x:c r="L139" s="20"/>
      <x:c r="M139" s="20"/>
    </x:row>
    <x:row r="140">
      <x:c r="A140" s="20"/>
      <x:c r="B140" s="20"/>
      <x:c r="C140" s="20"/>
      <x:c r="D140" s="20"/>
      <x:c r="E140" s="20"/>
      <x:c r="F140" s="20"/>
      <x:c r="G140" s="20"/>
      <x:c r="H140" s="20"/>
      <x:c r="I140" s="20"/>
      <x:c r="J140" s="20"/>
      <x:c r="K140" s="20"/>
      <x:c r="L140" s="20"/>
      <x:c r="M140" s="20"/>
    </x:row>
    <x:row r="141">
      <x:c r="A141" s="20"/>
      <x:c r="B141" s="20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</x:row>
    <x:row r="142">
      <x:c r="A142" s="20"/>
      <x:c r="B142" s="20"/>
      <x:c r="C142" s="20"/>
      <x:c r="D142" s="20"/>
      <x:c r="E142" s="20"/>
      <x:c r="F142" s="20"/>
      <x:c r="G142" s="20"/>
      <x:c r="H142" s="20"/>
      <x:c r="I142" s="20"/>
      <x:c r="J142" s="20"/>
      <x:c r="K142" s="20"/>
      <x:c r="L142" s="20"/>
      <x:c r="M142" s="20"/>
    </x:row>
    <x:row r="143">
      <x:c r="A143" s="20"/>
      <x:c r="B143" s="20"/>
      <x:c r="C143" s="20"/>
      <x:c r="D143" s="20"/>
      <x:c r="E143" s="20"/>
      <x:c r="F143" s="20"/>
      <x:c r="G143" s="20"/>
      <x:c r="H143" s="20"/>
      <x:c r="I143" s="20"/>
      <x:c r="J143" s="20"/>
      <x:c r="K143" s="20"/>
      <x:c r="L143" s="20"/>
      <x:c r="M143" s="20"/>
    </x:row>
    <x:row r="144">
      <x:c r="A144" s="20"/>
      <x:c r="B144" s="20"/>
      <x:c r="C144" s="20"/>
      <x:c r="D144" s="20"/>
      <x:c r="E144" s="20"/>
      <x:c r="F144" s="20"/>
      <x:c r="G144" s="20"/>
      <x:c r="H144" s="20"/>
      <x:c r="I144" s="20"/>
      <x:c r="J144" s="20"/>
      <x:c r="K144" s="20"/>
      <x:c r="L144" s="20"/>
      <x:c r="M144" s="20"/>
    </x:row>
    <x:row r="145">
      <x:c r="A145" s="20"/>
      <x:c r="B145" s="20"/>
      <x:c r="C145" s="20"/>
      <x:c r="D145" s="20"/>
      <x:c r="E145" s="20"/>
      <x:c r="F145" s="20"/>
      <x:c r="G145" s="20"/>
      <x:c r="H145" s="20"/>
      <x:c r="I145" s="20"/>
      <x:c r="J145" s="20"/>
      <x:c r="K145" s="20"/>
      <x:c r="L145" s="20"/>
      <x:c r="M145" s="20"/>
    </x:row>
    <x:row r="146">
      <x:c r="A146" s="20"/>
      <x:c r="B146" s="20"/>
      <x:c r="C146" s="20"/>
      <x:c r="D146" s="20"/>
      <x:c r="E146" s="20"/>
      <x:c r="F146" s="20"/>
      <x:c r="G146" s="20"/>
      <x:c r="H146" s="20"/>
      <x:c r="I146" s="20"/>
      <x:c r="J146" s="20"/>
      <x:c r="K146" s="20"/>
      <x:c r="L146" s="20"/>
      <x:c r="M146" s="20"/>
    </x:row>
    <x:row r="147">
      <x:c r="A147" s="20"/>
      <x:c r="B147" s="20"/>
      <x:c r="C147" s="20"/>
      <x:c r="D147" s="20"/>
      <x:c r="E147" s="20"/>
      <x:c r="F147" s="20"/>
      <x:c r="G147" s="20"/>
      <x:c r="H147" s="20"/>
      <x:c r="I147" s="20"/>
      <x:c r="J147" s="20"/>
      <x:c r="K147" s="20"/>
      <x:c r="L147" s="20"/>
      <x:c r="M147" s="20"/>
    </x:row>
    <x:row r="148">
      <x:c r="A148" s="20"/>
      <x:c r="B148" s="20"/>
      <x:c r="C148" s="20"/>
      <x:c r="D148" s="20"/>
      <x:c r="E148" s="20"/>
      <x:c r="F148" s="20"/>
      <x:c r="G148" s="20"/>
      <x:c r="H148" s="20"/>
      <x:c r="I148" s="20"/>
      <x:c r="J148" s="20"/>
      <x:c r="K148" s="20"/>
      <x:c r="L148" s="20"/>
      <x:c r="M148" s="20"/>
    </x:row>
    <x:row r="149">
      <x:c r="A149" s="20"/>
      <x:c r="B149" s="20"/>
      <x:c r="C149" s="20"/>
      <x:c r="D149" s="20"/>
      <x:c r="E149" s="20"/>
      <x:c r="F149" s="20"/>
      <x:c r="G149" s="20"/>
      <x:c r="H149" s="20"/>
      <x:c r="I149" s="20"/>
      <x:c r="J149" s="20"/>
      <x:c r="K149" s="20"/>
      <x:c r="L149" s="20"/>
      <x:c r="M149" s="20"/>
    </x:row>
    <x:row r="150">
      <x:c r="A150" s="20"/>
      <x:c r="B150" s="20"/>
      <x:c r="C150" s="20"/>
      <x:c r="D150" s="20"/>
      <x:c r="E150" s="20"/>
      <x:c r="F150" s="20"/>
      <x:c r="G150" s="20"/>
      <x:c r="H150" s="20"/>
      <x:c r="I150" s="20"/>
      <x:c r="J150" s="20"/>
      <x:c r="K150" s="20"/>
      <x:c r="L150" s="20"/>
      <x:c r="M150" s="20"/>
    </x:row>
    <x:row r="151">
      <x:c r="A151" s="20"/>
      <x:c r="B151" s="20"/>
      <x:c r="C151" s="20"/>
      <x:c r="D151" s="20"/>
      <x:c r="E151" s="20"/>
      <x:c r="F151" s="20"/>
      <x:c r="G151" s="20"/>
      <x:c r="H151" s="20"/>
      <x:c r="I151" s="20"/>
      <x:c r="J151" s="20"/>
      <x:c r="K151" s="20"/>
      <x:c r="L151" s="20"/>
      <x:c r="M151" s="20"/>
    </x:row>
    <x:row r="152">
      <x:c r="A152" s="20"/>
      <x:c r="B152" s="20"/>
      <x:c r="C152" s="20"/>
      <x:c r="D152" s="20"/>
      <x:c r="E152" s="20"/>
      <x:c r="F152" s="20"/>
      <x:c r="G152" s="20"/>
      <x:c r="H152" s="20"/>
      <x:c r="I152" s="20"/>
      <x:c r="J152" s="20"/>
      <x:c r="K152" s="20"/>
      <x:c r="L152" s="20"/>
      <x:c r="M152" s="20"/>
    </x:row>
    <x:row r="153">
      <x:c r="A153" s="20"/>
      <x:c r="B153" s="20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</x:row>
    <x:row r="154">
      <x:c r="A154" s="20"/>
      <x:c r="B154" s="20"/>
      <x:c r="C154" s="20"/>
      <x:c r="D154" s="20"/>
      <x:c r="E154" s="20"/>
      <x:c r="F154" s="20"/>
      <x:c r="G154" s="20"/>
      <x:c r="H154" s="20"/>
      <x:c r="I154" s="20"/>
      <x:c r="J154" s="20"/>
      <x:c r="K154" s="20"/>
      <x:c r="L154" s="20"/>
      <x:c r="M154" s="20"/>
    </x:row>
    <x:row r="155">
      <x:c r="A155" s="20"/>
      <x:c r="B155" s="20"/>
      <x:c r="C155" s="20"/>
      <x:c r="D155" s="20"/>
      <x:c r="E155" s="20"/>
      <x:c r="F155" s="20"/>
      <x:c r="G155" s="20"/>
      <x:c r="H155" s="20"/>
      <x:c r="I155" s="20"/>
      <x:c r="J155" s="20"/>
      <x:c r="K155" s="20"/>
      <x:c r="L155" s="20"/>
      <x:c r="M155" s="20"/>
    </x:row>
    <x:row r="156">
      <x:c r="A156" s="20"/>
      <x:c r="B156" s="20"/>
      <x:c r="C156" s="20"/>
      <x:c r="D156" s="20"/>
      <x:c r="E156" s="20"/>
      <x:c r="F156" s="20"/>
      <x:c r="G156" s="20"/>
      <x:c r="H156" s="20"/>
      <x:c r="I156" s="20"/>
      <x:c r="J156" s="20"/>
      <x:c r="K156" s="20"/>
      <x:c r="L156" s="20"/>
      <x:c r="M156" s="20"/>
    </x:row>
    <x:row r="157">
      <x:c r="A157" s="20"/>
      <x:c r="B157" s="20"/>
      <x:c r="C157" s="20"/>
      <x:c r="D157" s="20"/>
      <x:c r="E157" s="20"/>
      <x:c r="F157" s="20"/>
      <x:c r="G157" s="20"/>
      <x:c r="H157" s="20"/>
      <x:c r="I157" s="20"/>
      <x:c r="J157" s="20"/>
      <x:c r="K157" s="20"/>
      <x:c r="L157" s="20"/>
      <x:c r="M157" s="20"/>
    </x:row>
    <x:row r="158">
      <x:c r="A158" s="20"/>
      <x:c r="B158" s="20"/>
      <x:c r="C158" s="20"/>
      <x:c r="D158" s="20"/>
      <x:c r="E158" s="20"/>
      <x:c r="F158" s="20"/>
      <x:c r="G158" s="20"/>
      <x:c r="H158" s="20"/>
      <x:c r="I158" s="20"/>
      <x:c r="J158" s="20"/>
      <x:c r="K158" s="20"/>
      <x:c r="L158" s="20"/>
      <x:c r="M158" s="20"/>
    </x:row>
    <x:row r="159">
      <x:c r="A159" s="20"/>
      <x:c r="B159" s="20"/>
      <x:c r="C159" s="20"/>
      <x:c r="D159" s="20"/>
      <x:c r="E159" s="20"/>
      <x:c r="F159" s="20"/>
      <x:c r="G159" s="20"/>
      <x:c r="H159" s="20"/>
      <x:c r="I159" s="20"/>
      <x:c r="J159" s="20"/>
      <x:c r="K159" s="20"/>
      <x:c r="L159" s="20"/>
      <x:c r="M159" s="20"/>
    </x:row>
    <x:row r="160">
      <x:c r="A160" s="20"/>
      <x:c r="B160" s="20"/>
      <x:c r="C160" s="20"/>
      <x:c r="D160" s="20"/>
      <x:c r="E160" s="20"/>
      <x:c r="F160" s="20"/>
      <x:c r="G160" s="20"/>
      <x:c r="H160" s="20"/>
      <x:c r="I160" s="20"/>
      <x:c r="J160" s="20"/>
      <x:c r="K160" s="20"/>
      <x:c r="L160" s="20"/>
      <x:c r="M160" s="20"/>
    </x:row>
    <x:row r="161">
      <x:c r="A161" s="20"/>
      <x:c r="B161" s="20"/>
      <x:c r="C161" s="20"/>
      <x:c r="D161" s="20"/>
      <x:c r="E161" s="20"/>
      <x:c r="F161" s="20"/>
      <x:c r="G161" s="20"/>
      <x:c r="H161" s="20"/>
      <x:c r="I161" s="20"/>
      <x:c r="J161" s="20"/>
      <x:c r="K161" s="20"/>
      <x:c r="L161" s="20"/>
      <x:c r="M161" s="20"/>
    </x:row>
    <x:row r="162">
      <x:c r="A162" s="20"/>
      <x:c r="B162" s="20"/>
      <x:c r="C162" s="20"/>
      <x:c r="D162" s="20"/>
      <x:c r="E162" s="20"/>
      <x:c r="F162" s="20"/>
      <x:c r="G162" s="20"/>
      <x:c r="H162" s="20"/>
      <x:c r="I162" s="20"/>
      <x:c r="J162" s="20"/>
      <x:c r="K162" s="20"/>
      <x:c r="L162" s="20"/>
      <x:c r="M162" s="20"/>
    </x:row>
    <x:row r="163">
      <x:c r="A163" s="20"/>
      <x:c r="B163" s="20"/>
      <x:c r="C163" s="20"/>
      <x:c r="D163" s="20"/>
      <x:c r="E163" s="20"/>
      <x:c r="F163" s="20"/>
      <x:c r="G163" s="20"/>
      <x:c r="H163" s="20"/>
      <x:c r="I163" s="20"/>
      <x:c r="J163" s="20"/>
      <x:c r="K163" s="20"/>
      <x:c r="L163" s="20"/>
      <x:c r="M163" s="20"/>
    </x:row>
    <x:row r="164">
      <x:c r="A164" s="20"/>
      <x:c r="B164" s="20"/>
      <x:c r="C164" s="20"/>
      <x:c r="D164" s="20"/>
      <x:c r="E164" s="20"/>
      <x:c r="F164" s="20"/>
      <x:c r="G164" s="20"/>
      <x:c r="H164" s="20"/>
      <x:c r="I164" s="20"/>
      <x:c r="J164" s="20"/>
      <x:c r="K164" s="20"/>
      <x:c r="L164" s="20"/>
      <x:c r="M164" s="20"/>
    </x:row>
    <x:row r="165">
      <x:c r="A165" s="20"/>
      <x:c r="B165" s="20"/>
      <x:c r="C165" s="20"/>
      <x:c r="D165" s="20"/>
      <x:c r="E165" s="20"/>
      <x:c r="F165" s="20"/>
      <x:c r="G165" s="20"/>
      <x:c r="H165" s="20"/>
      <x:c r="I165" s="20"/>
      <x:c r="J165" s="20"/>
      <x:c r="K165" s="20"/>
      <x:c r="L165" s="20"/>
      <x:c r="M165" s="20"/>
    </x:row>
    <x:row r="166">
      <x:c r="A166" s="20"/>
      <x:c r="B166" s="20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</x:row>
    <x:row r="167">
      <x:c r="A167" s="20"/>
      <x:c r="B167" s="20"/>
      <x:c r="C167" s="20"/>
      <x:c r="D167" s="20"/>
      <x:c r="E167" s="20"/>
      <x:c r="F167" s="20"/>
      <x:c r="G167" s="20"/>
      <x:c r="H167" s="20"/>
      <x:c r="I167" s="20"/>
      <x:c r="J167" s="20"/>
      <x:c r="K167" s="20"/>
      <x:c r="L167" s="20"/>
      <x:c r="M167" s="20"/>
    </x:row>
    <x:row r="168">
      <x:c r="A168" s="20"/>
      <x:c r="B168" s="20"/>
      <x:c r="C168" s="20"/>
      <x:c r="D168" s="20"/>
      <x:c r="E168" s="20"/>
      <x:c r="F168" s="20"/>
      <x:c r="G168" s="20"/>
      <x:c r="H168" s="20"/>
      <x:c r="I168" s="20"/>
      <x:c r="J168" s="20"/>
      <x:c r="K168" s="20"/>
      <x:c r="L168" s="20"/>
      <x:c r="M168" s="20"/>
    </x:row>
    <x:row r="169">
      <x:c r="A169" s="20"/>
      <x:c r="B169" s="20"/>
      <x:c r="C169" s="20"/>
      <x:c r="D169" s="20"/>
      <x:c r="E169" s="20"/>
      <x:c r="F169" s="20"/>
      <x:c r="G169" s="20"/>
      <x:c r="H169" s="20"/>
      <x:c r="I169" s="20"/>
      <x:c r="J169" s="20"/>
      <x:c r="K169" s="20"/>
      <x:c r="L169" s="20"/>
      <x:c r="M169" s="20"/>
    </x:row>
    <x:row r="170">
      <x:c r="A170" s="20"/>
      <x:c r="B170" s="20"/>
      <x:c r="C170" s="20"/>
      <x:c r="D170" s="20"/>
      <x:c r="E170" s="20"/>
      <x:c r="F170" s="20"/>
      <x:c r="G170" s="20"/>
      <x:c r="H170" s="20"/>
      <x:c r="I170" s="20"/>
      <x:c r="J170" s="20"/>
      <x:c r="K170" s="20"/>
      <x:c r="L170" s="20"/>
      <x:c r="M170" s="20"/>
    </x:row>
    <x:row r="171">
      <x:c r="A171" s="20"/>
      <x:c r="B171" s="20"/>
      <x:c r="C171" s="20"/>
      <x:c r="D171" s="20"/>
      <x:c r="E171" s="20"/>
      <x:c r="F171" s="20"/>
      <x:c r="G171" s="20"/>
      <x:c r="H171" s="20"/>
      <x:c r="I171" s="20"/>
      <x:c r="J171" s="20"/>
      <x:c r="K171" s="20"/>
      <x:c r="L171" s="20"/>
      <x:c r="M171" s="20"/>
    </x:row>
    <x:row r="172">
      <x:c r="A172" s="20"/>
      <x:c r="B172" s="20"/>
      <x:c r="C172" s="20"/>
      <x:c r="D172" s="20"/>
      <x:c r="E172" s="20"/>
      <x:c r="F172" s="20"/>
      <x:c r="G172" s="20"/>
      <x:c r="H172" s="20"/>
      <x:c r="I172" s="20"/>
      <x:c r="J172" s="20"/>
      <x:c r="K172" s="20"/>
      <x:c r="L172" s="20"/>
      <x:c r="M172" s="20"/>
    </x:row>
    <x:row r="173">
      <x:c r="A173" s="20"/>
      <x:c r="B173" s="20"/>
      <x:c r="C173" s="20"/>
      <x:c r="D173" s="20"/>
      <x:c r="E173" s="20"/>
      <x:c r="F173" s="20"/>
      <x:c r="G173" s="20"/>
      <x:c r="H173" s="20"/>
      <x:c r="I173" s="20"/>
      <x:c r="J173" s="20"/>
      <x:c r="K173" s="20"/>
      <x:c r="L173" s="20"/>
      <x:c r="M173" s="20"/>
    </x:row>
    <x:row r="174">
      <x:c r="A174" s="20"/>
      <x:c r="B174" s="20"/>
      <x:c r="C174" s="20"/>
      <x:c r="D174" s="20"/>
      <x:c r="E174" s="20"/>
      <x:c r="F174" s="20"/>
      <x:c r="G174" s="20"/>
      <x:c r="H174" s="20"/>
      <x:c r="I174" s="20"/>
      <x:c r="J174" s="20"/>
      <x:c r="K174" s="20"/>
      <x:c r="L174" s="20"/>
      <x:c r="M174" s="20"/>
    </x:row>
    <x:row r="175">
      <x:c r="A175" s="20"/>
      <x:c r="B175" s="20"/>
      <x:c r="C175" s="20"/>
      <x:c r="D175" s="20"/>
      <x:c r="E175" s="20"/>
      <x:c r="F175" s="20"/>
      <x:c r="G175" s="20"/>
      <x:c r="H175" s="20"/>
      <x:c r="I175" s="20"/>
      <x:c r="J175" s="20"/>
      <x:c r="K175" s="20"/>
      <x:c r="L175" s="20"/>
      <x:c r="M175" s="20"/>
    </x:row>
    <x:row r="176">
      <x:c r="A176" s="20"/>
      <x:c r="B176" s="20"/>
      <x:c r="C176" s="20"/>
      <x:c r="D176" s="20"/>
      <x:c r="E176" s="20"/>
      <x:c r="F176" s="20"/>
      <x:c r="G176" s="20"/>
      <x:c r="H176" s="20"/>
      <x:c r="I176" s="20"/>
      <x:c r="J176" s="20"/>
      <x:c r="K176" s="20"/>
      <x:c r="L176" s="20"/>
      <x:c r="M176" s="20"/>
    </x:row>
    <x:row r="177">
      <x:c r="A177" s="20"/>
      <x:c r="B177" s="20"/>
      <x:c r="C177" s="20"/>
      <x:c r="D177" s="20"/>
      <x:c r="E177" s="20"/>
      <x:c r="F177" s="20"/>
      <x:c r="G177" s="20"/>
      <x:c r="H177" s="20"/>
      <x:c r="I177" s="20"/>
      <x:c r="J177" s="20"/>
      <x:c r="K177" s="20"/>
      <x:c r="L177" s="20"/>
      <x:c r="M177" s="20"/>
    </x:row>
    <x:row r="178">
      <x:c r="A178" s="20"/>
      <x:c r="B178" s="20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</x:row>
    <x:row r="179">
      <x:c r="A179" s="20"/>
      <x:c r="B179" s="20"/>
      <x:c r="C179" s="20"/>
      <x:c r="D179" s="20"/>
      <x:c r="E179" s="20"/>
      <x:c r="F179" s="20"/>
      <x:c r="G179" s="20"/>
      <x:c r="H179" s="20"/>
      <x:c r="I179" s="20"/>
      <x:c r="J179" s="20"/>
      <x:c r="K179" s="20"/>
      <x:c r="L179" s="20"/>
      <x:c r="M179" s="20"/>
    </x:row>
    <x:row r="180">
      <x:c r="A180" s="20"/>
      <x:c r="B180" s="20"/>
      <x:c r="C180" s="20"/>
      <x:c r="D180" s="20"/>
      <x:c r="E180" s="20"/>
      <x:c r="F180" s="20"/>
      <x:c r="G180" s="20"/>
      <x:c r="H180" s="20"/>
      <x:c r="I180" s="20"/>
      <x:c r="J180" s="20"/>
      <x:c r="K180" s="20"/>
      <x:c r="L180" s="20"/>
      <x:c r="M180" s="20"/>
    </x:row>
    <x:row r="181">
      <x:c r="A181" s="20"/>
      <x:c r="B181" s="20"/>
      <x:c r="C181" s="20"/>
      <x:c r="D181" s="20"/>
      <x:c r="E181" s="20"/>
      <x:c r="F181" s="20"/>
      <x:c r="G181" s="20"/>
      <x:c r="H181" s="20"/>
      <x:c r="I181" s="20"/>
      <x:c r="J181" s="20"/>
      <x:c r="K181" s="20"/>
      <x:c r="L181" s="20"/>
      <x:c r="M181" s="20"/>
    </x:row>
    <x:row r="182">
      <x:c r="A182" s="20"/>
      <x:c r="B182" s="20"/>
      <x:c r="C182" s="20"/>
      <x:c r="D182" s="20"/>
      <x:c r="E182" s="20"/>
      <x:c r="F182" s="20"/>
      <x:c r="G182" s="20"/>
      <x:c r="H182" s="20"/>
      <x:c r="I182" s="20"/>
      <x:c r="J182" s="20"/>
      <x:c r="K182" s="20"/>
      <x:c r="L182" s="20"/>
      <x:c r="M182" s="20"/>
    </x:row>
    <x:row r="183">
      <x:c r="A183" s="20"/>
      <x:c r="B183" s="20"/>
      <x:c r="C183" s="20"/>
      <x:c r="D183" s="20"/>
      <x:c r="E183" s="20"/>
      <x:c r="F183" s="20"/>
      <x:c r="G183" s="20"/>
      <x:c r="H183" s="20"/>
      <x:c r="I183" s="20"/>
      <x:c r="J183" s="20"/>
      <x:c r="K183" s="20"/>
      <x:c r="L183" s="20"/>
      <x:c r="M183" s="20"/>
    </x:row>
    <x:row r="184">
      <x:c r="A184" s="20"/>
      <x:c r="B184" s="20"/>
      <x:c r="C184" s="20"/>
      <x:c r="D184" s="20"/>
      <x:c r="E184" s="20"/>
      <x:c r="F184" s="20"/>
      <x:c r="G184" s="20"/>
      <x:c r="H184" s="20"/>
      <x:c r="I184" s="20"/>
      <x:c r="J184" s="20"/>
      <x:c r="K184" s="20"/>
      <x:c r="L184" s="20"/>
      <x:c r="M184" s="20"/>
    </x:row>
    <x:row r="185">
      <x:c r="A185" s="20"/>
      <x:c r="B185" s="20"/>
      <x:c r="C185" s="20"/>
      <x:c r="D185" s="20"/>
      <x:c r="E185" s="20"/>
      <x:c r="F185" s="20"/>
      <x:c r="G185" s="20"/>
      <x:c r="H185" s="20"/>
      <x:c r="I185" s="20"/>
      <x:c r="J185" s="20"/>
      <x:c r="K185" s="20"/>
      <x:c r="L185" s="20"/>
      <x:c r="M185" s="20"/>
    </x:row>
    <x:row r="186">
      <x:c r="A186" s="20"/>
      <x:c r="B186" s="20"/>
      <x:c r="C186" s="20"/>
      <x:c r="D186" s="20"/>
      <x:c r="E186" s="20"/>
      <x:c r="F186" s="20"/>
      <x:c r="G186" s="20"/>
      <x:c r="H186" s="20"/>
      <x:c r="I186" s="20"/>
      <x:c r="J186" s="20"/>
      <x:c r="K186" s="20"/>
      <x:c r="L186" s="20"/>
      <x:c r="M186" s="20"/>
    </x:row>
    <x:row r="187">
      <x:c r="A187" s="20"/>
      <x:c r="B187" s="20"/>
      <x:c r="C187" s="20"/>
      <x:c r="D187" s="20"/>
      <x:c r="E187" s="20"/>
      <x:c r="F187" s="20"/>
      <x:c r="G187" s="20"/>
      <x:c r="H187" s="20"/>
      <x:c r="I187" s="20"/>
      <x:c r="J187" s="20"/>
      <x:c r="K187" s="20"/>
      <x:c r="L187" s="20"/>
      <x:c r="M187" s="20"/>
    </x:row>
    <x:row r="188">
      <x:c r="A188" s="20"/>
      <x:c r="B188" s="20"/>
      <x:c r="C188" s="20"/>
      <x:c r="D188" s="20"/>
      <x:c r="E188" s="20"/>
      <x:c r="F188" s="20"/>
      <x:c r="G188" s="20"/>
      <x:c r="H188" s="20"/>
      <x:c r="I188" s="20"/>
      <x:c r="J188" s="20"/>
      <x:c r="K188" s="20"/>
      <x:c r="L188" s="20"/>
      <x:c r="M188" s="20"/>
    </x:row>
    <x:row r="189">
      <x:c r="A189" s="20"/>
      <x:c r="B189" s="20"/>
      <x:c r="C189" s="20"/>
      <x:c r="D189" s="20"/>
      <x:c r="E189" s="20"/>
      <x:c r="F189" s="20"/>
      <x:c r="G189" s="20"/>
      <x:c r="H189" s="20"/>
      <x:c r="I189" s="20"/>
      <x:c r="J189" s="20"/>
      <x:c r="K189" s="20"/>
      <x:c r="L189" s="20"/>
      <x:c r="M189" s="20"/>
    </x:row>
    <x:row r="190">
      <x:c r="A190" s="20"/>
      <x:c r="B190" s="20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</x:row>
    <x:row r="191">
      <x:c r="A191" s="20"/>
      <x:c r="B191" s="20"/>
      <x:c r="C191" s="20"/>
      <x:c r="D191" s="20"/>
      <x:c r="E191" s="20"/>
      <x:c r="F191" s="20"/>
      <x:c r="G191" s="20"/>
      <x:c r="H191" s="20"/>
      <x:c r="I191" s="20"/>
      <x:c r="J191" s="20"/>
      <x:c r="K191" s="20"/>
      <x:c r="L191" s="20"/>
      <x:c r="M191" s="20"/>
    </x:row>
    <x:row r="192">
      <x:c r="A192" s="20"/>
      <x:c r="B192" s="20"/>
      <x:c r="C192" s="20"/>
      <x:c r="D192" s="20"/>
      <x:c r="E192" s="20"/>
      <x:c r="F192" s="20"/>
      <x:c r="G192" s="20"/>
      <x:c r="H192" s="20"/>
      <x:c r="I192" s="20"/>
      <x:c r="J192" s="20"/>
      <x:c r="K192" s="20"/>
      <x:c r="L192" s="20"/>
      <x:c r="M192" s="20"/>
    </x:row>
    <x:row r="193">
      <x:c r="A193" s="20"/>
      <x:c r="B193" s="20"/>
      <x:c r="C193" s="20"/>
      <x:c r="D193" s="20"/>
      <x:c r="E193" s="20"/>
      <x:c r="F193" s="20"/>
      <x:c r="G193" s="20"/>
      <x:c r="H193" s="20"/>
      <x:c r="I193" s="20"/>
      <x:c r="J193" s="20"/>
      <x:c r="K193" s="20"/>
      <x:c r="L193" s="20"/>
      <x:c r="M193" s="20"/>
    </x:row>
    <x:row r="194">
      <x:c r="A194" s="20"/>
      <x:c r="B194" s="20"/>
      <x:c r="C194" s="20"/>
      <x:c r="D194" s="20"/>
      <x:c r="E194" s="20"/>
      <x:c r="F194" s="20"/>
      <x:c r="G194" s="20"/>
      <x:c r="H194" s="20"/>
      <x:c r="I194" s="20"/>
      <x:c r="J194" s="20"/>
      <x:c r="K194" s="20"/>
      <x:c r="L194" s="20"/>
      <x:c r="M194" s="20"/>
    </x:row>
    <x:row r="195">
      <x:c r="A195" s="20"/>
      <x:c r="B195" s="20"/>
      <x:c r="C195" s="20"/>
      <x:c r="D195" s="20"/>
      <x:c r="E195" s="20"/>
      <x:c r="F195" s="20"/>
      <x:c r="G195" s="20"/>
      <x:c r="H195" s="20"/>
      <x:c r="I195" s="20"/>
      <x:c r="J195" s="20"/>
      <x:c r="K195" s="20"/>
      <x:c r="L195" s="20"/>
      <x:c r="M195" s="20"/>
    </x:row>
    <x:row r="196">
      <x:c r="A196" s="20"/>
      <x:c r="B196" s="20"/>
      <x:c r="C196" s="20"/>
      <x:c r="D196" s="20"/>
      <x:c r="E196" s="20"/>
      <x:c r="F196" s="20"/>
      <x:c r="G196" s="20"/>
      <x:c r="H196" s="20"/>
      <x:c r="I196" s="20"/>
      <x:c r="J196" s="20"/>
      <x:c r="K196" s="20"/>
      <x:c r="L196" s="20"/>
      <x:c r="M196" s="20"/>
    </x:row>
    <x:row r="197">
      <x:c r="A197" s="20"/>
      <x:c r="B197" s="20"/>
      <x:c r="C197" s="20"/>
      <x:c r="D197" s="20"/>
      <x:c r="E197" s="20"/>
      <x:c r="F197" s="20"/>
      <x:c r="G197" s="20"/>
      <x:c r="H197" s="20"/>
      <x:c r="I197" s="20"/>
      <x:c r="J197" s="20"/>
      <x:c r="K197" s="20"/>
      <x:c r="L197" s="20"/>
      <x:c r="M197" s="20"/>
    </x:row>
    <x:row r="198">
      <x:c r="A198" s="20"/>
      <x:c r="B198" s="20"/>
      <x:c r="C198" s="20"/>
      <x:c r="D198" s="20"/>
      <x:c r="E198" s="20"/>
      <x:c r="F198" s="20"/>
      <x:c r="G198" s="20"/>
      <x:c r="H198" s="20"/>
      <x:c r="I198" s="20"/>
      <x:c r="J198" s="20"/>
      <x:c r="K198" s="20"/>
      <x:c r="L198" s="20"/>
      <x:c r="M198" s="20"/>
    </x:row>
    <x:row r="199">
      <x:c r="A199" s="20"/>
      <x:c r="B199" s="20"/>
      <x:c r="C199" s="20"/>
      <x:c r="D199" s="20"/>
      <x:c r="E199" s="20"/>
      <x:c r="F199" s="20"/>
      <x:c r="G199" s="20"/>
      <x:c r="H199" s="20"/>
      <x:c r="I199" s="20"/>
      <x:c r="J199" s="20"/>
      <x:c r="K199" s="20"/>
      <x:c r="L199" s="20"/>
      <x:c r="M199" s="20"/>
    </x:row>
    <x:row r="200">
      <x:c r="A200" s="20"/>
      <x:c r="B200" s="20"/>
      <x:c r="C200" s="20"/>
      <x:c r="D200" s="20"/>
      <x:c r="E200" s="20"/>
      <x:c r="F200" s="20"/>
      <x:c r="G200" s="20"/>
      <x:c r="H200" s="20"/>
      <x:c r="I200" s="20"/>
      <x:c r="J200" s="20"/>
      <x:c r="K200" s="20"/>
      <x:c r="L200" s="20"/>
      <x:c r="M200" s="20"/>
    </x:row>
    <x:row r="201">
      <x:c r="A201" s="20"/>
      <x:c r="B201" s="20"/>
      <x:c r="C201" s="20"/>
      <x:c r="D201" s="20"/>
      <x:c r="E201" s="20"/>
      <x:c r="F201" s="20"/>
      <x:c r="G201" s="20"/>
      <x:c r="H201" s="20"/>
      <x:c r="I201" s="20"/>
      <x:c r="J201" s="20"/>
      <x:c r="K201" s="20"/>
      <x:c r="L201" s="20"/>
      <x:c r="M201" s="20"/>
    </x:row>
    <x:row r="202">
      <x:c r="A202" s="20"/>
      <x:c r="B202" s="20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</x:row>
    <x:row r="203">
      <x:c r="A203" s="20"/>
      <x:c r="B203" s="20"/>
      <x:c r="C203" s="20"/>
      <x:c r="D203" s="20"/>
      <x:c r="E203" s="20"/>
      <x:c r="F203" s="20"/>
      <x:c r="G203" s="20"/>
      <x:c r="H203" s="20"/>
      <x:c r="I203" s="20"/>
      <x:c r="J203" s="20"/>
      <x:c r="K203" s="20"/>
      <x:c r="L203" s="20"/>
      <x:c r="M203" s="20"/>
    </x:row>
  </x:sheetData>
  <x:mergeCells>
    <x:mergeCell ref="A1:M1"/>
  </x:mergeCells>
  <x:dataValidations count="1">
    <x:dataValidation type="list" sqref="L4:L203">
      <x:formula1>"Weak,Moderate,Strong,Unknown"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58" hidden="0" customWidth="1"/>
  </x:cols>
  <x:sheetData>
    <x:row r="1">
      <x:c r="A1" s="4" t="str">
        <x:v>Defense-in-Depth Layer Guide</x:v>
      </x:c>
      <x:c r="B1" s="4"/>
      <x:c r="C1" s="4"/>
    </x:row>
    <x:row r="3">
      <x:c r="A3" s="12" t="str">
        <x:v>Layer</x:v>
      </x:c>
      <x:c r="B3" s="12" t="str">
        <x:v>Primary Objective</x:v>
      </x:c>
      <x:c r="C3" s="12" t="str">
        <x:v>Example Controls</x:v>
      </x:c>
    </x:row>
    <x:row r="4">
      <x:c r="A4" s="20" t="str">
        <x:v>Physical</x:v>
      </x:c>
      <x:c r="B4" s="20" t="str">
        <x:v>Protect facilities, equipment, and media</x:v>
      </x:c>
      <x:c r="C4" s="20" t="str">
        <x:v>Locks, badges, cameras, environmental controls</x:v>
      </x:c>
    </x:row>
    <x:row r="5">
      <x:c r="A5" s="20" t="str">
        <x:v>Perimeter</x:v>
      </x:c>
      <x:c r="B5" s="20" t="str">
        <x:v>Reduce harmful external traffic and messaging</x:v>
      </x:c>
      <x:c r="C5" s="20" t="str">
        <x:v>Firewalls, CDN, DDoS protection, secure email gateway</x:v>
      </x:c>
    </x:row>
    <x:row r="6">
      <x:c r="A6" s="20" t="str">
        <x:v>Network</x:v>
      </x:c>
      <x:c r="B6" s="20" t="str">
        <x:v>Constrain connectivity and lateral movement</x:v>
      </x:c>
      <x:c r="C6" s="20" t="str">
        <x:v>Segmentation, filtering, secure administration</x:v>
      </x:c>
    </x:row>
    <x:row r="7">
      <x:c r="A7" s="20" t="str">
        <x:v>Identity</x:v>
      </x:c>
      <x:c r="B7" s="20" t="str">
        <x:v>Verify users and services and limit privilege</x:v>
      </x:c>
      <x:c r="C7" s="20" t="str">
        <x:v>MFA, SSO, PAM, access reviews</x:v>
      </x:c>
    </x:row>
    <x:row r="8">
      <x:c r="A8" s="20" t="str">
        <x:v>Endpoint</x:v>
      </x:c>
      <x:c r="B8" s="20" t="str">
        <x:v>Protect and contain user and server devices</x:v>
      </x:c>
      <x:c r="C8" s="20" t="str">
        <x:v>Hardening, EDR, patching, encryption</x:v>
      </x:c>
    </x:row>
    <x:row r="9">
      <x:c r="A9" s="20" t="str">
        <x:v>Application</x:v>
      </x:c>
      <x:c r="B9" s="20" t="str">
        <x:v>Prevent and detect software and API weaknesses</x:v>
      </x:c>
      <x:c r="C9" s="20" t="str">
        <x:v>Secure SDLC, testing, WAF, secrets management</x:v>
      </x:c>
    </x:row>
    <x:row r="10">
      <x:c r="A10" s="20" t="str">
        <x:v>Data</x:v>
      </x:c>
      <x:c r="B10" s="20" t="str">
        <x:v>Protect confidentiality, integrity, availability, and lifecycle</x:v>
      </x:c>
      <x:c r="C10" s="20" t="str">
        <x:v>Classification, encryption, access control, retention</x:v>
      </x:c>
    </x:row>
    <x:row r="11">
      <x:c r="A11" s="20" t="str">
        <x:v>Monitoring</x:v>
      </x:c>
      <x:c r="B11" s="20" t="str">
        <x:v>Discover and investigate adverse activity</x:v>
      </x:c>
      <x:c r="C11" s="20" t="str">
        <x:v>Logging, SIEM, detections, threat hunting</x:v>
      </x:c>
    </x:row>
    <x:row r="12">
      <x:c r="A12" s="20" t="str">
        <x:v>Recovery</x:v>
      </x:c>
      <x:c r="B12" s="20" t="str">
        <x:v>Restore trusted operations and improve resilience</x:v>
      </x:c>
      <x:c r="C12" s="20" t="str">
        <x:v>Backups, DR, incident response, exercises</x:v>
      </x:c>
    </x:row>
  </x:sheetData>
  <x:mergeCells>
    <x:mergeCell ref="A1:C1"/>
  </x:mergeCells>
  <x:pageMargins left="0.7" right="0.7" top="0.75" bottom="0.75" header="0.3" footer="0.3"/>
</x:worksheet>
</file>