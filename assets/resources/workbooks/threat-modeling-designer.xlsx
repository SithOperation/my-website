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43d3d4600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aad03103981497e"/>
    <x:sheet xmlns:r="http://schemas.openxmlformats.org/officeDocument/2006/relationships" name="Application Scope" sheetId="2" r:id="R72b8deb9ba8b4fd6"/>
    <x:sheet xmlns:r="http://schemas.openxmlformats.org/officeDocument/2006/relationships" name="Data Flows" sheetId="3" r:id="R7d7d949e18bd4078"/>
    <x:sheet xmlns:r="http://schemas.openxmlformats.org/officeDocument/2006/relationships" name="Trust Boundaries" sheetId="4" r:id="R8c38bd3375ae46d5"/>
    <x:sheet xmlns:r="http://schemas.openxmlformats.org/officeDocument/2006/relationships" name="Threat Catalog" sheetId="5" r:id="R60117e257d4042b6"/>
    <x:sheet xmlns:r="http://schemas.openxmlformats.org/officeDocument/2006/relationships" name="Mitigation Plan" sheetId="6" r:id="R204aa22676ad41e8"/>
    <x:sheet xmlns:r="http://schemas.openxmlformats.org/officeDocument/2006/relationships" name="Instructions" sheetId="7" r:id="R85642585fe7e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7598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04803f0f746d4" /><Relationship Type="http://schemas.openxmlformats.org/officeDocument/2006/relationships/theme" Target="/xl/theme/theme1.xml" Id="R223cbd1909dd42e0" /><Relationship Type="http://schemas.openxmlformats.org/officeDocument/2006/relationships/sharedStrings" Target="/xl/sharedStrings.xml" Id="Rec6324d090fa4ff6" /><Relationship Type="http://schemas.openxmlformats.org/officeDocument/2006/relationships/worksheet" Target="/xl/worksheets/sheet1.xml" Id="Rcaad03103981497e" /><Relationship Type="http://schemas.openxmlformats.org/officeDocument/2006/relationships/worksheet" Target="/xl/worksheets/sheet2.xml" Id="R72b8deb9ba8b4fd6" /><Relationship Type="http://schemas.openxmlformats.org/officeDocument/2006/relationships/worksheet" Target="/xl/worksheets/sheet3.xml" Id="R7d7d949e18bd4078" /><Relationship Type="http://schemas.openxmlformats.org/officeDocument/2006/relationships/worksheet" Target="/xl/worksheets/sheet4.xml" Id="R8c38bd3375ae46d5" /><Relationship Type="http://schemas.openxmlformats.org/officeDocument/2006/relationships/worksheet" Target="/xl/worksheets/sheet5.xml" Id="R60117e257d4042b6" /><Relationship Type="http://schemas.openxmlformats.org/officeDocument/2006/relationships/worksheet" Target="/xl/worksheets/sheet6.xml" Id="R204aa22676ad41e8" /><Relationship Type="http://schemas.openxmlformats.org/officeDocument/2006/relationships/worksheet" Target="/xl/worksheets/sheet7.xml" Id="R85642585fe7e4e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91dbfdc6734b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Planning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91dbfdc6734b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ThreatModelingDesignerApplicationScope" displayName="TThreatModelingDesignerApplicationScope" ref="A3:I4" headerRowCount="1">
  <x:tableColumns count="9">
    <x:tableColumn id="1" name="Application ID"/>
    <x:tableColumn id="2" name="Application"/>
    <x:tableColumn id="3" name="Business Purpose"/>
    <x:tableColumn id="4" name="Data Classification"/>
    <x:tableColumn id="5" name="Internet Exposed"/>
    <x:tableColumn id="6" name="Owner"/>
    <x:tableColumn id="7" name="Technology Stack"/>
    <x:tableColumn id="8" name="Criticality"/>
    <x:tableColumn id="9" name="Review Date"/>
  </x:tableColumns>
  <x:tableStyleInfo name="TableStyleMedium2" showRowStripes="1"/>
</x:table>
</file>

<file path=xl/tables/table2.xml><?xml version="1.0" encoding="utf-8"?>
<x:table xmlns:x="http://schemas.openxmlformats.org/spreadsheetml/2006/main" id="2" name="TThreatModelingDesignerDataFlows" displayName="TThreatModelingDesignerDataFlows" ref="A3:J6" headerRowCount="1">
  <x:tableColumns count="10">
    <x:tableColumn id="1" name="Flow ID"/>
    <x:tableColumn id="2" name="Application ID"/>
    <x:tableColumn id="3" name="Source"/>
    <x:tableColumn id="4" name="Destination"/>
    <x:tableColumn id="5" name="Data"/>
    <x:tableColumn id="6" name="Protocol"/>
    <x:tableColumn id="7" name="Authentication"/>
    <x:tableColumn id="8" name="Encryption"/>
    <x:tableColumn id="9" name="Trust Boundary Crossed"/>
    <x:tableColumn id="10" name="Diagram Reference"/>
  </x:tableColumns>
  <x:tableStyleInfo name="TableStyleMedium2" showRowStripes="1"/>
</x:table>
</file>

<file path=xl/tables/table3.xml><?xml version="1.0" encoding="utf-8"?>
<x:table xmlns:x="http://schemas.openxmlformats.org/spreadsheetml/2006/main" id="3" name="TThreatModelingDesignerTrustBoundaries" displayName="TThreatModelingDesignerTrustBoundaries" ref="A3:H5" headerRowCount="1">
  <x:tableColumns count="8">
    <x:tableColumn id="1" name="Boundary ID"/>
    <x:tableColumn id="2" name="Application ID"/>
    <x:tableColumn id="3" name="Boundary"/>
    <x:tableColumn id="4" name="Inside Zone"/>
    <x:tableColumn id="5" name="Outside Zone"/>
    <x:tableColumn id="6" name="Control Expectations"/>
    <x:tableColumn id="7" name="Owner"/>
    <x:tableColumn id="8" name="Validation Status"/>
  </x:tableColumns>
  <x:tableStyleInfo name="TableStyleMedium2" showRowStripes="1"/>
</x:table>
</file>

<file path=xl/tables/table4.xml><?xml version="1.0" encoding="utf-8"?>
<x:table xmlns:x="http://schemas.openxmlformats.org/spreadsheetml/2006/main" id="4" name="TThreatModelingDesignerThreatCatalog" displayName="TThreatModelingDesignerThreatCatalog" ref="A3:J7" headerRowCount="1">
  <x:tableColumns count="10">
    <x:tableColumn id="1" name="Threat ID"/>
    <x:tableColumn id="2" name="Flow / Component"/>
    <x:tableColumn id="3" name="Threat Category"/>
    <x:tableColumn id="4" name="Threat Scenario"/>
    <x:tableColumn id="5" name="Likelihood"/>
    <x:tableColumn id="6" name="Impact"/>
    <x:tableColumn id="7" name="Risk Score"/>
    <x:tableColumn id="8" name="Existing Controls"/>
    <x:tableColumn id="9" name="Owner"/>
    <x:tableColumn id="10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ThreatModelingDesignerMitigationPlan" displayName="TThreatModelingDesignerMitigationPlan" ref="A3:J6" headerRowCount="1">
  <x:tableColumns count="10">
    <x:tableColumn id="1" name="Mitigation ID"/>
    <x:tableColumn id="2" name="Threat ID"/>
    <x:tableColumn id="3" name="Mitigation"/>
    <x:tableColumn id="4" name="Control Type"/>
    <x:tableColumn id="5" name="Expected Likelihood Reduction %"/>
    <x:tableColumn id="6" name="Expected Impact Reduction %"/>
    <x:tableColumn id="7" name="Owner"/>
    <x:tableColumn id="8" name="Target Date"/>
    <x:tableColumn id="9" name="Status"/>
    <x:tableColumn id="10" name="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9710ddebb947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d84e02b81749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3baad91a644b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1c1a670baa4a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016033095a48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8b2dd93d9c40b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4" t="str">
        <x:v>Threat Modeling Designer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Planning Worksheets</x:v>
      </x:c>
      <x:c r="B4" t="n">
        <x:v>5</x:v>
      </x:c>
      <x:c r="D4" t="str">
        <x:v>Application Scope</x:v>
      </x:c>
      <x:c r="E4" t="n">
        <x:f>COUNTIF('Application Scope'!A4:A303,"&lt;&gt;")</x:f>
        <x:v>1</x:v>
      </x:c>
    </x:row>
    <x:row r="5">
      <x:c r="A5" t="str">
        <x:v>Tracked Records</x:v>
      </x:c>
      <x:c r="B5" t="n">
        <x:f>COUNTIF('Application Scope'!A4:A303,"&lt;&gt;")+COUNTIF('Data Flows'!A4:A303,"&lt;&gt;")+COUNTIF('Trust Boundaries'!A4:A303,"&lt;&gt;")+COUNTIF('Threat Catalog'!A4:A303,"&lt;&gt;")+COUNTIF('Mitigation Plan'!A4:A303,"&lt;&gt;")</x:f>
        <x:v>13</x:v>
      </x:c>
      <x:c r="D5" t="str">
        <x:v>Data Flows</x:v>
      </x:c>
      <x:c r="E5" t="n">
        <x:f>COUNTIF('Data Flows'!A4:A303,"&lt;&gt;")</x:f>
        <x:v>3</x:v>
      </x:c>
    </x:row>
    <x:row r="6">
      <x:c r="A6" t="str">
        <x:v>Open / Planned Items</x:v>
      </x:c>
      <x:c r="B6" t="n">
        <x:v>5</x:v>
      </x:c>
      <x:c r="D6" t="str">
        <x:v>Trust Boundaries</x:v>
      </x:c>
      <x:c r="E6" t="n">
        <x:f>COUNTIF('Trust Boundaries'!A4:A303,"&lt;&gt;")</x:f>
        <x:v>2</x:v>
      </x:c>
    </x:row>
    <x:row r="7">
      <x:c r="A7" t="str">
        <x:v>Needs Attention</x:v>
      </x:c>
      <x:c r="B7" t="n">
        <x:v>3</x:v>
      </x:c>
      <x:c r="D7" t="str">
        <x:v>Threat Catalog</x:v>
      </x:c>
      <x:c r="E7" t="n">
        <x:f>COUNTIF('Threat Catalog'!A4:A303,"&lt;&gt;")</x:f>
        <x:v>4</x:v>
      </x:c>
    </x:row>
    <x:row r="8">
      <x:c r="A8" t="str">
        <x:v>Completed / Approved</x:v>
      </x:c>
      <x:c r="B8" t="n">
        <x:v>2</x:v>
      </x:c>
      <x:c r="D8" t="str">
        <x:v>Mitigation Plan</x:v>
      </x:c>
      <x:c r="E8" t="n">
        <x:f>COUNTIF('Mitigation Plan'!A4:A303,"&lt;&gt;")</x:f>
        <x:v>3</x:v>
      </x:c>
    </x:row>
    <x:row r="9">
      <x:c r="A9" t="str">
        <x:v>Coverage / Pass Average</x:v>
      </x:c>
      <x:c r="B9" t="n">
        <x:v>28.3</x:v>
      </x:c>
    </x:row>
    <x:row r="10">
      <x:c r="A10" t="str">
        <x:v>Release Date</x:v>
      </x:c>
      <x:c r="B10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059710ddebb947b1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16" hidden="0" customWidth="1"/>
    <x:col min="9" max="9" width="14" hidden="0" customWidth="1"/>
  </x:cols>
  <x:sheetData>
    <x:row r="1">
      <x:c r="A1" s="4" t="str">
        <x:v>Application Scope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Application ID</x:v>
      </x:c>
      <x:c r="B3" s="12" t="str">
        <x:v>Application</x:v>
      </x:c>
      <x:c r="C3" s="12" t="str">
        <x:v>Business Purpose</x:v>
      </x:c>
      <x:c r="D3" s="12" t="str">
        <x:v>Data Classification</x:v>
      </x:c>
      <x:c r="E3" s="12" t="str">
        <x:v>Internet Exposed</x:v>
      </x:c>
      <x:c r="F3" s="12" t="str">
        <x:v>Owner</x:v>
      </x:c>
      <x:c r="G3" s="12" t="str">
        <x:v>Technology Stack</x:v>
      </x:c>
      <x:c r="H3" s="12" t="str">
        <x:v>Criticality</x:v>
      </x:c>
      <x:c r="I3" s="12" t="str">
        <x:v>Review Date</x:v>
      </x:c>
    </x:row>
    <x:row r="4">
      <x:c r="A4" s="20" t="str">
        <x:v>APP-001</x:v>
      </x:c>
      <x:c r="B4" s="20" t="str">
        <x:v>Customer Portal</x:v>
      </x:c>
      <x:c r="C4" s="20" t="str">
        <x:v>Customer account management</x:v>
      </x:c>
      <x:c r="D4" s="20" t="str">
        <x:v>Confidential</x:v>
      </x:c>
      <x:c r="E4" s="20" t="str">
        <x:v>Yes</x:v>
      </x:c>
      <x:c r="F4" s="20" t="str">
        <x:v>Digital Services</x:v>
      </x:c>
      <x:c r="G4" s="20" t="str">
        <x:v>Web / API / Cloud DB</x:v>
      </x:c>
      <x:c r="H4" s="20" t="str">
        <x:v>Critical</x:v>
      </x:c>
      <x:c r="I4" s="22" t="n">
        <x:v>46235</x:v>
      </x:c>
    </x:row>
    <x:row r="5">
      <x:c r="A5" s="20"/>
      <x:c r="B5" s="20"/>
      <x:c r="C5" s="20"/>
      <x:c r="D5" s="20"/>
      <x:c r="E5" s="20"/>
      <x:c r="F5" s="20"/>
      <x:c r="G5" s="20"/>
      <x:c r="H5" s="20"/>
      <x:c r="I5" s="22"/>
    </x:row>
    <x:row r="6">
      <x:c r="A6" s="20"/>
      <x:c r="B6" s="20"/>
      <x:c r="C6" s="20"/>
      <x:c r="D6" s="20"/>
      <x:c r="E6" s="20"/>
      <x:c r="F6" s="20"/>
      <x:c r="G6" s="20"/>
      <x:c r="H6" s="20"/>
      <x:c r="I6" s="22"/>
    </x:row>
    <x:row r="7">
      <x:c r="A7" s="20"/>
      <x:c r="B7" s="20"/>
      <x:c r="C7" s="20"/>
      <x:c r="D7" s="20"/>
      <x:c r="E7" s="20"/>
      <x:c r="F7" s="20"/>
      <x:c r="G7" s="20"/>
      <x:c r="H7" s="20"/>
      <x:c r="I7" s="22"/>
    </x:row>
    <x:row r="8">
      <x:c r="A8" s="20"/>
      <x:c r="B8" s="20"/>
      <x:c r="C8" s="20"/>
      <x:c r="D8" s="20"/>
      <x:c r="E8" s="20"/>
      <x:c r="F8" s="20"/>
      <x:c r="G8" s="20"/>
      <x:c r="H8" s="20"/>
      <x:c r="I8" s="22"/>
    </x:row>
    <x:row r="9">
      <x:c r="A9" s="20"/>
      <x:c r="B9" s="20"/>
      <x:c r="C9" s="20"/>
      <x:c r="D9" s="20"/>
      <x:c r="E9" s="20"/>
      <x:c r="F9" s="20"/>
      <x:c r="G9" s="20"/>
      <x:c r="H9" s="20"/>
      <x:c r="I9" s="22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2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2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2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2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2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2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2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2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2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2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2"/>
    </x:row>
    <x:row r="21">
      <x:c r="I21" s="18"/>
    </x:row>
    <x:row r="22">
      <x:c r="I22" s="18"/>
    </x:row>
    <x:row r="23">
      <x:c r="I23" s="18"/>
    </x:row>
    <x:row r="24">
      <x:c r="I24" s="18"/>
    </x:row>
    <x:row r="25">
      <x:c r="I25" s="18"/>
    </x:row>
    <x:row r="26">
      <x:c r="I26" s="18"/>
    </x:row>
    <x:row r="27">
      <x:c r="I27" s="18"/>
    </x:row>
    <x:row r="28">
      <x:c r="I28" s="18"/>
    </x:row>
    <x:row r="29">
      <x:c r="I29" s="18"/>
    </x:row>
    <x:row r="30">
      <x:c r="I30" s="18"/>
    </x:row>
    <x:row r="31">
      <x:c r="I31" s="18"/>
    </x:row>
    <x:row r="32">
      <x:c r="I32" s="18"/>
    </x:row>
    <x:row r="33">
      <x:c r="I33" s="18"/>
    </x:row>
    <x:row r="34">
      <x:c r="I34" s="18"/>
    </x:row>
    <x:row r="35">
      <x:c r="I35" s="18"/>
    </x:row>
    <x:row r="36">
      <x:c r="I36" s="18"/>
    </x:row>
    <x:row r="37">
      <x:c r="I37" s="18"/>
    </x:row>
    <x:row r="38">
      <x:c r="I38" s="18"/>
    </x:row>
    <x:row r="39">
      <x:c r="I39" s="18"/>
    </x:row>
    <x:row r="40">
      <x:c r="I40" s="18"/>
    </x:row>
    <x:row r="41">
      <x:c r="I41" s="18"/>
    </x:row>
    <x:row r="42">
      <x:c r="I42" s="18"/>
    </x:row>
    <x:row r="43">
      <x:c r="I43" s="18"/>
    </x:row>
    <x:row r="44">
      <x:c r="I44" s="18"/>
    </x:row>
    <x:row r="45">
      <x:c r="I45" s="18"/>
    </x:row>
    <x:row r="46">
      <x:c r="I46" s="18"/>
    </x:row>
    <x:row r="47">
      <x:c r="I47" s="18"/>
    </x:row>
    <x:row r="48">
      <x:c r="I48" s="18"/>
    </x:row>
    <x:row r="49">
      <x:c r="I49" s="18"/>
    </x:row>
    <x:row r="50">
      <x:c r="I50" s="18"/>
    </x:row>
    <x:row r="51">
      <x:c r="I51" s="18"/>
    </x:row>
    <x:row r="52">
      <x:c r="I52" s="18"/>
    </x:row>
    <x:row r="53">
      <x:c r="I53" s="18"/>
    </x:row>
    <x:row r="54">
      <x:c r="I54" s="18"/>
    </x:row>
    <x:row r="55">
      <x:c r="I55" s="18"/>
    </x:row>
    <x:row r="56">
      <x:c r="I56" s="18"/>
    </x:row>
    <x:row r="57">
      <x:c r="I57" s="18"/>
    </x:row>
    <x:row r="58">
      <x:c r="I58" s="18"/>
    </x:row>
    <x:row r="59">
      <x:c r="I59" s="18"/>
    </x:row>
    <x:row r="60">
      <x:c r="I60" s="18"/>
    </x:row>
    <x:row r="61">
      <x:c r="I61" s="18"/>
    </x:row>
    <x:row r="62">
      <x:c r="I62" s="18"/>
    </x:row>
    <x:row r="63">
      <x:c r="I63" s="18"/>
    </x:row>
    <x:row r="64">
      <x:c r="I64" s="18"/>
    </x:row>
    <x:row r="65">
      <x:c r="I65" s="18"/>
    </x:row>
    <x:row r="66">
      <x:c r="I66" s="18"/>
    </x:row>
    <x:row r="67">
      <x:c r="I67" s="18"/>
    </x:row>
    <x:row r="68">
      <x:c r="I68" s="18"/>
    </x:row>
    <x:row r="69">
      <x:c r="I69" s="18"/>
    </x:row>
    <x:row r="70">
      <x:c r="I70" s="18"/>
    </x:row>
    <x:row r="71">
      <x:c r="I71" s="18"/>
    </x:row>
    <x:row r="72">
      <x:c r="I72" s="18"/>
    </x:row>
    <x:row r="73">
      <x:c r="I73" s="18"/>
    </x:row>
    <x:row r="74">
      <x:c r="I74" s="18"/>
    </x:row>
    <x:row r="75">
      <x:c r="I75" s="18"/>
    </x:row>
    <x:row r="76">
      <x:c r="I76" s="18"/>
    </x:row>
    <x:row r="77">
      <x:c r="I77" s="18"/>
    </x:row>
    <x:row r="78">
      <x:c r="I78" s="18"/>
    </x:row>
    <x:row r="79">
      <x:c r="I79" s="18"/>
    </x:row>
    <x:row r="80">
      <x:c r="I80" s="18"/>
    </x:row>
    <x:row r="81">
      <x:c r="I81" s="18"/>
    </x:row>
    <x:row r="82">
      <x:c r="I82" s="18"/>
    </x:row>
    <x:row r="83">
      <x:c r="I83" s="18"/>
    </x:row>
    <x:row r="84">
      <x:c r="I84" s="18"/>
    </x:row>
    <x:row r="85">
      <x:c r="I85" s="18"/>
    </x:row>
    <x:row r="86">
      <x:c r="I86" s="18"/>
    </x:row>
    <x:row r="87">
      <x:c r="I87" s="18"/>
    </x:row>
    <x:row r="88">
      <x:c r="I88" s="18"/>
    </x:row>
    <x:row r="89">
      <x:c r="I89" s="18"/>
    </x:row>
    <x:row r="90">
      <x:c r="I90" s="18"/>
    </x:row>
    <x:row r="91">
      <x:c r="I91" s="18"/>
    </x:row>
    <x:row r="92">
      <x:c r="I92" s="18"/>
    </x:row>
    <x:row r="93">
      <x:c r="I93" s="18"/>
    </x:row>
    <x:row r="94">
      <x:c r="I94" s="18"/>
    </x:row>
    <x:row r="95">
      <x:c r="I95" s="18"/>
    </x:row>
    <x:row r="96">
      <x:c r="I96" s="18"/>
    </x:row>
    <x:row r="97">
      <x:c r="I97" s="18"/>
    </x:row>
    <x:row r="98">
      <x:c r="I98" s="18"/>
    </x:row>
    <x:row r="99">
      <x:c r="I99" s="18"/>
    </x:row>
    <x:row r="100">
      <x:c r="I100" s="18"/>
    </x:row>
    <x:row r="101">
      <x:c r="I101" s="18"/>
    </x:row>
    <x:row r="102">
      <x:c r="I102" s="18"/>
    </x:row>
    <x:row r="103">
      <x:c r="I103" s="18"/>
    </x:row>
    <x:row r="104">
      <x:c r="I104" s="18"/>
    </x:row>
    <x:row r="105">
      <x:c r="I105" s="18"/>
    </x:row>
    <x:row r="106">
      <x:c r="I106" s="18"/>
    </x:row>
    <x:row r="107">
      <x:c r="I107" s="18"/>
    </x:row>
    <x:row r="108">
      <x:c r="I108" s="18"/>
    </x:row>
    <x:row r="109">
      <x:c r="I109" s="18"/>
    </x:row>
    <x:row r="110">
      <x:c r="I110" s="18"/>
    </x:row>
    <x:row r="111">
      <x:c r="I111" s="18"/>
    </x:row>
    <x:row r="112">
      <x:c r="I112" s="18"/>
    </x:row>
    <x:row r="113">
      <x:c r="I113" s="18"/>
    </x:row>
    <x:row r="114">
      <x:c r="I114" s="18"/>
    </x:row>
    <x:row r="115">
      <x:c r="I115" s="18"/>
    </x:row>
    <x:row r="116">
      <x:c r="I116" s="18"/>
    </x:row>
    <x:row r="117">
      <x:c r="I117" s="18"/>
    </x:row>
    <x:row r="118">
      <x:c r="I118" s="18"/>
    </x:row>
    <x:row r="119">
      <x:c r="I119" s="18"/>
    </x:row>
    <x:row r="120">
      <x:c r="I120" s="18"/>
    </x:row>
    <x:row r="121">
      <x:c r="I121" s="18"/>
    </x:row>
    <x:row r="122">
      <x:c r="I122" s="18"/>
    </x:row>
    <x:row r="123">
      <x:c r="I123" s="18"/>
    </x:row>
    <x:row r="124">
      <x:c r="I124" s="18"/>
    </x:row>
    <x:row r="125">
      <x:c r="I125" s="18"/>
    </x:row>
    <x:row r="126">
      <x:c r="I126" s="18"/>
    </x:row>
    <x:row r="127">
      <x:c r="I127" s="18"/>
    </x:row>
    <x:row r="128">
      <x:c r="I128" s="18"/>
    </x:row>
    <x:row r="129">
      <x:c r="I129" s="18"/>
    </x:row>
    <x:row r="130">
      <x:c r="I130" s="18"/>
    </x:row>
    <x:row r="131">
      <x:c r="I131" s="18"/>
    </x:row>
    <x:row r="132">
      <x:c r="I132" s="18"/>
    </x:row>
    <x:row r="133">
      <x:c r="I133" s="18"/>
    </x:row>
    <x:row r="134">
      <x:c r="I134" s="18"/>
    </x:row>
    <x:row r="135">
      <x:c r="I135" s="18"/>
    </x:row>
    <x:row r="136">
      <x:c r="I136" s="18"/>
    </x:row>
    <x:row r="137">
      <x:c r="I137" s="18"/>
    </x:row>
    <x:row r="138">
      <x:c r="I138" s="18"/>
    </x:row>
    <x:row r="139">
      <x:c r="I139" s="18"/>
    </x:row>
    <x:row r="140">
      <x:c r="I140" s="18"/>
    </x:row>
    <x:row r="141">
      <x:c r="I141" s="18"/>
    </x:row>
    <x:row r="142">
      <x:c r="I142" s="18"/>
    </x:row>
    <x:row r="143">
      <x:c r="I143" s="18"/>
    </x:row>
    <x:row r="144">
      <x:c r="I144" s="18"/>
    </x:row>
    <x:row r="145">
      <x:c r="I145" s="18"/>
    </x:row>
    <x:row r="146">
      <x:c r="I146" s="18"/>
    </x:row>
    <x:row r="147">
      <x:c r="I147" s="18"/>
    </x:row>
    <x:row r="148">
      <x:c r="I148" s="18"/>
    </x:row>
    <x:row r="149">
      <x:c r="I149" s="18"/>
    </x:row>
    <x:row r="150">
      <x:c r="I150" s="18"/>
    </x:row>
    <x:row r="151">
      <x:c r="I151" s="18"/>
    </x:row>
    <x:row r="152">
      <x:c r="I152" s="18"/>
    </x:row>
    <x:row r="153">
      <x:c r="I153" s="18"/>
    </x:row>
    <x:row r="154">
      <x:c r="I154" s="18"/>
    </x:row>
    <x:row r="155">
      <x:c r="I155" s="18"/>
    </x:row>
    <x:row r="156">
      <x:c r="I156" s="18"/>
    </x:row>
    <x:row r="157">
      <x:c r="I157" s="18"/>
    </x:row>
    <x:row r="158">
      <x:c r="I158" s="18"/>
    </x:row>
    <x:row r="159">
      <x:c r="I159" s="18"/>
    </x:row>
    <x:row r="160">
      <x:c r="I160" s="18"/>
    </x:row>
    <x:row r="161">
      <x:c r="I161" s="18"/>
    </x:row>
    <x:row r="162">
      <x:c r="I162" s="18"/>
    </x:row>
    <x:row r="163">
      <x:c r="I163" s="18"/>
    </x:row>
    <x:row r="164">
      <x:c r="I164" s="18"/>
    </x:row>
    <x:row r="165">
      <x:c r="I165" s="18"/>
    </x:row>
    <x:row r="166">
      <x:c r="I166" s="18"/>
    </x:row>
    <x:row r="167">
      <x:c r="I167" s="18"/>
    </x:row>
    <x:row r="168">
      <x:c r="I168" s="18"/>
    </x:row>
    <x:row r="169">
      <x:c r="I169" s="18"/>
    </x:row>
    <x:row r="170">
      <x:c r="I170" s="18"/>
    </x:row>
    <x:row r="171">
      <x:c r="I171" s="18"/>
    </x:row>
    <x:row r="172">
      <x:c r="I172" s="18"/>
    </x:row>
    <x:row r="173">
      <x:c r="I173" s="18"/>
    </x:row>
    <x:row r="174">
      <x:c r="I174" s="18"/>
    </x:row>
    <x:row r="175">
      <x:c r="I175" s="18"/>
    </x:row>
    <x:row r="176">
      <x:c r="I176" s="18"/>
    </x:row>
    <x:row r="177">
      <x:c r="I177" s="18"/>
    </x:row>
    <x:row r="178">
      <x:c r="I178" s="18"/>
    </x:row>
    <x:row r="179">
      <x:c r="I179" s="18"/>
    </x:row>
    <x:row r="180">
      <x:c r="I180" s="18"/>
    </x:row>
    <x:row r="181">
      <x:c r="I181" s="18"/>
    </x:row>
    <x:row r="182">
      <x:c r="I182" s="18"/>
    </x:row>
    <x:row r="183">
      <x:c r="I183" s="18"/>
    </x:row>
    <x:row r="184">
      <x:c r="I184" s="18"/>
    </x:row>
    <x:row r="185">
      <x:c r="I185" s="18"/>
    </x:row>
    <x:row r="186">
      <x:c r="I186" s="18"/>
    </x:row>
    <x:row r="187">
      <x:c r="I187" s="18"/>
    </x:row>
    <x:row r="188">
      <x:c r="I188" s="18"/>
    </x:row>
    <x:row r="189">
      <x:c r="I189" s="18"/>
    </x:row>
    <x:row r="190">
      <x:c r="I190" s="18"/>
    </x:row>
    <x:row r="191">
      <x:c r="I191" s="18"/>
    </x:row>
    <x:row r="192">
      <x:c r="I192" s="18"/>
    </x:row>
    <x:row r="193">
      <x:c r="I193" s="18"/>
    </x:row>
    <x:row r="194">
      <x:c r="I194" s="18"/>
    </x:row>
    <x:row r="195">
      <x:c r="I195" s="18"/>
    </x:row>
    <x:row r="196">
      <x:c r="I196" s="18"/>
    </x:row>
    <x:row r="197">
      <x:c r="I197" s="18"/>
    </x:row>
    <x:row r="198">
      <x:c r="I198" s="18"/>
    </x:row>
    <x:row r="199">
      <x:c r="I199" s="18"/>
    </x:row>
    <x:row r="200">
      <x:c r="I200" s="18"/>
    </x:row>
    <x:row r="201">
      <x:c r="I201" s="18"/>
    </x:row>
    <x:row r="202">
      <x:c r="I202" s="18"/>
    </x:row>
    <x:row r="203">
      <x:c r="I203" s="18"/>
    </x:row>
    <x:row r="204">
      <x:c r="I204" s="18"/>
    </x:row>
    <x:row r="205">
      <x:c r="I205" s="18"/>
    </x:row>
    <x:row r="206">
      <x:c r="I206" s="18"/>
    </x:row>
    <x:row r="207">
      <x:c r="I207" s="18"/>
    </x:row>
    <x:row r="208">
      <x:c r="I208" s="18"/>
    </x:row>
    <x:row r="209">
      <x:c r="I209" s="18"/>
    </x:row>
    <x:row r="210">
      <x:c r="I210" s="18"/>
    </x:row>
    <x:row r="211">
      <x:c r="I211" s="18"/>
    </x:row>
    <x:row r="212">
      <x:c r="I212" s="18"/>
    </x:row>
    <x:row r="213">
      <x:c r="I213" s="18"/>
    </x:row>
    <x:row r="214">
      <x:c r="I214" s="18"/>
    </x:row>
    <x:row r="215">
      <x:c r="I215" s="18"/>
    </x:row>
    <x:row r="216">
      <x:c r="I216" s="18"/>
    </x:row>
    <x:row r="217">
      <x:c r="I217" s="18"/>
    </x:row>
    <x:row r="218">
      <x:c r="I218" s="18"/>
    </x:row>
    <x:row r="219">
      <x:c r="I219" s="18"/>
    </x:row>
    <x:row r="220">
      <x:c r="I220" s="18"/>
    </x:row>
    <x:row r="221">
      <x:c r="I221" s="18"/>
    </x:row>
    <x:row r="222">
      <x:c r="I222" s="18"/>
    </x:row>
    <x:row r="223">
      <x:c r="I223" s="18"/>
    </x:row>
    <x:row r="224">
      <x:c r="I224" s="18"/>
    </x:row>
    <x:row r="225">
      <x:c r="I225" s="18"/>
    </x:row>
    <x:row r="226">
      <x:c r="I226" s="18"/>
    </x:row>
    <x:row r="227">
      <x:c r="I227" s="18"/>
    </x:row>
    <x:row r="228">
      <x:c r="I228" s="18"/>
    </x:row>
    <x:row r="229">
      <x:c r="I229" s="18"/>
    </x:row>
    <x:row r="230">
      <x:c r="I230" s="18"/>
    </x:row>
    <x:row r="231">
      <x:c r="I231" s="18"/>
    </x:row>
    <x:row r="232">
      <x:c r="I232" s="18"/>
    </x:row>
    <x:row r="233">
      <x:c r="I233" s="18"/>
    </x:row>
    <x:row r="234">
      <x:c r="I234" s="18"/>
    </x:row>
    <x:row r="235">
      <x:c r="I235" s="18"/>
    </x:row>
    <x:row r="236">
      <x:c r="I236" s="18"/>
    </x:row>
    <x:row r="237">
      <x:c r="I237" s="18"/>
    </x:row>
    <x:row r="238">
      <x:c r="I238" s="18"/>
    </x:row>
    <x:row r="239">
      <x:c r="I239" s="18"/>
    </x:row>
    <x:row r="240">
      <x:c r="I240" s="18"/>
    </x:row>
    <x:row r="241">
      <x:c r="I241" s="18"/>
    </x:row>
    <x:row r="242">
      <x:c r="I242" s="18"/>
    </x:row>
    <x:row r="243">
      <x:c r="I243" s="18"/>
    </x:row>
    <x:row r="244">
      <x:c r="I244" s="18"/>
    </x:row>
    <x:row r="245">
      <x:c r="I245" s="18"/>
    </x:row>
    <x:row r="246">
      <x:c r="I246" s="18"/>
    </x:row>
    <x:row r="247">
      <x:c r="I247" s="18"/>
    </x:row>
    <x:row r="248">
      <x:c r="I248" s="18"/>
    </x:row>
    <x:row r="249">
      <x:c r="I249" s="18"/>
    </x:row>
    <x:row r="250">
      <x:c r="I250" s="18"/>
    </x:row>
    <x:row r="251">
      <x:c r="I251" s="18"/>
    </x:row>
    <x:row r="252">
      <x:c r="I252" s="18"/>
    </x:row>
    <x:row r="253">
      <x:c r="I253" s="18"/>
    </x:row>
    <x:row r="254">
      <x:c r="I254" s="18"/>
    </x:row>
    <x:row r="255">
      <x:c r="I255" s="18"/>
    </x:row>
    <x:row r="256">
      <x:c r="I256" s="18"/>
    </x:row>
    <x:row r="257">
      <x:c r="I257" s="18"/>
    </x:row>
    <x:row r="258">
      <x:c r="I258" s="18"/>
    </x:row>
    <x:row r="259">
      <x:c r="I259" s="18"/>
    </x:row>
    <x:row r="260">
      <x:c r="I260" s="18"/>
    </x:row>
    <x:row r="261">
      <x:c r="I261" s="18"/>
    </x:row>
    <x:row r="262">
      <x:c r="I262" s="18"/>
    </x:row>
    <x:row r="263">
      <x:c r="I263" s="18"/>
    </x:row>
    <x:row r="264">
      <x:c r="I264" s="18"/>
    </x:row>
    <x:row r="265">
      <x:c r="I265" s="18"/>
    </x:row>
    <x:row r="266">
      <x:c r="I266" s="18"/>
    </x:row>
    <x:row r="267">
      <x:c r="I267" s="18"/>
    </x:row>
    <x:row r="268">
      <x:c r="I268" s="18"/>
    </x:row>
    <x:row r="269">
      <x:c r="I269" s="18"/>
    </x:row>
    <x:row r="270">
      <x:c r="I270" s="18"/>
    </x:row>
    <x:row r="271">
      <x:c r="I271" s="18"/>
    </x:row>
    <x:row r="272">
      <x:c r="I272" s="18"/>
    </x:row>
    <x:row r="273">
      <x:c r="I273" s="18"/>
    </x:row>
    <x:row r="274">
      <x:c r="I274" s="18"/>
    </x:row>
    <x:row r="275">
      <x:c r="I275" s="18"/>
    </x:row>
    <x:row r="276">
      <x:c r="I276" s="18"/>
    </x:row>
    <x:row r="277">
      <x:c r="I277" s="18"/>
    </x:row>
    <x:row r="278">
      <x:c r="I278" s="18"/>
    </x:row>
    <x:row r="279">
      <x:c r="I279" s="18"/>
    </x:row>
    <x:row r="280">
      <x:c r="I280" s="18"/>
    </x:row>
    <x:row r="281">
      <x:c r="I281" s="18"/>
    </x:row>
    <x:row r="282">
      <x:c r="I282" s="18"/>
    </x:row>
    <x:row r="283">
      <x:c r="I283" s="18"/>
    </x:row>
    <x:row r="284">
      <x:c r="I284" s="18"/>
    </x:row>
    <x:row r="285">
      <x:c r="I285" s="18"/>
    </x:row>
    <x:row r="286">
      <x:c r="I286" s="18"/>
    </x:row>
    <x:row r="287">
      <x:c r="I287" s="18"/>
    </x:row>
    <x:row r="288">
      <x:c r="I288" s="18"/>
    </x:row>
    <x:row r="289">
      <x:c r="I289" s="18"/>
    </x:row>
    <x:row r="290">
      <x:c r="I290" s="18"/>
    </x:row>
    <x:row r="291">
      <x:c r="I291" s="18"/>
    </x:row>
    <x:row r="292">
      <x:c r="I292" s="18"/>
    </x:row>
    <x:row r="293">
      <x:c r="I293" s="18"/>
    </x:row>
    <x:row r="294">
      <x:c r="I294" s="18"/>
    </x:row>
    <x:row r="295">
      <x:c r="I295" s="18"/>
    </x:row>
    <x:row r="296">
      <x:c r="I296" s="18"/>
    </x:row>
    <x:row r="297">
      <x:c r="I297" s="18"/>
    </x:row>
    <x:row r="298">
      <x:c r="I298" s="18"/>
    </x:row>
    <x:row r="299">
      <x:c r="I299" s="18"/>
    </x:row>
    <x:row r="300">
      <x:c r="I300" s="18"/>
    </x:row>
    <x:row r="301">
      <x:c r="I301" s="18"/>
    </x:row>
    <x:row r="302">
      <x:c r="I302" s="18"/>
    </x:row>
    <x:row r="303">
      <x:c r="I303" s="18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2d84e02b81749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Data Flows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Flow ID</x:v>
      </x:c>
      <x:c r="B3" s="12" t="str">
        <x:v>Application ID</x:v>
      </x:c>
      <x:c r="C3" s="12" t="str">
        <x:v>Source</x:v>
      </x:c>
      <x:c r="D3" s="12" t="str">
        <x:v>Destination</x:v>
      </x:c>
      <x:c r="E3" s="12" t="str">
        <x:v>Data</x:v>
      </x:c>
      <x:c r="F3" s="12" t="str">
        <x:v>Protocol</x:v>
      </x:c>
      <x:c r="G3" s="12" t="str">
        <x:v>Authentication</x:v>
      </x:c>
      <x:c r="H3" s="12" t="str">
        <x:v>Encryption</x:v>
      </x:c>
      <x:c r="I3" s="12" t="str">
        <x:v>Trust Boundary Crossed</x:v>
      </x:c>
      <x:c r="J3" s="12" t="str">
        <x:v>Diagram Reference</x:v>
      </x:c>
    </x:row>
    <x:row r="4">
      <x:c r="A4" s="20" t="str">
        <x:v>DF-001</x:v>
      </x:c>
      <x:c r="B4" s="20" t="str">
        <x:v>APP-001</x:v>
      </x:c>
      <x:c r="C4" s="20" t="str">
        <x:v>Customer Browser</x:v>
      </x:c>
      <x:c r="D4" s="20" t="str">
        <x:v>Web Front End</x:v>
      </x:c>
      <x:c r="E4" s="20" t="str">
        <x:v>Credentials and profile data</x:v>
      </x:c>
      <x:c r="F4" s="20" t="str">
        <x:v>HTTPS</x:v>
      </x:c>
      <x:c r="G4" s="20" t="str">
        <x:v>Customer identity</x:v>
      </x:c>
      <x:c r="H4" s="20" t="str">
        <x:v>TLS</x:v>
      </x:c>
      <x:c r="I4" s="20" t="str">
        <x:v>Internet to cloud</x:v>
      </x:c>
      <x:c r="J4" s="20" t="str">
        <x:v>DFD-01</x:v>
      </x:c>
    </x:row>
    <x:row r="5">
      <x:c r="A5" s="20" t="str">
        <x:v>DF-002</x:v>
      </x:c>
      <x:c r="B5" s="20" t="str">
        <x:v>APP-001</x:v>
      </x:c>
      <x:c r="C5" s="20" t="str">
        <x:v>Web Front End</x:v>
      </x:c>
      <x:c r="D5" s="20" t="str">
        <x:v>Application API</x:v>
      </x:c>
      <x:c r="E5" s="20" t="str">
        <x:v>Session token and requests</x:v>
      </x:c>
      <x:c r="F5" s="20" t="str">
        <x:v>HTTPS</x:v>
      </x:c>
      <x:c r="G5" s="20" t="str">
        <x:v>Service identity</x:v>
      </x:c>
      <x:c r="H5" s="20" t="str">
        <x:v>TLS</x:v>
      </x:c>
      <x:c r="I5" s="20" t="str">
        <x:v>Edge to application</x:v>
      </x:c>
      <x:c r="J5" s="20" t="str">
        <x:v>DFD-01</x:v>
      </x:c>
    </x:row>
    <x:row r="6">
      <x:c r="A6" s="20" t="str">
        <x:v>DF-003</x:v>
      </x:c>
      <x:c r="B6" s="20" t="str">
        <x:v>APP-001</x:v>
      </x:c>
      <x:c r="C6" s="20" t="str">
        <x:v>Application API</x:v>
      </x:c>
      <x:c r="D6" s="20" t="str">
        <x:v>Customer Database</x:v>
      </x:c>
      <x:c r="E6" s="20" t="str">
        <x:v>Customer records</x:v>
      </x:c>
      <x:c r="F6" s="20" t="str">
        <x:v>TLS database protocol</x:v>
      </x:c>
      <x:c r="G6" s="20" t="str">
        <x:v>Workload identity</x:v>
      </x:c>
      <x:c r="H6" s="20" t="str">
        <x:v>TLS</x:v>
      </x:c>
      <x:c r="I6" s="20" t="str">
        <x:v>Application to data</x:v>
      </x:c>
      <x:c r="J6" s="20" t="str">
        <x:v>DFD-01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c3baad91a644b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22" hidden="0" customWidth="1"/>
    <x:col min="8" max="8" width="16" hidden="0" customWidth="1"/>
  </x:cols>
  <x:sheetData>
    <x:row r="1">
      <x:c r="A1" s="4" t="str">
        <x:v>Trust Boundaries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Boundary ID</x:v>
      </x:c>
      <x:c r="B3" s="12" t="str">
        <x:v>Application ID</x:v>
      </x:c>
      <x:c r="C3" s="12" t="str">
        <x:v>Boundary</x:v>
      </x:c>
      <x:c r="D3" s="12" t="str">
        <x:v>Inside Zone</x:v>
      </x:c>
      <x:c r="E3" s="12" t="str">
        <x:v>Outside Zone</x:v>
      </x:c>
      <x:c r="F3" s="12" t="str">
        <x:v>Control Expectations</x:v>
      </x:c>
      <x:c r="G3" s="12" t="str">
        <x:v>Owner</x:v>
      </x:c>
      <x:c r="H3" s="12" t="str">
        <x:v>Validation Status</x:v>
      </x:c>
    </x:row>
    <x:row r="4">
      <x:c r="A4" s="20" t="str">
        <x:v>TB-001</x:v>
      </x:c>
      <x:c r="B4" s="20" t="str">
        <x:v>APP-001</x:v>
      </x:c>
      <x:c r="C4" s="20" t="str">
        <x:v>Internet edge</x:v>
      </x:c>
      <x:c r="D4" s="20" t="str">
        <x:v>Cloud edge</x:v>
      </x:c>
      <x:c r="E4" s="20" t="str">
        <x:v>Public internet</x:v>
      </x:c>
      <x:c r="F4" s="20" t="str">
        <x:v>WAF, TLS, rate limiting</x:v>
      </x:c>
      <x:c r="G4" s="20" t="str">
        <x:v>Cloud Security</x:v>
      </x:c>
      <x:c r="H4" s="20" t="str">
        <x:v>Validated</x:v>
      </x:c>
    </x:row>
    <x:row r="5">
      <x:c r="A5" s="20" t="str">
        <x:v>TB-002</x:v>
      </x:c>
      <x:c r="B5" s="20" t="str">
        <x:v>APP-001</x:v>
      </x:c>
      <x:c r="C5" s="20" t="str">
        <x:v>Application data boundary</x:v>
      </x:c>
      <x:c r="D5" s="20" t="str">
        <x:v>Data zone</x:v>
      </x:c>
      <x:c r="E5" s="20" t="str">
        <x:v>Application zone</x:v>
      </x:c>
      <x:c r="F5" s="20" t="str">
        <x:v>Strong service identity and authorization</x:v>
      </x:c>
      <x:c r="G5" s="20" t="str">
        <x:v>Security Architecture</x:v>
      </x:c>
      <x:c r="H5" s="20" t="str">
        <x:v>Needs Review</x:v>
      </x:c>
    </x:row>
    <x:row r="6">
      <x:c r="A6" s="20"/>
      <x:c r="B6" s="20"/>
      <x:c r="C6" s="20"/>
      <x:c r="D6" s="20"/>
      <x:c r="E6" s="20"/>
      <x:c r="F6" s="20"/>
      <x:c r="G6" s="20"/>
      <x:c r="H6" s="20"/>
    </x:row>
    <x:row r="7">
      <x:c r="A7" s="20"/>
      <x:c r="B7" s="20"/>
      <x:c r="C7" s="20"/>
      <x:c r="D7" s="20"/>
      <x:c r="E7" s="20"/>
      <x:c r="F7" s="20"/>
      <x:c r="G7" s="20"/>
      <x:c r="H7" s="20"/>
    </x:row>
    <x:row r="8">
      <x:c r="A8" s="20"/>
      <x:c r="B8" s="20"/>
      <x:c r="C8" s="20"/>
      <x:c r="D8" s="20"/>
      <x:c r="E8" s="20"/>
      <x:c r="F8" s="20"/>
      <x:c r="G8" s="20"/>
      <x:c r="H8" s="20"/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b1c1a670baa4a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3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16" hidden="0" customWidth="1"/>
  </x:cols>
  <x:sheetData>
    <x:row r="1">
      <x:c r="A1" s="4" t="str">
        <x:v>Threat Catalog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Threat ID</x:v>
      </x:c>
      <x:c r="B3" s="12" t="str">
        <x:v>Flow / Component</x:v>
      </x:c>
      <x:c r="C3" s="12" t="str">
        <x:v>Threat Category</x:v>
      </x:c>
      <x:c r="D3" s="12" t="str">
        <x:v>Threat Scenario</x:v>
      </x:c>
      <x:c r="E3" s="12" t="str">
        <x:v>Likelihood</x:v>
      </x:c>
      <x:c r="F3" s="12" t="str">
        <x:v>Impact</x:v>
      </x:c>
      <x:c r="G3" s="12" t="str">
        <x:v>Risk Score</x:v>
      </x:c>
      <x:c r="H3" s="12" t="str">
        <x:v>Existing Controls</x:v>
      </x:c>
      <x:c r="I3" s="12" t="str">
        <x:v>Owner</x:v>
      </x:c>
      <x:c r="J3" s="12" t="str">
        <x:v>Status</x:v>
      </x:c>
    </x:row>
    <x:row r="4">
      <x:c r="A4" s="20" t="str">
        <x:v>TH-001</x:v>
      </x:c>
      <x:c r="B4" s="20" t="str">
        <x:v>DF-001</x:v>
      </x:c>
      <x:c r="C4" s="20" t="str">
        <x:v>Spoofing</x:v>
      </x:c>
      <x:c r="D4" s="20" t="str">
        <x:v>Attacker uses stolen credentials to impersonate a customer</x:v>
      </x:c>
      <x:c r="E4" s="20" t="n">
        <x:v>4</x:v>
      </x:c>
      <x:c r="F4" s="20" t="n">
        <x:v>5</x:v>
      </x:c>
      <x:c r="G4" s="20" t="n">
        <x:f>E4*F4</x:f>
        <x:v>20</x:v>
      </x:c>
      <x:c r="H4" s="20" t="str">
        <x:v>MFA, anomaly detection</x:v>
      </x:c>
      <x:c r="I4" s="20" t="str">
        <x:v>IAM Lead</x:v>
      </x:c>
      <x:c r="J4" s="20" t="str">
        <x:v>In Progress</x:v>
      </x:c>
    </x:row>
    <x:row r="5">
      <x:c r="A5" s="20" t="str">
        <x:v>TH-002</x:v>
      </x:c>
      <x:c r="B5" s="20" t="str">
        <x:v>DF-002</x:v>
      </x:c>
      <x:c r="C5" s="20" t="str">
        <x:v>Tampering</x:v>
      </x:c>
      <x:c r="D5" s="20" t="str">
        <x:v>Attacker modifies request parameters to access another account</x:v>
      </x:c>
      <x:c r="E5" s="20" t="n">
        <x:v>3</x:v>
      </x:c>
      <x:c r="F5" s="20" t="n">
        <x:v>5</x:v>
      </x:c>
      <x:c r="G5" s="20" t="n">
        <x:f>E5*F5</x:f>
        <x:v>15</x:v>
      </x:c>
      <x:c r="H5" s="20" t="str">
        <x:v>Authorization checks</x:v>
      </x:c>
      <x:c r="I5" s="20" t="str">
        <x:v>AppSec Lead</x:v>
      </x:c>
      <x:c r="J5" s="20" t="str">
        <x:v>Needs Review</x:v>
      </x:c>
    </x:row>
    <x:row r="6">
      <x:c r="A6" s="20" t="str">
        <x:v>TH-003</x:v>
      </x:c>
      <x:c r="B6" s="20" t="str">
        <x:v>DF-003</x:v>
      </x:c>
      <x:c r="C6" s="20" t="str">
        <x:v>Information Disclosure</x:v>
      </x:c>
      <x:c r="D6" s="20" t="str">
        <x:v>Excessive database permissions expose customer records</x:v>
      </x:c>
      <x:c r="E6" s="20" t="n">
        <x:v>2</x:v>
      </x:c>
      <x:c r="F6" s="20" t="n">
        <x:v>5</x:v>
      </x:c>
      <x:c r="G6" s="20" t="n">
        <x:f>E6*F6</x:f>
        <x:v>10</x:v>
      </x:c>
      <x:c r="H6" s="20" t="str">
        <x:v>Workload identity, encryption</x:v>
      </x:c>
      <x:c r="I6" s="20" t="str">
        <x:v>Data Security</x:v>
      </x:c>
      <x:c r="J6" s="20" t="str">
        <x:v>Planned</x:v>
      </x:c>
    </x:row>
    <x:row r="7">
      <x:c r="A7" s="20" t="str">
        <x:v>TH-004</x:v>
      </x:c>
      <x:c r="B7" s="20" t="str">
        <x:v>Web Front End</x:v>
      </x:c>
      <x:c r="C7" s="20" t="str">
        <x:v>Denial of Service</x:v>
      </x:c>
      <x:c r="D7" s="20" t="str">
        <x:v>Automated requests exhaust application capacity</x:v>
      </x:c>
      <x:c r="E7" s="20" t="n">
        <x:v>3</x:v>
      </x:c>
      <x:c r="F7" s="20" t="n">
        <x:v>4</x:v>
      </x:c>
      <x:c r="G7" s="20" t="n">
        <x:f>E7*F7</x:f>
        <x:v>12</x:v>
      </x:c>
      <x:c r="H7" s="20" t="str">
        <x:v>WAF, autoscaling</x:v>
      </x:c>
      <x:c r="I7" s="20" t="str">
        <x:v>SRE Lead</x:v>
      </x:c>
      <x:c r="J7" s="20" t="str">
        <x:v>Operational</x:v>
      </x:c>
    </x:row>
    <x:row r="8">
      <x:c r="A8" s="20"/>
      <x:c r="B8" s="20"/>
      <x:c r="C8" s="20"/>
      <x:c r="D8" s="20"/>
      <x:c r="E8" s="20"/>
      <x:c r="F8" s="20"/>
      <x:c r="G8" s="20" t="n">
        <x:f>E8*F8</x:f>
        <x:v>0</x:v>
      </x:c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 t="n">
        <x:f>E9*F9</x:f>
        <x:v>0</x:v>
      </x:c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 t="n">
        <x:f>E10*F10</x:f>
        <x:v>0</x:v>
      </x:c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 t="n">
        <x:f>E11*F11</x:f>
        <x:v>0</x:v>
      </x:c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 t="n">
        <x:f>E12*F12</x:f>
        <x:v>0</x:v>
      </x:c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 t="n">
        <x:f>E13*F13</x:f>
        <x:v>0</x:v>
      </x:c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 t="n">
        <x:f>E14*F14</x:f>
        <x:v>0</x:v>
      </x:c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 t="n">
        <x:f>E15*F15</x:f>
        <x:v>0</x:v>
      </x:c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 t="n">
        <x:f>E16*F16</x:f>
        <x:v>0</x:v>
      </x:c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 t="n">
        <x:f>E17*F17</x:f>
        <x:v>0</x:v>
      </x:c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 t="n">
        <x:f>E18*F18</x:f>
        <x:v>0</x:v>
      </x:c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 t="n">
        <x:f>E19*F19</x:f>
        <x:v>0</x:v>
      </x:c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 t="n">
        <x:f>E20*F20</x:f>
        <x:v>0</x:v>
      </x:c>
      <x:c r="H20" s="20"/>
      <x:c r="I20" s="20"/>
      <x:c r="J20" s="20"/>
    </x:row>
    <x:row r="21">
      <x:c r="G21" t="n">
        <x:f>E21*F21</x:f>
        <x:v>0</x:v>
      </x:c>
    </x:row>
    <x:row r="22">
      <x:c r="G22" t="n">
        <x:f>E22*F22</x:f>
        <x:v>0</x:v>
      </x:c>
    </x:row>
    <x:row r="23">
      <x:c r="G23" t="n">
        <x:f>E23*F23</x:f>
        <x:v>0</x:v>
      </x:c>
    </x:row>
    <x:row r="24">
      <x:c r="G24" t="n">
        <x:f>E24*F24</x:f>
        <x:v>0</x:v>
      </x:c>
    </x:row>
    <x:row r="25">
      <x:c r="G25" t="n">
        <x:f>E25*F25</x:f>
        <x:v>0</x:v>
      </x:c>
    </x:row>
    <x:row r="26">
      <x:c r="G26" t="n">
        <x:f>E26*F26</x:f>
        <x:v>0</x:v>
      </x:c>
    </x:row>
    <x:row r="27">
      <x:c r="G27" t="n">
        <x:f>E27*F27</x:f>
        <x:v>0</x:v>
      </x:c>
    </x:row>
    <x:row r="28">
      <x:c r="G28" t="n">
        <x:f>E28*F28</x:f>
        <x:v>0</x:v>
      </x:c>
    </x:row>
    <x:row r="29">
      <x:c r="G29" t="n">
        <x:f>E29*F29</x:f>
        <x:v>0</x:v>
      </x:c>
    </x:row>
    <x:row r="30">
      <x:c r="G30" t="n">
        <x:f>E30*F30</x:f>
        <x:v>0</x:v>
      </x:c>
    </x:row>
    <x:row r="31">
      <x:c r="G31" t="n">
        <x:f>E31*F31</x:f>
        <x:v>0</x:v>
      </x:c>
    </x:row>
    <x:row r="32">
      <x:c r="G32" t="n">
        <x:f>E32*F32</x:f>
        <x:v>0</x:v>
      </x:c>
    </x:row>
    <x:row r="33">
      <x:c r="G33" t="n">
        <x:f>E33*F33</x:f>
        <x:v>0</x:v>
      </x:c>
    </x:row>
    <x:row r="34">
      <x:c r="G34" t="n">
        <x:f>E34*F34</x:f>
        <x:v>0</x:v>
      </x:c>
    </x:row>
    <x:row r="35">
      <x:c r="G35" t="n">
        <x:f>E35*F35</x:f>
        <x:v>0</x:v>
      </x:c>
    </x:row>
    <x:row r="36">
      <x:c r="G36" t="n">
        <x:f>E36*F36</x:f>
        <x:v>0</x:v>
      </x:c>
    </x:row>
    <x:row r="37">
      <x:c r="G37" t="n">
        <x:f>E37*F37</x:f>
        <x:v>0</x:v>
      </x:c>
    </x:row>
    <x:row r="38">
      <x:c r="G38" t="n">
        <x:f>E38*F38</x:f>
        <x:v>0</x:v>
      </x:c>
    </x:row>
    <x:row r="39">
      <x:c r="G39" t="n">
        <x:f>E39*F39</x:f>
        <x:v>0</x:v>
      </x:c>
    </x:row>
    <x:row r="40">
      <x:c r="G40" t="n">
        <x:f>E40*F40</x:f>
        <x:v>0</x:v>
      </x:c>
    </x:row>
    <x:row r="41">
      <x:c r="G41" t="n">
        <x:f>E41*F41</x:f>
        <x:v>0</x:v>
      </x:c>
    </x:row>
    <x:row r="42">
      <x:c r="G42" t="n">
        <x:f>E42*F42</x:f>
        <x:v>0</x:v>
      </x:c>
    </x:row>
    <x:row r="43">
      <x:c r="G43" t="n">
        <x:f>E43*F43</x:f>
        <x:v>0</x:v>
      </x:c>
    </x:row>
    <x:row r="44">
      <x:c r="G44" t="n">
        <x:f>E44*F44</x:f>
        <x:v>0</x:v>
      </x:c>
    </x:row>
    <x:row r="45">
      <x:c r="G45" t="n">
        <x:f>E45*F45</x:f>
        <x:v>0</x:v>
      </x:c>
    </x:row>
    <x:row r="46">
      <x:c r="G46" t="n">
        <x:f>E46*F46</x:f>
        <x:v>0</x:v>
      </x:c>
    </x:row>
    <x:row r="47">
      <x:c r="G47" t="n">
        <x:f>E47*F47</x:f>
        <x:v>0</x:v>
      </x:c>
    </x:row>
    <x:row r="48">
      <x:c r="G48" t="n">
        <x:f>E48*F48</x:f>
        <x:v>0</x:v>
      </x:c>
    </x:row>
    <x:row r="49">
      <x:c r="G49" t="n">
        <x:f>E49*F49</x:f>
        <x:v>0</x:v>
      </x:c>
    </x:row>
    <x:row r="50">
      <x:c r="G50" t="n">
        <x:f>E50*F50</x:f>
        <x:v>0</x:v>
      </x:c>
    </x:row>
    <x:row r="51">
      <x:c r="G51" t="n">
        <x:f>E51*F51</x:f>
        <x:v>0</x:v>
      </x:c>
    </x:row>
    <x:row r="52">
      <x:c r="G52" t="n">
        <x:f>E52*F52</x:f>
        <x:v>0</x:v>
      </x:c>
    </x:row>
    <x:row r="53">
      <x:c r="G53" t="n">
        <x:f>E53*F53</x:f>
        <x:v>0</x:v>
      </x:c>
    </x:row>
    <x:row r="54">
      <x:c r="G54" t="n">
        <x:f>E54*F54</x:f>
        <x:v>0</x:v>
      </x:c>
    </x:row>
    <x:row r="55">
      <x:c r="G55" t="n">
        <x:f>E55*F55</x:f>
        <x:v>0</x:v>
      </x:c>
    </x:row>
    <x:row r="56">
      <x:c r="G56" t="n">
        <x:f>E56*F56</x:f>
        <x:v>0</x:v>
      </x:c>
    </x:row>
    <x:row r="57">
      <x:c r="G57" t="n">
        <x:f>E57*F57</x:f>
        <x:v>0</x:v>
      </x:c>
    </x:row>
    <x:row r="58">
      <x:c r="G58" t="n">
        <x:f>E58*F58</x:f>
        <x:v>0</x:v>
      </x:c>
    </x:row>
    <x:row r="59">
      <x:c r="G59" t="n">
        <x:f>E59*F59</x:f>
        <x:v>0</x:v>
      </x:c>
    </x:row>
    <x:row r="60">
      <x:c r="G60" t="n">
        <x:f>E60*F60</x:f>
        <x:v>0</x:v>
      </x:c>
    </x:row>
    <x:row r="61">
      <x:c r="G61" t="n">
        <x:f>E61*F61</x:f>
        <x:v>0</x:v>
      </x:c>
    </x:row>
    <x:row r="62">
      <x:c r="G62" t="n">
        <x:f>E62*F62</x:f>
        <x:v>0</x:v>
      </x:c>
    </x:row>
    <x:row r="63">
      <x:c r="G63" t="n">
        <x:f>E63*F63</x:f>
        <x:v>0</x:v>
      </x:c>
    </x:row>
    <x:row r="64">
      <x:c r="G64" t="n">
        <x:f>E64*F64</x:f>
        <x:v>0</x:v>
      </x:c>
    </x:row>
    <x:row r="65">
      <x:c r="G65" t="n">
        <x:f>E65*F65</x:f>
        <x:v>0</x:v>
      </x:c>
    </x:row>
    <x:row r="66">
      <x:c r="G66" t="n">
        <x:f>E66*F66</x:f>
        <x:v>0</x:v>
      </x:c>
    </x:row>
    <x:row r="67">
      <x:c r="G67" t="n">
        <x:f>E67*F67</x:f>
        <x:v>0</x:v>
      </x:c>
    </x:row>
    <x:row r="68">
      <x:c r="G68" t="n">
        <x:f>E68*F68</x:f>
        <x:v>0</x:v>
      </x:c>
    </x:row>
    <x:row r="69">
      <x:c r="G69" t="n">
        <x:f>E69*F69</x:f>
        <x:v>0</x:v>
      </x:c>
    </x:row>
    <x:row r="70">
      <x:c r="G70" t="n">
        <x:f>E70*F70</x:f>
        <x:v>0</x:v>
      </x:c>
    </x:row>
    <x:row r="71">
      <x:c r="G71" t="n">
        <x:f>E71*F71</x:f>
        <x:v>0</x:v>
      </x:c>
    </x:row>
    <x:row r="72">
      <x:c r="G72" t="n">
        <x:f>E72*F72</x:f>
        <x:v>0</x:v>
      </x:c>
    </x:row>
    <x:row r="73">
      <x:c r="G73" t="n">
        <x:f>E73*F73</x:f>
        <x:v>0</x:v>
      </x:c>
    </x:row>
    <x:row r="74">
      <x:c r="G74" t="n">
        <x:f>E74*F74</x:f>
        <x:v>0</x:v>
      </x:c>
    </x:row>
    <x:row r="75">
      <x:c r="G75" t="n">
        <x:f>E75*F75</x:f>
        <x:v>0</x:v>
      </x:c>
    </x:row>
    <x:row r="76">
      <x:c r="G76" t="n">
        <x:f>E76*F76</x:f>
        <x:v>0</x:v>
      </x:c>
    </x:row>
    <x:row r="77">
      <x:c r="G77" t="n">
        <x:f>E77*F77</x:f>
        <x:v>0</x:v>
      </x:c>
    </x:row>
    <x:row r="78">
      <x:c r="G78" t="n">
        <x:f>E78*F78</x:f>
        <x:v>0</x:v>
      </x:c>
    </x:row>
    <x:row r="79">
      <x:c r="G79" t="n">
        <x:f>E79*F79</x:f>
        <x:v>0</x:v>
      </x:c>
    </x:row>
    <x:row r="80">
      <x:c r="G80" t="n">
        <x:f>E80*F80</x:f>
        <x:v>0</x:v>
      </x:c>
    </x:row>
    <x:row r="81">
      <x:c r="G81" t="n">
        <x:f>E81*F81</x:f>
        <x:v>0</x:v>
      </x:c>
    </x:row>
    <x:row r="82">
      <x:c r="G82" t="n">
        <x:f>E82*F82</x:f>
        <x:v>0</x:v>
      </x:c>
    </x:row>
    <x:row r="83">
      <x:c r="G83" t="n">
        <x:f>E83*F83</x:f>
        <x:v>0</x:v>
      </x:c>
    </x:row>
    <x:row r="84">
      <x:c r="G84" t="n">
        <x:f>E84*F84</x:f>
        <x:v>0</x:v>
      </x:c>
    </x:row>
    <x:row r="85">
      <x:c r="G85" t="n">
        <x:f>E85*F85</x:f>
        <x:v>0</x:v>
      </x:c>
    </x:row>
    <x:row r="86">
      <x:c r="G86" t="n">
        <x:f>E86*F86</x:f>
        <x:v>0</x:v>
      </x:c>
    </x:row>
    <x:row r="87">
      <x:c r="G87" t="n">
        <x:f>E87*F87</x:f>
        <x:v>0</x:v>
      </x:c>
    </x:row>
    <x:row r="88">
      <x:c r="G88" t="n">
        <x:f>E88*F88</x:f>
        <x:v>0</x:v>
      </x:c>
    </x:row>
    <x:row r="89">
      <x:c r="G89" t="n">
        <x:f>E89*F89</x:f>
        <x:v>0</x:v>
      </x:c>
    </x:row>
    <x:row r="90">
      <x:c r="G90" t="n">
        <x:f>E90*F90</x:f>
        <x:v>0</x:v>
      </x:c>
    </x:row>
    <x:row r="91">
      <x:c r="G91" t="n">
        <x:f>E91*F91</x:f>
        <x:v>0</x:v>
      </x:c>
    </x:row>
    <x:row r="92">
      <x:c r="G92" t="n">
        <x:f>E92*F92</x:f>
        <x:v>0</x:v>
      </x:c>
    </x:row>
    <x:row r="93">
      <x:c r="G93" t="n">
        <x:f>E93*F93</x:f>
        <x:v>0</x:v>
      </x:c>
    </x:row>
    <x:row r="94">
      <x:c r="G94" t="n">
        <x:f>E94*F94</x:f>
        <x:v>0</x:v>
      </x:c>
    </x:row>
    <x:row r="95">
      <x:c r="G95" t="n">
        <x:f>E95*F95</x:f>
        <x:v>0</x:v>
      </x:c>
    </x:row>
    <x:row r="96">
      <x:c r="G96" t="n">
        <x:f>E96*F96</x:f>
        <x:v>0</x:v>
      </x:c>
    </x:row>
    <x:row r="97">
      <x:c r="G97" t="n">
        <x:f>E97*F97</x:f>
        <x:v>0</x:v>
      </x:c>
    </x:row>
    <x:row r="98">
      <x:c r="G98" t="n">
        <x:f>E98*F98</x:f>
        <x:v>0</x:v>
      </x:c>
    </x:row>
    <x:row r="99">
      <x:c r="G99" t="n">
        <x:f>E99*F99</x:f>
        <x:v>0</x:v>
      </x:c>
    </x:row>
    <x:row r="100">
      <x:c r="G100" t="n">
        <x:f>E100*F100</x:f>
        <x:v>0</x:v>
      </x:c>
    </x:row>
    <x:row r="101">
      <x:c r="G101" t="n">
        <x:f>E101*F101</x:f>
        <x:v>0</x:v>
      </x:c>
    </x:row>
    <x:row r="102">
      <x:c r="G102" t="n">
        <x:f>E102*F102</x:f>
        <x:v>0</x:v>
      </x:c>
    </x:row>
    <x:row r="103">
      <x:c r="G103" t="n">
        <x:f>E103*F103</x:f>
        <x:v>0</x:v>
      </x:c>
    </x:row>
    <x:row r="104">
      <x:c r="G104" t="n">
        <x:f>E104*F104</x:f>
        <x:v>0</x:v>
      </x:c>
    </x:row>
    <x:row r="105">
      <x:c r="G105" t="n">
        <x:f>E105*F105</x:f>
        <x:v>0</x:v>
      </x:c>
    </x:row>
    <x:row r="106">
      <x:c r="G106" t="n">
        <x:f>E106*F106</x:f>
        <x:v>0</x:v>
      </x:c>
    </x:row>
    <x:row r="107">
      <x:c r="G107" t="n">
        <x:f>E107*F107</x:f>
        <x:v>0</x:v>
      </x:c>
    </x:row>
    <x:row r="108">
      <x:c r="G108" t="n">
        <x:f>E108*F108</x:f>
        <x:v>0</x:v>
      </x:c>
    </x:row>
    <x:row r="109">
      <x:c r="G109" t="n">
        <x:f>E109*F109</x:f>
        <x:v>0</x:v>
      </x:c>
    </x:row>
    <x:row r="110">
      <x:c r="G110" t="n">
        <x:f>E110*F110</x:f>
        <x:v>0</x:v>
      </x:c>
    </x:row>
    <x:row r="111">
      <x:c r="G111" t="n">
        <x:f>E111*F111</x:f>
        <x:v>0</x:v>
      </x:c>
    </x:row>
    <x:row r="112">
      <x:c r="G112" t="n">
        <x:f>E112*F112</x:f>
        <x:v>0</x:v>
      </x:c>
    </x:row>
    <x:row r="113">
      <x:c r="G113" t="n">
        <x:f>E113*F113</x:f>
        <x:v>0</x:v>
      </x:c>
    </x:row>
    <x:row r="114">
      <x:c r="G114" t="n">
        <x:f>E114*F114</x:f>
        <x:v>0</x:v>
      </x:c>
    </x:row>
    <x:row r="115">
      <x:c r="G115" t="n">
        <x:f>E115*F115</x:f>
        <x:v>0</x:v>
      </x:c>
    </x:row>
    <x:row r="116">
      <x:c r="G116" t="n">
        <x:f>E116*F116</x:f>
        <x:v>0</x:v>
      </x:c>
    </x:row>
    <x:row r="117">
      <x:c r="G117" t="n">
        <x:f>E117*F117</x:f>
        <x:v>0</x:v>
      </x:c>
    </x:row>
    <x:row r="118">
      <x:c r="G118" t="n">
        <x:f>E118*F118</x:f>
        <x:v>0</x:v>
      </x:c>
    </x:row>
    <x:row r="119">
      <x:c r="G119" t="n">
        <x:f>E119*F119</x:f>
        <x:v>0</x:v>
      </x:c>
    </x:row>
    <x:row r="120">
      <x:c r="G120" t="n">
        <x:f>E120*F120</x:f>
        <x:v>0</x:v>
      </x:c>
    </x:row>
    <x:row r="121">
      <x:c r="G121" t="n">
        <x:f>E121*F121</x:f>
        <x:v>0</x:v>
      </x:c>
    </x:row>
    <x:row r="122">
      <x:c r="G122" t="n">
        <x:f>E122*F122</x:f>
        <x:v>0</x:v>
      </x:c>
    </x:row>
    <x:row r="123">
      <x:c r="G123" t="n">
        <x:f>E123*F123</x:f>
        <x:v>0</x:v>
      </x:c>
    </x:row>
    <x:row r="124">
      <x:c r="G124" t="n">
        <x:f>E124*F124</x:f>
        <x:v>0</x:v>
      </x:c>
    </x:row>
    <x:row r="125">
      <x:c r="G125" t="n">
        <x:f>E125*F125</x:f>
        <x:v>0</x:v>
      </x:c>
    </x:row>
    <x:row r="126">
      <x:c r="G126" t="n">
        <x:f>E126*F126</x:f>
        <x:v>0</x:v>
      </x:c>
    </x:row>
    <x:row r="127">
      <x:c r="G127" t="n">
        <x:f>E127*F127</x:f>
        <x:v>0</x:v>
      </x:c>
    </x:row>
    <x:row r="128">
      <x:c r="G128" t="n">
        <x:f>E128*F128</x:f>
        <x:v>0</x:v>
      </x:c>
    </x:row>
    <x:row r="129">
      <x:c r="G129" t="n">
        <x:f>E129*F129</x:f>
        <x:v>0</x:v>
      </x:c>
    </x:row>
    <x:row r="130">
      <x:c r="G130" t="n">
        <x:f>E130*F130</x:f>
        <x:v>0</x:v>
      </x:c>
    </x:row>
    <x:row r="131">
      <x:c r="G131" t="n">
        <x:f>E131*F131</x:f>
        <x:v>0</x:v>
      </x:c>
    </x:row>
    <x:row r="132">
      <x:c r="G132" t="n">
        <x:f>E132*F132</x:f>
        <x:v>0</x:v>
      </x:c>
    </x:row>
    <x:row r="133">
      <x:c r="G133" t="n">
        <x:f>E133*F133</x:f>
        <x:v>0</x:v>
      </x:c>
    </x:row>
    <x:row r="134">
      <x:c r="G134" t="n">
        <x:f>E134*F134</x:f>
        <x:v>0</x:v>
      </x:c>
    </x:row>
    <x:row r="135">
      <x:c r="G135" t="n">
        <x:f>E135*F135</x:f>
        <x:v>0</x:v>
      </x:c>
    </x:row>
    <x:row r="136">
      <x:c r="G136" t="n">
        <x:f>E136*F136</x:f>
        <x:v>0</x:v>
      </x:c>
    </x:row>
    <x:row r="137">
      <x:c r="G137" t="n">
        <x:f>E137*F137</x:f>
        <x:v>0</x:v>
      </x:c>
    </x:row>
    <x:row r="138">
      <x:c r="G138" t="n">
        <x:f>E138*F138</x:f>
        <x:v>0</x:v>
      </x:c>
    </x:row>
    <x:row r="139">
      <x:c r="G139" t="n">
        <x:f>E139*F139</x:f>
        <x:v>0</x:v>
      </x:c>
    </x:row>
    <x:row r="140">
      <x:c r="G140" t="n">
        <x:f>E140*F140</x:f>
        <x:v>0</x:v>
      </x:c>
    </x:row>
    <x:row r="141">
      <x:c r="G141" t="n">
        <x:f>E141*F141</x:f>
        <x:v>0</x:v>
      </x:c>
    </x:row>
    <x:row r="142">
      <x:c r="G142" t="n">
        <x:f>E142*F142</x:f>
        <x:v>0</x:v>
      </x:c>
    </x:row>
    <x:row r="143">
      <x:c r="G143" t="n">
        <x:f>E143*F143</x:f>
        <x:v>0</x:v>
      </x:c>
    </x:row>
    <x:row r="144">
      <x:c r="G144" t="n">
        <x:f>E144*F144</x:f>
        <x:v>0</x:v>
      </x:c>
    </x:row>
    <x:row r="145">
      <x:c r="G145" t="n">
        <x:f>E145*F145</x:f>
        <x:v>0</x:v>
      </x:c>
    </x:row>
    <x:row r="146">
      <x:c r="G146" t="n">
        <x:f>E146*F146</x:f>
        <x:v>0</x:v>
      </x:c>
    </x:row>
    <x:row r="147">
      <x:c r="G147" t="n">
        <x:f>E147*F147</x:f>
        <x:v>0</x:v>
      </x:c>
    </x:row>
    <x:row r="148">
      <x:c r="G148" t="n">
        <x:f>E148*F148</x:f>
        <x:v>0</x:v>
      </x:c>
    </x:row>
    <x:row r="149">
      <x:c r="G149" t="n">
        <x:f>E149*F149</x:f>
        <x:v>0</x:v>
      </x:c>
    </x:row>
    <x:row r="150">
      <x:c r="G150" t="n">
        <x:f>E150*F150</x:f>
        <x:v>0</x:v>
      </x:c>
    </x:row>
    <x:row r="151">
      <x:c r="G151" t="n">
        <x:f>E151*F151</x:f>
        <x:v>0</x:v>
      </x:c>
    </x:row>
    <x:row r="152">
      <x:c r="G152" t="n">
        <x:f>E152*F152</x:f>
        <x:v>0</x:v>
      </x:c>
    </x:row>
    <x:row r="153">
      <x:c r="G153" t="n">
        <x:f>E153*F153</x:f>
        <x:v>0</x:v>
      </x:c>
    </x:row>
    <x:row r="154">
      <x:c r="G154" t="n">
        <x:f>E154*F154</x:f>
        <x:v>0</x:v>
      </x:c>
    </x:row>
    <x:row r="155">
      <x:c r="G155" t="n">
        <x:f>E155*F155</x:f>
        <x:v>0</x:v>
      </x:c>
    </x:row>
    <x:row r="156">
      <x:c r="G156" t="n">
        <x:f>E156*F156</x:f>
        <x:v>0</x:v>
      </x:c>
    </x:row>
    <x:row r="157">
      <x:c r="G157" t="n">
        <x:f>E157*F157</x:f>
        <x:v>0</x:v>
      </x:c>
    </x:row>
    <x:row r="158">
      <x:c r="G158" t="n">
        <x:f>E158*F158</x:f>
        <x:v>0</x:v>
      </x:c>
    </x:row>
    <x:row r="159">
      <x:c r="G159" t="n">
        <x:f>E159*F159</x:f>
        <x:v>0</x:v>
      </x:c>
    </x:row>
    <x:row r="160">
      <x:c r="G160" t="n">
        <x:f>E160*F160</x:f>
        <x:v>0</x:v>
      </x:c>
    </x:row>
    <x:row r="161">
      <x:c r="G161" t="n">
        <x:f>E161*F161</x:f>
        <x:v>0</x:v>
      </x:c>
    </x:row>
    <x:row r="162">
      <x:c r="G162" t="n">
        <x:f>E162*F162</x:f>
        <x:v>0</x:v>
      </x:c>
    </x:row>
    <x:row r="163">
      <x:c r="G163" t="n">
        <x:f>E163*F163</x:f>
        <x:v>0</x:v>
      </x:c>
    </x:row>
    <x:row r="164">
      <x:c r="G164" t="n">
        <x:f>E164*F164</x:f>
        <x:v>0</x:v>
      </x:c>
    </x:row>
    <x:row r="165">
      <x:c r="G165" t="n">
        <x:f>E165*F165</x:f>
        <x:v>0</x:v>
      </x:c>
    </x:row>
    <x:row r="166">
      <x:c r="G166" t="n">
        <x:f>E166*F166</x:f>
        <x:v>0</x:v>
      </x:c>
    </x:row>
    <x:row r="167">
      <x:c r="G167" t="n">
        <x:f>E167*F167</x:f>
        <x:v>0</x:v>
      </x:c>
    </x:row>
    <x:row r="168">
      <x:c r="G168" t="n">
        <x:f>E168*F168</x:f>
        <x:v>0</x:v>
      </x:c>
    </x:row>
    <x:row r="169">
      <x:c r="G169" t="n">
        <x:f>E169*F169</x:f>
        <x:v>0</x:v>
      </x:c>
    </x:row>
    <x:row r="170">
      <x:c r="G170" t="n">
        <x:f>E170*F170</x:f>
        <x:v>0</x:v>
      </x:c>
    </x:row>
    <x:row r="171">
      <x:c r="G171" t="n">
        <x:f>E171*F171</x:f>
        <x:v>0</x:v>
      </x:c>
    </x:row>
    <x:row r="172">
      <x:c r="G172" t="n">
        <x:f>E172*F172</x:f>
        <x:v>0</x:v>
      </x:c>
    </x:row>
    <x:row r="173">
      <x:c r="G173" t="n">
        <x:f>E173*F173</x:f>
        <x:v>0</x:v>
      </x:c>
    </x:row>
    <x:row r="174">
      <x:c r="G174" t="n">
        <x:f>E174*F174</x:f>
        <x:v>0</x:v>
      </x:c>
    </x:row>
    <x:row r="175">
      <x:c r="G175" t="n">
        <x:f>E175*F175</x:f>
        <x:v>0</x:v>
      </x:c>
    </x:row>
    <x:row r="176">
      <x:c r="G176" t="n">
        <x:f>E176*F176</x:f>
        <x:v>0</x:v>
      </x:c>
    </x:row>
    <x:row r="177">
      <x:c r="G177" t="n">
        <x:f>E177*F177</x:f>
        <x:v>0</x:v>
      </x:c>
    </x:row>
    <x:row r="178">
      <x:c r="G178" t="n">
        <x:f>E178*F178</x:f>
        <x:v>0</x:v>
      </x:c>
    </x:row>
    <x:row r="179">
      <x:c r="G179" t="n">
        <x:f>E179*F179</x:f>
        <x:v>0</x:v>
      </x:c>
    </x:row>
    <x:row r="180">
      <x:c r="G180" t="n">
        <x:f>E180*F180</x:f>
        <x:v>0</x:v>
      </x:c>
    </x:row>
    <x:row r="181">
      <x:c r="G181" t="n">
        <x:f>E181*F181</x:f>
        <x:v>0</x:v>
      </x:c>
    </x:row>
    <x:row r="182">
      <x:c r="G182" t="n">
        <x:f>E182*F182</x:f>
        <x:v>0</x:v>
      </x:c>
    </x:row>
    <x:row r="183">
      <x:c r="G183" t="n">
        <x:f>E183*F183</x:f>
        <x:v>0</x:v>
      </x:c>
    </x:row>
    <x:row r="184">
      <x:c r="G184" t="n">
        <x:f>E184*F184</x:f>
        <x:v>0</x:v>
      </x:c>
    </x:row>
    <x:row r="185">
      <x:c r="G185" t="n">
        <x:f>E185*F185</x:f>
        <x:v>0</x:v>
      </x:c>
    </x:row>
    <x:row r="186">
      <x:c r="G186" t="n">
        <x:f>E186*F186</x:f>
        <x:v>0</x:v>
      </x:c>
    </x:row>
    <x:row r="187">
      <x:c r="G187" t="n">
        <x:f>E187*F187</x:f>
        <x:v>0</x:v>
      </x:c>
    </x:row>
    <x:row r="188">
      <x:c r="G188" t="n">
        <x:f>E188*F188</x:f>
        <x:v>0</x:v>
      </x:c>
    </x:row>
    <x:row r="189">
      <x:c r="G189" t="n">
        <x:f>E189*F189</x:f>
        <x:v>0</x:v>
      </x:c>
    </x:row>
    <x:row r="190">
      <x:c r="G190" t="n">
        <x:f>E190*F190</x:f>
        <x:v>0</x:v>
      </x:c>
    </x:row>
    <x:row r="191">
      <x:c r="G191" t="n">
        <x:f>E191*F191</x:f>
        <x:v>0</x:v>
      </x:c>
    </x:row>
    <x:row r="192">
      <x:c r="G192" t="n">
        <x:f>E192*F192</x:f>
        <x:v>0</x:v>
      </x:c>
    </x:row>
    <x:row r="193">
      <x:c r="G193" t="n">
        <x:f>E193*F193</x:f>
        <x:v>0</x:v>
      </x:c>
    </x:row>
    <x:row r="194">
      <x:c r="G194" t="n">
        <x:f>E194*F194</x:f>
        <x:v>0</x:v>
      </x:c>
    </x:row>
    <x:row r="195">
      <x:c r="G195" t="n">
        <x:f>E195*F195</x:f>
        <x:v>0</x:v>
      </x:c>
    </x:row>
    <x:row r="196">
      <x:c r="G196" t="n">
        <x:f>E196*F196</x:f>
        <x:v>0</x:v>
      </x:c>
    </x:row>
    <x:row r="197">
      <x:c r="G197" t="n">
        <x:f>E197*F197</x:f>
        <x:v>0</x:v>
      </x:c>
    </x:row>
    <x:row r="198">
      <x:c r="G198" t="n">
        <x:f>E198*F198</x:f>
        <x:v>0</x:v>
      </x:c>
    </x:row>
    <x:row r="199">
      <x:c r="G199" t="n">
        <x:f>E199*F199</x:f>
        <x:v>0</x:v>
      </x:c>
    </x:row>
    <x:row r="200">
      <x:c r="G200" t="n">
        <x:f>E200*F200</x:f>
        <x:v>0</x:v>
      </x:c>
    </x:row>
    <x:row r="201">
      <x:c r="G201" t="n">
        <x:f>E201*F201</x:f>
        <x:v>0</x:v>
      </x:c>
    </x:row>
    <x:row r="202">
      <x:c r="G202" t="n">
        <x:f>E202*F202</x:f>
        <x:v>0</x:v>
      </x:c>
    </x:row>
    <x:row r="203">
      <x:c r="G203" t="n">
        <x:f>E203*F203</x:f>
        <x:v>0</x:v>
      </x:c>
    </x:row>
    <x:row r="204">
      <x:c r="G204" t="n">
        <x:f>E204*F204</x:f>
        <x:v>0</x:v>
      </x:c>
    </x:row>
    <x:row r="205">
      <x:c r="G205" t="n">
        <x:f>E205*F205</x:f>
        <x:v>0</x:v>
      </x:c>
    </x:row>
    <x:row r="206">
      <x:c r="G206" t="n">
        <x:f>E206*F206</x:f>
        <x:v>0</x:v>
      </x:c>
    </x:row>
    <x:row r="207">
      <x:c r="G207" t="n">
        <x:f>E207*F207</x:f>
        <x:v>0</x:v>
      </x:c>
    </x:row>
    <x:row r="208">
      <x:c r="G208" t="n">
        <x:f>E208*F208</x:f>
        <x:v>0</x:v>
      </x:c>
    </x:row>
    <x:row r="209">
      <x:c r="G209" t="n">
        <x:f>E209*F209</x:f>
        <x:v>0</x:v>
      </x:c>
    </x:row>
    <x:row r="210">
      <x:c r="G210" t="n">
        <x:f>E210*F210</x:f>
        <x:v>0</x:v>
      </x:c>
    </x:row>
    <x:row r="211">
      <x:c r="G211" t="n">
        <x:f>E211*F211</x:f>
        <x:v>0</x:v>
      </x:c>
    </x:row>
    <x:row r="212">
      <x:c r="G212" t="n">
        <x:f>E212*F212</x:f>
        <x:v>0</x:v>
      </x:c>
    </x:row>
    <x:row r="213">
      <x:c r="G213" t="n">
        <x:f>E213*F213</x:f>
        <x:v>0</x:v>
      </x:c>
    </x:row>
    <x:row r="214">
      <x:c r="G214" t="n">
        <x:f>E214*F214</x:f>
        <x:v>0</x:v>
      </x:c>
    </x:row>
    <x:row r="215">
      <x:c r="G215" t="n">
        <x:f>E215*F215</x:f>
        <x:v>0</x:v>
      </x:c>
    </x:row>
    <x:row r="216">
      <x:c r="G216" t="n">
        <x:f>E216*F216</x:f>
        <x:v>0</x:v>
      </x:c>
    </x:row>
    <x:row r="217">
      <x:c r="G217" t="n">
        <x:f>E217*F217</x:f>
        <x:v>0</x:v>
      </x:c>
    </x:row>
    <x:row r="218">
      <x:c r="G218" t="n">
        <x:f>E218*F218</x:f>
        <x:v>0</x:v>
      </x:c>
    </x:row>
    <x:row r="219">
      <x:c r="G219" t="n">
        <x:f>E219*F219</x:f>
        <x:v>0</x:v>
      </x:c>
    </x:row>
    <x:row r="220">
      <x:c r="G220" t="n">
        <x:f>E220*F220</x:f>
        <x:v>0</x:v>
      </x:c>
    </x:row>
    <x:row r="221">
      <x:c r="G221" t="n">
        <x:f>E221*F221</x:f>
        <x:v>0</x:v>
      </x:c>
    </x:row>
    <x:row r="222">
      <x:c r="G222" t="n">
        <x:f>E222*F222</x:f>
        <x:v>0</x:v>
      </x:c>
    </x:row>
    <x:row r="223">
      <x:c r="G223" t="n">
        <x:f>E223*F223</x:f>
        <x:v>0</x:v>
      </x:c>
    </x:row>
    <x:row r="224">
      <x:c r="G224" t="n">
        <x:f>E224*F224</x:f>
        <x:v>0</x:v>
      </x:c>
    </x:row>
    <x:row r="225">
      <x:c r="G225" t="n">
        <x:f>E225*F225</x:f>
        <x:v>0</x:v>
      </x:c>
    </x:row>
    <x:row r="226">
      <x:c r="G226" t="n">
        <x:f>E226*F226</x:f>
        <x:v>0</x:v>
      </x:c>
    </x:row>
    <x:row r="227">
      <x:c r="G227" t="n">
        <x:f>E227*F227</x:f>
        <x:v>0</x:v>
      </x:c>
    </x:row>
    <x:row r="228">
      <x:c r="G228" t="n">
        <x:f>E228*F228</x:f>
        <x:v>0</x:v>
      </x:c>
    </x:row>
    <x:row r="229">
      <x:c r="G229" t="n">
        <x:f>E229*F229</x:f>
        <x:v>0</x:v>
      </x:c>
    </x:row>
    <x:row r="230">
      <x:c r="G230" t="n">
        <x:f>E230*F230</x:f>
        <x:v>0</x:v>
      </x:c>
    </x:row>
    <x:row r="231">
      <x:c r="G231" t="n">
        <x:f>E231*F231</x:f>
        <x:v>0</x:v>
      </x:c>
    </x:row>
    <x:row r="232">
      <x:c r="G232" t="n">
        <x:f>E232*F232</x:f>
        <x:v>0</x:v>
      </x:c>
    </x:row>
    <x:row r="233">
      <x:c r="G233" t="n">
        <x:f>E233*F233</x:f>
        <x:v>0</x:v>
      </x:c>
    </x:row>
    <x:row r="234">
      <x:c r="G234" t="n">
        <x:f>E234*F234</x:f>
        <x:v>0</x:v>
      </x:c>
    </x:row>
    <x:row r="235">
      <x:c r="G235" t="n">
        <x:f>E235*F235</x:f>
        <x:v>0</x:v>
      </x:c>
    </x:row>
    <x:row r="236">
      <x:c r="G236" t="n">
        <x:f>E236*F236</x:f>
        <x:v>0</x:v>
      </x:c>
    </x:row>
    <x:row r="237">
      <x:c r="G237" t="n">
        <x:f>E237*F237</x:f>
        <x:v>0</x:v>
      </x:c>
    </x:row>
    <x:row r="238">
      <x:c r="G238" t="n">
        <x:f>E238*F238</x:f>
        <x:v>0</x:v>
      </x:c>
    </x:row>
    <x:row r="239">
      <x:c r="G239" t="n">
        <x:f>E239*F239</x:f>
        <x:v>0</x:v>
      </x:c>
    </x:row>
    <x:row r="240">
      <x:c r="G240" t="n">
        <x:f>E240*F240</x:f>
        <x:v>0</x:v>
      </x:c>
    </x:row>
    <x:row r="241">
      <x:c r="G241" t="n">
        <x:f>E241*F241</x:f>
        <x:v>0</x:v>
      </x:c>
    </x:row>
    <x:row r="242">
      <x:c r="G242" t="n">
        <x:f>E242*F242</x:f>
        <x:v>0</x:v>
      </x:c>
    </x:row>
    <x:row r="243">
      <x:c r="G243" t="n">
        <x:f>E243*F243</x:f>
        <x:v>0</x:v>
      </x:c>
    </x:row>
    <x:row r="244">
      <x:c r="G244" t="n">
        <x:f>E244*F244</x:f>
        <x:v>0</x:v>
      </x:c>
    </x:row>
    <x:row r="245">
      <x:c r="G245" t="n">
        <x:f>E245*F245</x:f>
        <x:v>0</x:v>
      </x:c>
    </x:row>
    <x:row r="246">
      <x:c r="G246" t="n">
        <x:f>E246*F246</x:f>
        <x:v>0</x:v>
      </x:c>
    </x:row>
    <x:row r="247">
      <x:c r="G247" t="n">
        <x:f>E247*F247</x:f>
        <x:v>0</x:v>
      </x:c>
    </x:row>
    <x:row r="248">
      <x:c r="G248" t="n">
        <x:f>E248*F248</x:f>
        <x:v>0</x:v>
      </x:c>
    </x:row>
    <x:row r="249">
      <x:c r="G249" t="n">
        <x:f>E249*F249</x:f>
        <x:v>0</x:v>
      </x:c>
    </x:row>
    <x:row r="250">
      <x:c r="G250" t="n">
        <x:f>E250*F250</x:f>
        <x:v>0</x:v>
      </x:c>
    </x:row>
    <x:row r="251">
      <x:c r="G251" t="n">
        <x:f>E251*F251</x:f>
        <x:v>0</x:v>
      </x:c>
    </x:row>
    <x:row r="252">
      <x:c r="G252" t="n">
        <x:f>E252*F252</x:f>
        <x:v>0</x:v>
      </x:c>
    </x:row>
    <x:row r="253">
      <x:c r="G253" t="n">
        <x:f>E253*F253</x:f>
        <x:v>0</x:v>
      </x:c>
    </x:row>
    <x:row r="254">
      <x:c r="G254" t="n">
        <x:f>E254*F254</x:f>
        <x:v>0</x:v>
      </x:c>
    </x:row>
    <x:row r="255">
      <x:c r="G255" t="n">
        <x:f>E255*F255</x:f>
        <x:v>0</x:v>
      </x:c>
    </x:row>
    <x:row r="256">
      <x:c r="G256" t="n">
        <x:f>E256*F256</x:f>
        <x:v>0</x:v>
      </x:c>
    </x:row>
    <x:row r="257">
      <x:c r="G257" t="n">
        <x:f>E257*F257</x:f>
        <x:v>0</x:v>
      </x:c>
    </x:row>
    <x:row r="258">
      <x:c r="G258" t="n">
        <x:f>E258*F258</x:f>
        <x:v>0</x:v>
      </x:c>
    </x:row>
    <x:row r="259">
      <x:c r="G259" t="n">
        <x:f>E259*F259</x:f>
        <x:v>0</x:v>
      </x:c>
    </x:row>
    <x:row r="260">
      <x:c r="G260" t="n">
        <x:f>E260*F260</x:f>
        <x:v>0</x:v>
      </x:c>
    </x:row>
    <x:row r="261">
      <x:c r="G261" t="n">
        <x:f>E261*F261</x:f>
        <x:v>0</x:v>
      </x:c>
    </x:row>
    <x:row r="262">
      <x:c r="G262" t="n">
        <x:f>E262*F262</x:f>
        <x:v>0</x:v>
      </x:c>
    </x:row>
    <x:row r="263">
      <x:c r="G263" t="n">
        <x:f>E263*F263</x:f>
        <x:v>0</x:v>
      </x:c>
    </x:row>
    <x:row r="264">
      <x:c r="G264" t="n">
        <x:f>E264*F264</x:f>
        <x:v>0</x:v>
      </x:c>
    </x:row>
    <x:row r="265">
      <x:c r="G265" t="n">
        <x:f>E265*F265</x:f>
        <x:v>0</x:v>
      </x:c>
    </x:row>
    <x:row r="266">
      <x:c r="G266" t="n">
        <x:f>E266*F266</x:f>
        <x:v>0</x:v>
      </x:c>
    </x:row>
    <x:row r="267">
      <x:c r="G267" t="n">
        <x:f>E267*F267</x:f>
        <x:v>0</x:v>
      </x:c>
    </x:row>
    <x:row r="268">
      <x:c r="G268" t="n">
        <x:f>E268*F268</x:f>
        <x:v>0</x:v>
      </x:c>
    </x:row>
    <x:row r="269">
      <x:c r="G269" t="n">
        <x:f>E269*F269</x:f>
        <x:v>0</x:v>
      </x:c>
    </x:row>
    <x:row r="270">
      <x:c r="G270" t="n">
        <x:f>E270*F270</x:f>
        <x:v>0</x:v>
      </x:c>
    </x:row>
    <x:row r="271">
      <x:c r="G271" t="n">
        <x:f>E271*F271</x:f>
        <x:v>0</x:v>
      </x:c>
    </x:row>
    <x:row r="272">
      <x:c r="G272" t="n">
        <x:f>E272*F272</x:f>
        <x:v>0</x:v>
      </x:c>
    </x:row>
    <x:row r="273">
      <x:c r="G273" t="n">
        <x:f>E273*F273</x:f>
        <x:v>0</x:v>
      </x:c>
    </x:row>
    <x:row r="274">
      <x:c r="G274" t="n">
        <x:f>E274*F274</x:f>
        <x:v>0</x:v>
      </x:c>
    </x:row>
    <x:row r="275">
      <x:c r="G275" t="n">
        <x:f>E275*F275</x:f>
        <x:v>0</x:v>
      </x:c>
    </x:row>
    <x:row r="276">
      <x:c r="G276" t="n">
        <x:f>E276*F276</x:f>
        <x:v>0</x:v>
      </x:c>
    </x:row>
    <x:row r="277">
      <x:c r="G277" t="n">
        <x:f>E277*F277</x:f>
        <x:v>0</x:v>
      </x:c>
    </x:row>
    <x:row r="278">
      <x:c r="G278" t="n">
        <x:f>E278*F278</x:f>
        <x:v>0</x:v>
      </x:c>
    </x:row>
    <x:row r="279">
      <x:c r="G279" t="n">
        <x:f>E279*F279</x:f>
        <x:v>0</x:v>
      </x:c>
    </x:row>
    <x:row r="280">
      <x:c r="G280" t="n">
        <x:f>E280*F280</x:f>
        <x:v>0</x:v>
      </x:c>
    </x:row>
    <x:row r="281">
      <x:c r="G281" t="n">
        <x:f>E281*F281</x:f>
        <x:v>0</x:v>
      </x:c>
    </x:row>
    <x:row r="282">
      <x:c r="G282" t="n">
        <x:f>E282*F282</x:f>
        <x:v>0</x:v>
      </x:c>
    </x:row>
    <x:row r="283">
      <x:c r="G283" t="n">
        <x:f>E283*F283</x:f>
        <x:v>0</x:v>
      </x:c>
    </x:row>
    <x:row r="284">
      <x:c r="G284" t="n">
        <x:f>E284*F284</x:f>
        <x:v>0</x:v>
      </x:c>
    </x:row>
    <x:row r="285">
      <x:c r="G285" t="n">
        <x:f>E285*F285</x:f>
        <x:v>0</x:v>
      </x:c>
    </x:row>
    <x:row r="286">
      <x:c r="G286" t="n">
        <x:f>E286*F286</x:f>
        <x:v>0</x:v>
      </x:c>
    </x:row>
    <x:row r="287">
      <x:c r="G287" t="n">
        <x:f>E287*F287</x:f>
        <x:v>0</x:v>
      </x:c>
    </x:row>
    <x:row r="288">
      <x:c r="G288" t="n">
        <x:f>E288*F288</x:f>
        <x:v>0</x:v>
      </x:c>
    </x:row>
    <x:row r="289">
      <x:c r="G289" t="n">
        <x:f>E289*F289</x:f>
        <x:v>0</x:v>
      </x:c>
    </x:row>
    <x:row r="290">
      <x:c r="G290" t="n">
        <x:f>E290*F290</x:f>
        <x:v>0</x:v>
      </x:c>
    </x:row>
    <x:row r="291">
      <x:c r="G291" t="n">
        <x:f>E291*F291</x:f>
        <x:v>0</x:v>
      </x:c>
    </x:row>
    <x:row r="292">
      <x:c r="G292" t="n">
        <x:f>E292*F292</x:f>
        <x:v>0</x:v>
      </x:c>
    </x:row>
    <x:row r="293">
      <x:c r="G293" t="n">
        <x:f>E293*F293</x:f>
        <x:v>0</x:v>
      </x:c>
    </x:row>
    <x:row r="294">
      <x:c r="G294" t="n">
        <x:f>E294*F294</x:f>
        <x:v>0</x:v>
      </x:c>
    </x:row>
    <x:row r="295">
      <x:c r="G295" t="n">
        <x:f>E295*F295</x:f>
        <x:v>0</x:v>
      </x:c>
    </x:row>
    <x:row r="296">
      <x:c r="G296" t="n">
        <x:f>E296*F296</x:f>
        <x:v>0</x:v>
      </x:c>
    </x:row>
    <x:row r="297">
      <x:c r="G297" t="n">
        <x:f>E297*F297</x:f>
        <x:v>0</x:v>
      </x:c>
    </x:row>
    <x:row r="298">
      <x:c r="G298" t="n">
        <x:f>E298*F298</x:f>
        <x:v>0</x:v>
      </x:c>
    </x:row>
    <x:row r="299">
      <x:c r="G299" t="n">
        <x:f>E299*F299</x:f>
        <x:v>0</x:v>
      </x:c>
    </x:row>
    <x:row r="300">
      <x:c r="G300" t="n">
        <x:f>E300*F300</x:f>
        <x:v>0</x:v>
      </x:c>
    </x:row>
    <x:row r="301">
      <x:c r="G301" t="n">
        <x:f>E301*F301</x:f>
        <x:v>0</x:v>
      </x:c>
    </x:row>
    <x:row r="302">
      <x:c r="G302" t="n">
        <x:f>E302*F302</x:f>
        <x:v>0</x:v>
      </x:c>
    </x:row>
    <x:row r="303">
      <x:c r="G303" t="n">
        <x:f>E303*F303</x:f>
        <x:v>0</x:v>
      </x:c>
    </x:row>
  </x:sheetData>
  <x:mergeCells>
    <x:mergeCell ref="A1:J1"/>
  </x:mergeCells>
  <x:conditionalFormatting sqref="G4:G30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J4:J303">
      <x:formula1>"Not Started,Planned,In Progress,Operational,Needs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016033095a48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32" hidden="0" customWidth="1"/>
    <x:col min="4" max="4" width="16" hidden="0" customWidth="1"/>
    <x:col min="5" max="5" width="32" hidden="0" customWidth="1"/>
    <x:col min="6" max="6" width="32" hidden="0" customWidth="1"/>
    <x:col min="7" max="7" width="22" hidden="0" customWidth="1"/>
    <x:col min="8" max="8" width="14" hidden="0" customWidth="1"/>
    <x:col min="9" max="9" width="16" hidden="0" customWidth="1"/>
    <x:col min="10" max="10" width="16" hidden="0" customWidth="1"/>
  </x:cols>
  <x:sheetData>
    <x:row r="1">
      <x:c r="A1" s="4" t="str">
        <x:v>Mitigation Plan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Mitigation ID</x:v>
      </x:c>
      <x:c r="B3" s="12" t="str">
        <x:v>Threat ID</x:v>
      </x:c>
      <x:c r="C3" s="12" t="str">
        <x:v>Mitigation</x:v>
      </x:c>
      <x:c r="D3" s="12" t="str">
        <x:v>Control Type</x:v>
      </x:c>
      <x:c r="E3" s="12" t="str">
        <x:v>Expected Likelihood Reduction %</x:v>
      </x:c>
      <x:c r="F3" s="12" t="str">
        <x:v>Expected Impact Reduction %</x:v>
      </x:c>
      <x:c r="G3" s="12" t="str">
        <x:v>Owner</x:v>
      </x:c>
      <x:c r="H3" s="12" t="str">
        <x:v>Target Date</x:v>
      </x:c>
      <x:c r="I3" s="12" t="str">
        <x:v>Status</x:v>
      </x:c>
      <x:c r="J3" s="12" t="str">
        <x:v>Validation</x:v>
      </x:c>
    </x:row>
    <x:row r="4">
      <x:c r="A4" s="20" t="str">
        <x:v>MIT-001</x:v>
      </x:c>
      <x:c r="B4" s="20" t="str">
        <x:v>TH-001</x:v>
      </x:c>
      <x:c r="C4" s="20" t="str">
        <x:v>Require phishing-resistant authentication for sensitive actions</x:v>
      </x:c>
      <x:c r="D4" s="20" t="str">
        <x:v>Preventive</x:v>
      </x:c>
      <x:c r="E4" s="20" t="n">
        <x:v>40</x:v>
      </x:c>
      <x:c r="F4" s="20" t="n">
        <x:v>10</x:v>
      </x:c>
      <x:c r="G4" s="20" t="str">
        <x:v>IAM Lead</x:v>
      </x:c>
      <x:c r="H4" s="22" t="n">
        <x:v>46296</x:v>
      </x:c>
      <x:c r="I4" s="20" t="str">
        <x:v>In Progress</x:v>
      </x:c>
      <x:c r="J4" s="20" t="str">
        <x:v>Authentication test</x:v>
      </x:c>
    </x:row>
    <x:row r="5">
      <x:c r="A5" s="20" t="str">
        <x:v>MIT-002</x:v>
      </x:c>
      <x:c r="B5" s="20" t="str">
        <x:v>TH-002</x:v>
      </x:c>
      <x:c r="C5" s="20" t="str">
        <x:v>Enforce object-level authorization tests</x:v>
      </x:c>
      <x:c r="D5" s="20" t="str">
        <x:v>Preventive</x:v>
      </x:c>
      <x:c r="E5" s="20" t="n">
        <x:v>50</x:v>
      </x:c>
      <x:c r="F5" s="20" t="n">
        <x:v>10</x:v>
      </x:c>
      <x:c r="G5" s="20" t="str">
        <x:v>AppSec Lead</x:v>
      </x:c>
      <x:c r="H5" s="22" t="n">
        <x:v>46280</x:v>
      </x:c>
      <x:c r="I5" s="20" t="str">
        <x:v>Planned</x:v>
      </x:c>
      <x:c r="J5" s="20" t="str">
        <x:v>Automated test suite</x:v>
      </x:c>
    </x:row>
    <x:row r="6">
      <x:c r="A6" s="20" t="str">
        <x:v>MIT-003</x:v>
      </x:c>
      <x:c r="B6" s="20" t="str">
        <x:v>TH-003</x:v>
      </x:c>
      <x:c r="C6" s="20" t="str">
        <x:v>Reduce database service privileges</x:v>
      </x:c>
      <x:c r="D6" s="20" t="str">
        <x:v>Preventive</x:v>
      </x:c>
      <x:c r="E6" s="20" t="n">
        <x:v>35</x:v>
      </x:c>
      <x:c r="F6" s="20" t="n">
        <x:v>25</x:v>
      </x:c>
      <x:c r="G6" s="20" t="str">
        <x:v>Data Security</x:v>
      </x:c>
      <x:c r="H6" s="22" t="n">
        <x:v>46295</x:v>
      </x:c>
      <x:c r="I6" s="20" t="str">
        <x:v>Planned</x:v>
      </x:c>
      <x:c r="J6" s="20" t="str">
        <x:v>Privilege review</x:v>
      </x:c>
    </x:row>
    <x:row r="7">
      <x:c r="A7" s="20"/>
      <x:c r="B7" s="20"/>
      <x:c r="C7" s="20"/>
      <x:c r="D7" s="20"/>
      <x:c r="E7" s="20"/>
      <x:c r="F7" s="20"/>
      <x:c r="G7" s="20"/>
      <x:c r="H7" s="22"/>
      <x:c r="I7" s="20"/>
      <x:c r="J7" s="20"/>
    </x:row>
    <x:row r="8">
      <x:c r="A8" s="20"/>
      <x:c r="B8" s="20"/>
      <x:c r="C8" s="20"/>
      <x:c r="D8" s="20"/>
      <x:c r="E8" s="20"/>
      <x:c r="F8" s="20"/>
      <x:c r="G8" s="20"/>
      <x:c r="H8" s="22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2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2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2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2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2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2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2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2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2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2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2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2"/>
      <x:c r="I20" s="20"/>
      <x:c r="J20" s="20"/>
    </x:row>
    <x:row r="21">
      <x:c r="H21" s="18"/>
    </x:row>
    <x:row r="22">
      <x:c r="H22" s="18"/>
    </x:row>
    <x:row r="23">
      <x:c r="H23" s="18"/>
    </x:row>
    <x:row r="24">
      <x:c r="H24" s="18"/>
    </x:row>
    <x:row r="25">
      <x:c r="H25" s="18"/>
    </x:row>
    <x:row r="26">
      <x:c r="H26" s="18"/>
    </x:row>
    <x:row r="27">
      <x:c r="H27" s="18"/>
    </x:row>
    <x:row r="28">
      <x:c r="H28" s="18"/>
    </x:row>
    <x:row r="29">
      <x:c r="H29" s="18"/>
    </x:row>
    <x:row r="30">
      <x:c r="H30" s="18"/>
    </x:row>
    <x:row r="31">
      <x:c r="H31" s="18"/>
    </x:row>
    <x:row r="32">
      <x:c r="H32" s="18"/>
    </x:row>
    <x:row r="33">
      <x:c r="H33" s="18"/>
    </x:row>
    <x:row r="34">
      <x:c r="H34" s="18"/>
    </x:row>
    <x:row r="35">
      <x:c r="H35" s="18"/>
    </x:row>
    <x:row r="36">
      <x:c r="H36" s="18"/>
    </x:row>
    <x:row r="37">
      <x:c r="H37" s="18"/>
    </x:row>
    <x:row r="38">
      <x:c r="H38" s="18"/>
    </x:row>
    <x:row r="39">
      <x:c r="H39" s="18"/>
    </x:row>
    <x:row r="40">
      <x:c r="H40" s="18"/>
    </x:row>
    <x:row r="41">
      <x:c r="H41" s="18"/>
    </x:row>
    <x:row r="42">
      <x:c r="H42" s="18"/>
    </x:row>
    <x:row r="43">
      <x:c r="H43" s="18"/>
    </x:row>
    <x:row r="44">
      <x:c r="H44" s="18"/>
    </x:row>
    <x:row r="45">
      <x:c r="H45" s="18"/>
    </x:row>
    <x:row r="46">
      <x:c r="H46" s="18"/>
    </x:row>
    <x:row r="47">
      <x:c r="H47" s="18"/>
    </x:row>
    <x:row r="48">
      <x:c r="H48" s="18"/>
    </x:row>
    <x:row r="49">
      <x:c r="H49" s="18"/>
    </x:row>
    <x:row r="50">
      <x:c r="H50" s="18"/>
    </x:row>
    <x:row r="51">
      <x:c r="H51" s="18"/>
    </x:row>
    <x:row r="52">
      <x:c r="H52" s="18"/>
    </x:row>
    <x:row r="53">
      <x:c r="H53" s="18"/>
    </x:row>
    <x:row r="54">
      <x:c r="H54" s="18"/>
    </x:row>
    <x:row r="55">
      <x:c r="H55" s="18"/>
    </x:row>
    <x:row r="56">
      <x:c r="H56" s="18"/>
    </x:row>
    <x:row r="57">
      <x:c r="H57" s="18"/>
    </x:row>
    <x:row r="58">
      <x:c r="H58" s="18"/>
    </x:row>
    <x:row r="59">
      <x:c r="H59" s="18"/>
    </x:row>
    <x:row r="60">
      <x:c r="H60" s="18"/>
    </x:row>
    <x:row r="61">
      <x:c r="H61" s="18"/>
    </x:row>
    <x:row r="62">
      <x:c r="H62" s="18"/>
    </x:row>
    <x:row r="63">
      <x:c r="H63" s="18"/>
    </x:row>
    <x:row r="64">
      <x:c r="H64" s="18"/>
    </x:row>
    <x:row r="65">
      <x:c r="H65" s="18"/>
    </x:row>
    <x:row r="66">
      <x:c r="H66" s="18"/>
    </x:row>
    <x:row r="67">
      <x:c r="H67" s="18"/>
    </x:row>
    <x:row r="68">
      <x:c r="H68" s="18"/>
    </x:row>
    <x:row r="69">
      <x:c r="H69" s="18"/>
    </x:row>
    <x:row r="70">
      <x:c r="H70" s="18"/>
    </x:row>
    <x:row r="71">
      <x:c r="H71" s="18"/>
    </x:row>
    <x:row r="72">
      <x:c r="H72" s="18"/>
    </x:row>
    <x:row r="73">
      <x:c r="H73" s="18"/>
    </x:row>
    <x:row r="74">
      <x:c r="H74" s="18"/>
    </x:row>
    <x:row r="75">
      <x:c r="H75" s="18"/>
    </x:row>
    <x:row r="76">
      <x:c r="H76" s="18"/>
    </x:row>
    <x:row r="77">
      <x:c r="H77" s="18"/>
    </x:row>
    <x:row r="78">
      <x:c r="H78" s="18"/>
    </x:row>
    <x:row r="79">
      <x:c r="H79" s="18"/>
    </x:row>
    <x:row r="80">
      <x:c r="H80" s="18"/>
    </x:row>
    <x:row r="81">
      <x:c r="H81" s="18"/>
    </x:row>
    <x:row r="82">
      <x:c r="H82" s="18"/>
    </x:row>
    <x:row r="83">
      <x:c r="H83" s="18"/>
    </x:row>
    <x:row r="84">
      <x:c r="H84" s="18"/>
    </x:row>
    <x:row r="85">
      <x:c r="H85" s="18"/>
    </x:row>
    <x:row r="86">
      <x:c r="H86" s="18"/>
    </x:row>
    <x:row r="87">
      <x:c r="H87" s="18"/>
    </x:row>
    <x:row r="88">
      <x:c r="H88" s="18"/>
    </x:row>
    <x:row r="89">
      <x:c r="H89" s="18"/>
    </x:row>
    <x:row r="90">
      <x:c r="H90" s="18"/>
    </x:row>
    <x:row r="91">
      <x:c r="H91" s="18"/>
    </x:row>
    <x:row r="92">
      <x:c r="H92" s="18"/>
    </x:row>
    <x:row r="93">
      <x:c r="H93" s="18"/>
    </x:row>
    <x:row r="94">
      <x:c r="H94" s="18"/>
    </x:row>
    <x:row r="95">
      <x:c r="H95" s="18"/>
    </x:row>
    <x:row r="96">
      <x:c r="H96" s="18"/>
    </x:row>
    <x:row r="97">
      <x:c r="H97" s="18"/>
    </x:row>
    <x:row r="98">
      <x:c r="H98" s="18"/>
    </x:row>
    <x:row r="99">
      <x:c r="H99" s="18"/>
    </x:row>
    <x:row r="100">
      <x:c r="H100" s="18"/>
    </x:row>
    <x:row r="101">
      <x:c r="H101" s="18"/>
    </x:row>
    <x:row r="102">
      <x:c r="H102" s="18"/>
    </x:row>
    <x:row r="103">
      <x:c r="H103" s="18"/>
    </x:row>
    <x:row r="104">
      <x:c r="H104" s="18"/>
    </x:row>
    <x:row r="105">
      <x:c r="H105" s="18"/>
    </x:row>
    <x:row r="106">
      <x:c r="H106" s="18"/>
    </x:row>
    <x:row r="107">
      <x:c r="H107" s="18"/>
    </x:row>
    <x:row r="108">
      <x:c r="H108" s="18"/>
    </x:row>
    <x:row r="109">
      <x:c r="H109" s="18"/>
    </x:row>
    <x:row r="110">
      <x:c r="H110" s="18"/>
    </x:row>
    <x:row r="111">
      <x:c r="H111" s="18"/>
    </x:row>
    <x:row r="112">
      <x:c r="H112" s="18"/>
    </x:row>
    <x:row r="113">
      <x:c r="H113" s="18"/>
    </x:row>
    <x:row r="114">
      <x:c r="H114" s="18"/>
    </x:row>
    <x:row r="115">
      <x:c r="H115" s="18"/>
    </x:row>
    <x:row r="116">
      <x:c r="H116" s="18"/>
    </x:row>
    <x:row r="117">
      <x:c r="H117" s="18"/>
    </x:row>
    <x:row r="118">
      <x:c r="H118" s="18"/>
    </x:row>
    <x:row r="119">
      <x:c r="H119" s="18"/>
    </x:row>
    <x:row r="120">
      <x:c r="H120" s="18"/>
    </x:row>
    <x:row r="121">
      <x:c r="H121" s="18"/>
    </x:row>
    <x:row r="122">
      <x:c r="H122" s="18"/>
    </x:row>
    <x:row r="123">
      <x:c r="H123" s="18"/>
    </x:row>
    <x:row r="124">
      <x:c r="H124" s="18"/>
    </x:row>
    <x:row r="125">
      <x:c r="H125" s="18"/>
    </x:row>
    <x:row r="126">
      <x:c r="H126" s="18"/>
    </x:row>
    <x:row r="127">
      <x:c r="H127" s="18"/>
    </x:row>
    <x:row r="128">
      <x:c r="H128" s="18"/>
    </x:row>
    <x:row r="129">
      <x:c r="H129" s="18"/>
    </x:row>
    <x:row r="130">
      <x:c r="H130" s="18"/>
    </x:row>
    <x:row r="131">
      <x:c r="H131" s="18"/>
    </x:row>
    <x:row r="132">
      <x:c r="H132" s="18"/>
    </x:row>
    <x:row r="133">
      <x:c r="H133" s="18"/>
    </x:row>
    <x:row r="134">
      <x:c r="H134" s="18"/>
    </x:row>
    <x:row r="135">
      <x:c r="H135" s="18"/>
    </x:row>
    <x:row r="136">
      <x:c r="H136" s="18"/>
    </x:row>
    <x:row r="137">
      <x:c r="H137" s="18"/>
    </x:row>
    <x:row r="138">
      <x:c r="H138" s="18"/>
    </x:row>
    <x:row r="139">
      <x:c r="H139" s="18"/>
    </x:row>
    <x:row r="140">
      <x:c r="H140" s="18"/>
    </x:row>
    <x:row r="141">
      <x:c r="H141" s="18"/>
    </x:row>
    <x:row r="142">
      <x:c r="H142" s="18"/>
    </x:row>
    <x:row r="143">
      <x:c r="H143" s="18"/>
    </x:row>
    <x:row r="144">
      <x:c r="H144" s="18"/>
    </x:row>
    <x:row r="145">
      <x:c r="H145" s="18"/>
    </x:row>
    <x:row r="146">
      <x:c r="H146" s="18"/>
    </x:row>
    <x:row r="147">
      <x:c r="H147" s="18"/>
    </x:row>
    <x:row r="148">
      <x:c r="H148" s="18"/>
    </x:row>
    <x:row r="149">
      <x:c r="H149" s="18"/>
    </x:row>
    <x:row r="150">
      <x:c r="H150" s="18"/>
    </x:row>
    <x:row r="151">
      <x:c r="H151" s="18"/>
    </x:row>
    <x:row r="152">
      <x:c r="H152" s="18"/>
    </x:row>
    <x:row r="153">
      <x:c r="H153" s="18"/>
    </x:row>
    <x:row r="154">
      <x:c r="H154" s="18"/>
    </x:row>
    <x:row r="155">
      <x:c r="H155" s="18"/>
    </x:row>
    <x:row r="156">
      <x:c r="H156" s="18"/>
    </x:row>
    <x:row r="157">
      <x:c r="H157" s="18"/>
    </x:row>
    <x:row r="158">
      <x:c r="H158" s="18"/>
    </x:row>
    <x:row r="159">
      <x:c r="H159" s="18"/>
    </x:row>
    <x:row r="160">
      <x:c r="H160" s="18"/>
    </x:row>
    <x:row r="161">
      <x:c r="H161" s="18"/>
    </x:row>
    <x:row r="162">
      <x:c r="H162" s="18"/>
    </x:row>
    <x:row r="163">
      <x:c r="H163" s="18"/>
    </x:row>
    <x:row r="164">
      <x:c r="H164" s="18"/>
    </x:row>
    <x:row r="165">
      <x:c r="H165" s="18"/>
    </x:row>
    <x:row r="166">
      <x:c r="H166" s="18"/>
    </x:row>
    <x:row r="167">
      <x:c r="H167" s="18"/>
    </x:row>
    <x:row r="168">
      <x:c r="H168" s="18"/>
    </x:row>
    <x:row r="169">
      <x:c r="H169" s="18"/>
    </x:row>
    <x:row r="170">
      <x:c r="H170" s="18"/>
    </x:row>
    <x:row r="171">
      <x:c r="H171" s="18"/>
    </x:row>
    <x:row r="172">
      <x:c r="H172" s="18"/>
    </x:row>
    <x:row r="173">
      <x:c r="H173" s="18"/>
    </x:row>
    <x:row r="174">
      <x:c r="H174" s="18"/>
    </x:row>
    <x:row r="175">
      <x:c r="H175" s="18"/>
    </x:row>
    <x:row r="176">
      <x:c r="H176" s="18"/>
    </x:row>
    <x:row r="177">
      <x:c r="H177" s="18"/>
    </x:row>
    <x:row r="178">
      <x:c r="H178" s="18"/>
    </x:row>
    <x:row r="179">
      <x:c r="H179" s="18"/>
    </x:row>
    <x:row r="180">
      <x:c r="H180" s="18"/>
    </x:row>
    <x:row r="181">
      <x:c r="H181" s="18"/>
    </x:row>
    <x:row r="182">
      <x:c r="H182" s="18"/>
    </x:row>
    <x:row r="183">
      <x:c r="H183" s="18"/>
    </x:row>
    <x:row r="184">
      <x:c r="H184" s="18"/>
    </x:row>
    <x:row r="185">
      <x:c r="H185" s="18"/>
    </x:row>
    <x:row r="186">
      <x:c r="H186" s="18"/>
    </x:row>
    <x:row r="187">
      <x:c r="H187" s="18"/>
    </x:row>
    <x:row r="188">
      <x:c r="H188" s="18"/>
    </x:row>
    <x:row r="189">
      <x:c r="H189" s="18"/>
    </x:row>
    <x:row r="190">
      <x:c r="H190" s="18"/>
    </x:row>
    <x:row r="191">
      <x:c r="H191" s="18"/>
    </x:row>
    <x:row r="192">
      <x:c r="H192" s="18"/>
    </x:row>
    <x:row r="193">
      <x:c r="H193" s="18"/>
    </x:row>
    <x:row r="194">
      <x:c r="H194" s="18"/>
    </x:row>
    <x:row r="195">
      <x:c r="H195" s="18"/>
    </x:row>
    <x:row r="196">
      <x:c r="H196" s="18"/>
    </x:row>
    <x:row r="197">
      <x:c r="H197" s="18"/>
    </x:row>
    <x:row r="198">
      <x:c r="H198" s="18"/>
    </x:row>
    <x:row r="199">
      <x:c r="H199" s="18"/>
    </x:row>
    <x:row r="200">
      <x:c r="H200" s="18"/>
    </x:row>
    <x:row r="201">
      <x:c r="H201" s="18"/>
    </x:row>
    <x:row r="202">
      <x:c r="H202" s="18"/>
    </x:row>
    <x:row r="203">
      <x:c r="H203" s="18"/>
    </x:row>
    <x:row r="204">
      <x:c r="H204" s="18"/>
    </x:row>
    <x:row r="205">
      <x:c r="H205" s="18"/>
    </x:row>
    <x:row r="206">
      <x:c r="H206" s="18"/>
    </x:row>
    <x:row r="207">
      <x:c r="H207" s="18"/>
    </x:row>
    <x:row r="208">
      <x:c r="H208" s="18"/>
    </x:row>
    <x:row r="209">
      <x:c r="H209" s="18"/>
    </x:row>
    <x:row r="210">
      <x:c r="H210" s="18"/>
    </x:row>
    <x:row r="211">
      <x:c r="H211" s="18"/>
    </x:row>
    <x:row r="212">
      <x:c r="H212" s="18"/>
    </x:row>
    <x:row r="213">
      <x:c r="H213" s="18"/>
    </x:row>
    <x:row r="214">
      <x:c r="H214" s="18"/>
    </x:row>
    <x:row r="215">
      <x:c r="H215" s="18"/>
    </x:row>
    <x:row r="216">
      <x:c r="H216" s="18"/>
    </x:row>
    <x:row r="217">
      <x:c r="H217" s="18"/>
    </x:row>
    <x:row r="218">
      <x:c r="H218" s="18"/>
    </x:row>
    <x:row r="219">
      <x:c r="H219" s="18"/>
    </x:row>
    <x:row r="220">
      <x:c r="H220" s="18"/>
    </x:row>
    <x:row r="221">
      <x:c r="H221" s="18"/>
    </x:row>
    <x:row r="222">
      <x:c r="H222" s="18"/>
    </x:row>
    <x:row r="223">
      <x:c r="H223" s="18"/>
    </x:row>
    <x:row r="224">
      <x:c r="H224" s="18"/>
    </x:row>
    <x:row r="225">
      <x:c r="H225" s="18"/>
    </x:row>
    <x:row r="226">
      <x:c r="H226" s="18"/>
    </x:row>
    <x:row r="227">
      <x:c r="H227" s="18"/>
    </x:row>
    <x:row r="228">
      <x:c r="H228" s="18"/>
    </x:row>
    <x:row r="229">
      <x:c r="H229" s="18"/>
    </x:row>
    <x:row r="230">
      <x:c r="H230" s="18"/>
    </x:row>
    <x:row r="231">
      <x:c r="H231" s="18"/>
    </x:row>
    <x:row r="232">
      <x:c r="H232" s="18"/>
    </x:row>
    <x:row r="233">
      <x:c r="H233" s="18"/>
    </x:row>
    <x:row r="234">
      <x:c r="H234" s="18"/>
    </x:row>
    <x:row r="235">
      <x:c r="H235" s="18"/>
    </x:row>
    <x:row r="236">
      <x:c r="H236" s="18"/>
    </x:row>
    <x:row r="237">
      <x:c r="H237" s="18"/>
    </x:row>
    <x:row r="238">
      <x:c r="H238" s="18"/>
    </x:row>
    <x:row r="239">
      <x:c r="H239" s="18"/>
    </x:row>
    <x:row r="240">
      <x:c r="H240" s="18"/>
    </x:row>
    <x:row r="241">
      <x:c r="H241" s="18"/>
    </x:row>
    <x:row r="242">
      <x:c r="H242" s="18"/>
    </x:row>
    <x:row r="243">
      <x:c r="H243" s="18"/>
    </x:row>
    <x:row r="244">
      <x:c r="H244" s="18"/>
    </x:row>
    <x:row r="245">
      <x:c r="H245" s="18"/>
    </x:row>
    <x:row r="246">
      <x:c r="H246" s="18"/>
    </x:row>
    <x:row r="247">
      <x:c r="H247" s="18"/>
    </x:row>
    <x:row r="248">
      <x:c r="H248" s="18"/>
    </x:row>
    <x:row r="249">
      <x:c r="H249" s="18"/>
    </x:row>
    <x:row r="250">
      <x:c r="H250" s="18"/>
    </x:row>
    <x:row r="251">
      <x:c r="H251" s="18"/>
    </x:row>
    <x:row r="252">
      <x:c r="H252" s="18"/>
    </x:row>
    <x:row r="253">
      <x:c r="H253" s="18"/>
    </x:row>
    <x:row r="254">
      <x:c r="H254" s="18"/>
    </x:row>
    <x:row r="255">
      <x:c r="H255" s="18"/>
    </x:row>
    <x:row r="256">
      <x:c r="H256" s="18"/>
    </x:row>
    <x:row r="257">
      <x:c r="H257" s="18"/>
    </x:row>
    <x:row r="258">
      <x:c r="H258" s="18"/>
    </x:row>
    <x:row r="259">
      <x:c r="H259" s="18"/>
    </x:row>
    <x:row r="260">
      <x:c r="H260" s="18"/>
    </x:row>
    <x:row r="261">
      <x:c r="H261" s="18"/>
    </x:row>
    <x:row r="262">
      <x:c r="H262" s="18"/>
    </x:row>
    <x:row r="263">
      <x:c r="H263" s="18"/>
    </x:row>
    <x:row r="264">
      <x:c r="H264" s="18"/>
    </x:row>
    <x:row r="265">
      <x:c r="H265" s="18"/>
    </x:row>
    <x:row r="266">
      <x:c r="H266" s="18"/>
    </x:row>
    <x:row r="267">
      <x:c r="H267" s="18"/>
    </x:row>
    <x:row r="268">
      <x:c r="H268" s="18"/>
    </x:row>
    <x:row r="269">
      <x:c r="H269" s="18"/>
    </x:row>
    <x:row r="270">
      <x:c r="H270" s="18"/>
    </x:row>
    <x:row r="271">
      <x:c r="H271" s="18"/>
    </x:row>
    <x:row r="272">
      <x:c r="H272" s="18"/>
    </x:row>
    <x:row r="273">
      <x:c r="H273" s="18"/>
    </x:row>
    <x:row r="274">
      <x:c r="H274" s="18"/>
    </x:row>
    <x:row r="275">
      <x:c r="H275" s="18"/>
    </x:row>
    <x:row r="276">
      <x:c r="H276" s="18"/>
    </x:row>
    <x:row r="277">
      <x:c r="H277" s="18"/>
    </x:row>
    <x:row r="278">
      <x:c r="H278" s="18"/>
    </x:row>
    <x:row r="279">
      <x:c r="H279" s="18"/>
    </x:row>
    <x:row r="280">
      <x:c r="H280" s="18"/>
    </x:row>
    <x:row r="281">
      <x:c r="H281" s="18"/>
    </x:row>
    <x:row r="282">
      <x:c r="H282" s="18"/>
    </x:row>
    <x:row r="283">
      <x:c r="H283" s="18"/>
    </x:row>
    <x:row r="284">
      <x:c r="H284" s="18"/>
    </x:row>
    <x:row r="285">
      <x:c r="H285" s="18"/>
    </x:row>
    <x:row r="286">
      <x:c r="H286" s="18"/>
    </x:row>
    <x:row r="287">
      <x:c r="H287" s="18"/>
    </x:row>
    <x:row r="288">
      <x:c r="H288" s="18"/>
    </x:row>
    <x:row r="289">
      <x:c r="H289" s="18"/>
    </x:row>
    <x:row r="290">
      <x:c r="H290" s="18"/>
    </x:row>
    <x:row r="291">
      <x:c r="H291" s="18"/>
    </x:row>
    <x:row r="292">
      <x:c r="H292" s="18"/>
    </x:row>
    <x:row r="293">
      <x:c r="H293" s="18"/>
    </x:row>
    <x:row r="294">
      <x:c r="H294" s="18"/>
    </x:row>
    <x:row r="295">
      <x:c r="H295" s="18"/>
    </x:row>
    <x:row r="296">
      <x:c r="H296" s="18"/>
    </x:row>
    <x:row r="297">
      <x:c r="H297" s="18"/>
    </x:row>
    <x:row r="298">
      <x:c r="H298" s="18"/>
    </x:row>
    <x:row r="299">
      <x:c r="H299" s="18"/>
    </x:row>
    <x:row r="300">
      <x:c r="H300" s="18"/>
    </x:row>
    <x:row r="301">
      <x:c r="H301" s="18"/>
    </x:row>
    <x:row r="302">
      <x:c r="H302" s="18"/>
    </x:row>
    <x:row r="303">
      <x:c r="H303" s="18"/>
    </x:row>
  </x:sheetData>
  <x:mergeCells>
    <x:mergeCell ref="A1:J1"/>
  </x:mergeCells>
  <x:conditionalFormatting sqref="E4:E303">
    <x:cfRule type="dataBar" priority="1">
      <x:dataBar>
        <x:cfvo type="min"/>
        <x:cfvo type="max"/>
        <x:color rgb="FF0284C7"/>
      </x:dataBar>
      <x:extLst>
        <x:ext xmlns:x14="http://schemas.microsoft.com/office/spreadsheetml/2009/9/main" uri="{B025F937-C7B1-47D3-B67F-A62EFF666E3E}">
          <x14:id>{8464D6EE-518A-7FE7-D491-C5EDF8B8F863}</x14:id>
        </x:ext>
      </x:extLst>
    </x:cfRule>
  </x:conditionalFormatting>
  <x:conditionalFormatting sqref="F4:F303">
    <x:cfRule type="dataBar" priority="2">
      <x:dataBar>
        <x:cfvo type="min"/>
        <x:cfvo type="max"/>
        <x:color rgb="FF0284C7"/>
      </x:dataBar>
      <x:extLst>
        <x:ext xmlns:x14="http://schemas.microsoft.com/office/spreadsheetml/2009/9/main" uri="{B025F937-C7B1-47D3-B67F-A62EFF666E3E}">
          <x14:id>{AB6C5149-3179-CFEF-DDB2-13DB214AADE6}</x14:id>
        </x:ext>
      </x:extLst>
    </x:cfRule>
  </x:conditionalFormatting>
  <x:dataValidations count="1">
    <x:dataValidation type="list" sqref="I4:I303">
      <x:formula1>"Not Started,Planned,In Progress,Operational,Needs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8b2dd93d9c40b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464D6EE-518A-7FE7-D491-C5EDF8B8F863}">
            <x14:dataBar gradient="1">
              <x14:cfvo type="min"/>
              <x14:cfvo type="max"/>
              <x14:fillColor rgb="FF0284C7"/>
            </x14:dataBar>
          </x14:cfRule>
          <xm:sqref>E4:E303</xm:sqref>
        </x14:conditionalFormatting>
        <x14:conditionalFormatting>
          <x14:cfRule type="dataBar" priority="2" id="{AB6C5149-3179-CFEF-DDB2-13DB214AADE6}">
            <x14:dataBar gradient="1">
              <x14:cfvo type="min"/>
              <x14:cfvo type="max"/>
              <x14:fillColor rgb="FF0284C7"/>
            </x14:dataBar>
          </x14:cfRule>
          <xm:sqref>F4:F303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5" hidden="0" customWidth="1"/>
  </x:cols>
  <x:sheetData>
    <x:row r="1">
      <x:c r="A1" s="4" t="str">
        <x:v>Threat Modeling Designer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records with information approved for your organization or lab.</x:v>
      </x:c>
    </x:row>
    <x:row r="5">
      <x:c r="A5" s="20" t="n">
        <x:v>2</x:v>
      </x:c>
      <x:c r="B5" s="20" t="str">
        <x:v>Assign accountable owners and use consistent definitions for status, priority, severity, and evidence.</x:v>
      </x:c>
    </x:row>
    <x:row r="6">
      <x:c r="A6" s="20" t="n">
        <x:v>3</x:v>
      </x:c>
      <x:c r="B6" s="20" t="str">
        <x:v>Link requirements, threats, tests, findings, and release decisions wherever traceability is needed.</x:v>
      </x:c>
    </x:row>
    <x:row r="7">
      <x:c r="A7" s="20" t="n">
        <x:v>4</x:v>
      </x:c>
      <x:c r="B7" s="20" t="str">
        <x:v>Store sensitive evidence in an approved repository rather than embedding secrets in the workbook.</x:v>
      </x:c>
    </x:row>
    <x:row r="8">
      <x:c r="A8" s="20" t="n">
        <x:v>5</x:v>
      </x:c>
      <x:c r="B8" s="20" t="str">
        <x:v>Review critical exceptions with engineering, security, privacy, legal, and business stakeholders.</x:v>
      </x:c>
    </x:row>
    <x:row r="9">
      <x:c r="A9" s="20" t="n">
        <x:v>6</x:v>
      </x:c>
      <x:c r="B9" s="20" t="str">
        <x:v>Treat this resource as educational decision support and tailor it to your development environment.</x:v>
      </x:c>
    </x:row>
    <x:row r="10">
      <x:c r="A10" s="20" t="n">
        <x:v>7</x:v>
      </x:c>
      <x:c r="B10" s="20" t="str">
        <x:v>Use authoritative standards, contractual terms, and legal guidance for formal compliance decisions.</x:v>
      </x:c>
    </x:row>
  </x:sheetData>
  <x:mergeCells>
    <x:mergeCell ref="A1:H1"/>
  </x:mergeCells>
  <x:pageMargins left="0.7" right="0.7" top="0.75" bottom="0.75" header="0.3" footer="0.3"/>
</x:worksheet>
</file>