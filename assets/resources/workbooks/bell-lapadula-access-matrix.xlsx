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056bbdbde4f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eb3bcb01e34426b"/>
    <x:sheet xmlns:r="http://schemas.openxmlformats.org/officeDocument/2006/relationships" name="Access Matrix" sheetId="2" r:id="R697612abdd0545f2"/>
    <x:sheet xmlns:r="http://schemas.openxmlformats.org/officeDocument/2006/relationships" name="Lists" sheetId="3" r:id="R92ae6935952d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e31327d69c4a29" /><Relationship Type="http://schemas.openxmlformats.org/officeDocument/2006/relationships/theme" Target="/xl/theme/theme1.xml" Id="R919a46810af946b7" /><Relationship Type="http://schemas.openxmlformats.org/officeDocument/2006/relationships/sharedStrings" Target="/xl/sharedStrings.xml" Id="R5d201aef3dda4300" /><Relationship Type="http://schemas.openxmlformats.org/officeDocument/2006/relationships/worksheet" Target="/xl/worksheets/sheet1.xml" Id="Rceb3bcb01e34426b" /><Relationship Type="http://schemas.openxmlformats.org/officeDocument/2006/relationships/worksheet" Target="/xl/worksheets/sheet2.xml" Id="R697612abdd0545f2" /><Relationship Type="http://schemas.openxmlformats.org/officeDocument/2006/relationships/worksheet" Target="/xl/worksheets/sheet3.xml" Id="R92ae6935952d4f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4" hidden="0" customWidth="1"/>
  </x:cols>
  <x:sheetData>
    <x:row r="1">
      <x:c r="A1" s="4" t="str">
        <x:v>Bell-LaPadula Confidentiality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</x:row>
    <x:row r="4">
      <x:c r="A4" t="str">
        <x:v>Requests</x:v>
      </x:c>
      <x:c r="B4" t="n">
        <x:f>COUNTIF('Access Matrix'!A4:A53,"&lt;&gt;")</x:f>
        <x:v>3</x:v>
      </x:c>
    </x:row>
    <x:row r="5">
      <x:c r="A5" t="str">
        <x:v>Allowed</x:v>
      </x:c>
      <x:c r="B5" t="n">
        <x:f>COUNTIF('Access Matrix'!H4:H53,"Allowed")</x:f>
        <x:v>1</x:v>
      </x:c>
    </x:row>
    <x:row r="6">
      <x:c r="A6" t="str">
        <x:v>Denied</x:v>
      </x:c>
      <x:c r="B6" t="n">
        <x:f>COUNTIF('Access Matrix'!H4:H53,"Denied")</x:f>
        <x:v>2</x:v>
      </x:c>
    </x:row>
    <x:row r="7">
      <x:c r="A7" t="str">
        <x:v>Exceptions</x:v>
      </x:c>
      <x:c r="B7" t="n">
        <x:f>COUNTIF('Access Matrix'!I4:I53,"Yes")</x:f>
        <x:v>0</x:v>
      </x:c>
    </x:row>
    <x:row r="10">
      <x:c r="A10" s="12" t="str">
        <x:v>Concept</x:v>
      </x:c>
      <x:c r="B10" s="12" t="str">
        <x:v>Rule</x:v>
      </x:c>
      <x:c r="C10" s="12" t="str">
        <x:v>Purpose</x:v>
      </x:c>
    </x:row>
    <x:row r="11">
      <x:c r="A11" t="str">
        <x:v>Simple Security</x:v>
      </x:c>
      <x:c r="B11" t="str">
        <x:v>No read up</x:v>
      </x:c>
      <x:c r="C11" t="str">
        <x:v>Prevents reading more-sensitive objects</x:v>
      </x:c>
    </x:row>
    <x:row r="12">
      <x:c r="A12" t="str">
        <x:v>Star Property</x:v>
      </x:c>
      <x:c r="B12" t="str">
        <x:v>No write down</x:v>
      </x:c>
      <x:c r="C12" t="str">
        <x:v>Prevents leaking information to lower classifications</x:v>
      </x:c>
    </x:row>
    <x:row r="13">
      <x:c r="A13" t="str">
        <x:v>Use carefully</x:v>
      </x:c>
      <x:c r="B13" t="str">
        <x:v>Educational model</x:v>
      </x:c>
      <x:c r="C13" t="str">
        <x:v>Real systems may require trusted subjects and formal policy exceptions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8" hidden="0" customWidth="1"/>
    <x:col min="10" max="10" width="30" hidden="0" customWidth="1"/>
  </x:cols>
  <x:sheetData>
    <x:row r="1">
      <x:c r="A1" s="4" t="str">
        <x:v>Bell-LaPadula Confidentiality Access Matrix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Subject</x:v>
      </x:c>
      <x:c r="B3" s="12" t="str">
        <x:v>Clearance</x:v>
      </x:c>
      <x:c r="C3" s="12" t="str">
        <x:v>Object / Data</x:v>
      </x:c>
      <x:c r="D3" s="12" t="str">
        <x:v>Classification</x:v>
      </x:c>
      <x:c r="E3" s="12" t="str">
        <x:v>Requested Action</x:v>
      </x:c>
      <x:c r="F3" s="12" t="str">
        <x:v>Read Rule</x:v>
      </x:c>
      <x:c r="G3" s="12" t="str">
        <x:v>Write Rule</x:v>
      </x:c>
      <x:c r="H3" s="12" t="str">
        <x:v>Decision</x:v>
      </x:c>
      <x:c r="I3" s="12" t="str">
        <x:v>Exception Approved</x:v>
      </x:c>
      <x:c r="J3" s="12" t="str">
        <x:v>Notes</x:v>
      </x:c>
    </x:row>
    <x:row r="4">
      <x:c r="A4" s="18" t="str">
        <x:v>Analyst A</x:v>
      </x:c>
      <x:c r="B4" s="18" t="str">
        <x:v>Confidential</x:v>
      </x:c>
      <x:c r="C4" s="18" t="str">
        <x:v>Public Threat Feed</x:v>
      </x:c>
      <x:c r="D4" s="18" t="str">
        <x:v>Public</x:v>
      </x:c>
      <x:c r="E4" s="18" t="str">
        <x:v>Read</x:v>
      </x:c>
      <x:c r="F4" s="18" t="str">
        <x:f>IF(OR(B4="",D4=""),"",IF((IF(B4="Public",1,IF(B4="Internal",2,IF(B4="Confidential",3,IF(B4="Restricted",4,0)))))&gt;=(IF(D4="Public",1,IF(D4="Internal",2,IF(D4="Confidential",3,IF(D4="Restricted",4,0))))),"Pass","Fail"))</x:f>
        <x:v>Pass</x:v>
      </x:c>
      <x:c r="G4" s="18" t="str">
        <x:f>IF(OR(B4="",D4=""),"",IF((IF(D4="Public",1,IF(D4="Internal",2,IF(D4="Confidential",3,IF(D4="Restricted",4,0)))))&gt;=(IF(B4="Public",1,IF(B4="Internal",2,IF(B4="Confidential",3,IF(B4="Restricted",4,0))))),"Pass","Fail"))</x:f>
        <x:v>Fail</x:v>
      </x:c>
      <x:c r="H4" s="18" t="str">
        <x:f>IF(E4="","",IF(E4="Read",IF(F4="Pass","Allowed","Denied"),IF(E4="Write",IF(G4="Pass","Allowed","Denied"),IF(AND(F4="Pass",G4="Pass"),"Allowed","Denied"))))</x:f>
        <x:v>Allowed</x:v>
      </x:c>
      <x:c r="I4" s="18" t="str">
        <x:v>No</x:v>
      </x:c>
      <x:c r="J4" s="18" t="str"/>
    </x:row>
    <x:row r="5">
      <x:c r="A5" s="18" t="str">
        <x:v>Analyst A</x:v>
      </x:c>
      <x:c r="B5" s="18" t="str">
        <x:v>Confidential</x:v>
      </x:c>
      <x:c r="C5" s="18" t="str">
        <x:v>Restricted Investigation</x:v>
      </x:c>
      <x:c r="D5" s="18" t="str">
        <x:v>Restricted</x:v>
      </x:c>
      <x:c r="E5" s="18" t="str">
        <x:v>Read</x:v>
      </x:c>
      <x:c r="F5" s="18" t="str">
        <x:f>IF(OR(B5="",D5=""),"",IF((IF(B5="Public",1,IF(B5="Internal",2,IF(B5="Confidential",3,IF(B5="Restricted",4,0)))))&gt;=(IF(D5="Public",1,IF(D5="Internal",2,IF(D5="Confidential",3,IF(D5="Restricted",4,0))))),"Pass","Fail"))</x:f>
        <x:v>Fail</x:v>
      </x:c>
      <x:c r="G5" s="18" t="str">
        <x:f>IF(OR(B5="",D5=""),"",IF((IF(D5="Public",1,IF(D5="Internal",2,IF(D5="Confidential",3,IF(D5="Restricted",4,0)))))&gt;=(IF(B5="Public",1,IF(B5="Internal",2,IF(B5="Confidential",3,IF(B5="Restricted",4,0))))),"Pass","Fail"))</x:f>
        <x:v>Pass</x:v>
      </x:c>
      <x:c r="H5" s="18" t="str">
        <x:f>IF(E5="","",IF(E5="Read",IF(F5="Pass","Allowed","Denied"),IF(E5="Write",IF(G5="Pass","Allowed","Denied"),IF(AND(F5="Pass",G5="Pass"),"Allowed","Denied"))))</x:f>
        <x:v>Denied</x:v>
      </x:c>
      <x:c r="I5" s="18" t="str">
        <x:v>No</x:v>
      </x:c>
      <x:c r="J5" s="18" t="str"/>
    </x:row>
    <x:row r="6">
      <x:c r="A6" s="18" t="str">
        <x:v>Analyst A</x:v>
      </x:c>
      <x:c r="B6" s="18" t="str">
        <x:v>Confidential</x:v>
      </x:c>
      <x:c r="C6" s="18" t="str">
        <x:v>Internal Brief</x:v>
      </x:c>
      <x:c r="D6" s="18" t="str">
        <x:v>Internal</x:v>
      </x:c>
      <x:c r="E6" s="18" t="str">
        <x:v>Write</x:v>
      </x:c>
      <x:c r="F6" s="18" t="str">
        <x:f>IF(OR(B6="",D6=""),"",IF((IF(B6="Public",1,IF(B6="Internal",2,IF(B6="Confidential",3,IF(B6="Restricted",4,0)))))&gt;=(IF(D6="Public",1,IF(D6="Internal",2,IF(D6="Confidential",3,IF(D6="Restricted",4,0))))),"Pass","Fail"))</x:f>
        <x:v>Pass</x:v>
      </x:c>
      <x:c r="G6" s="18" t="str">
        <x:f>IF(OR(B6="",D6=""),"",IF((IF(D6="Public",1,IF(D6="Internal",2,IF(D6="Confidential",3,IF(D6="Restricted",4,0)))))&gt;=(IF(B6="Public",1,IF(B6="Internal",2,IF(B6="Confidential",3,IF(B6="Restricted",4,0))))),"Pass","Fail"))</x:f>
        <x:v>Fail</x:v>
      </x:c>
      <x:c r="H6" s="18" t="str">
        <x:f>IF(E6="","",IF(E6="Read",IF(F6="Pass","Allowed","Denied"),IF(E6="Write",IF(G6="Pass","Allowed","Denied"),IF(AND(F6="Pass",G6="Pass"),"Allowed","Denied"))))</x:f>
        <x:v>Denied</x:v>
      </x:c>
      <x:c r="I6" s="18" t="str">
        <x:v>No</x:v>
      </x:c>
      <x:c r="J6" s="18" t="str"/>
    </x:row>
    <x:row r="7">
      <x:c r="A7" s="18"/>
      <x:c r="B7" s="18"/>
      <x:c r="C7" s="18"/>
      <x:c r="D7" s="18"/>
      <x:c r="E7" s="18"/>
      <x:c r="F7" s="18" t="str">
        <x:f>IF(OR(B7="",D7=""),"",IF((IF(B7="Public",1,IF(B7="Internal",2,IF(B7="Confidential",3,IF(B7="Restricted",4,0)))))&gt;=(IF(D7="Public",1,IF(D7="Internal",2,IF(D7="Confidential",3,IF(D7="Restricted",4,0))))),"Pass","Fail"))</x:f>
      </x:c>
      <x:c r="G7" s="18" t="str">
        <x:f>IF(OR(B7="",D7=""),"",IF((IF(D7="Public",1,IF(D7="Internal",2,IF(D7="Confidential",3,IF(D7="Restricted",4,0)))))&gt;=(IF(B7="Public",1,IF(B7="Internal",2,IF(B7="Confidential",3,IF(B7="Restricted",4,0))))),"Pass","Fail"))</x:f>
      </x:c>
      <x:c r="H7" s="18" t="str">
        <x:f>IF(E7="","",IF(E7="Read",IF(F7="Pass","Allowed","Denied"),IF(E7="Write",IF(G7="Pass","Allowed","Denied"),IF(AND(F7="Pass",G7="Pass"),"Allowed","Denied"))))</x:f>
      </x:c>
      <x:c r="I7" s="18"/>
      <x:c r="J7" s="18"/>
    </x:row>
    <x:row r="8">
      <x:c r="A8" s="18"/>
      <x:c r="B8" s="18"/>
      <x:c r="C8" s="18"/>
      <x:c r="D8" s="18"/>
      <x:c r="E8" s="18"/>
      <x:c r="F8" s="18" t="str">
        <x:f>IF(OR(B8="",D8=""),"",IF((IF(B8="Public",1,IF(B8="Internal",2,IF(B8="Confidential",3,IF(B8="Restricted",4,0)))))&gt;=(IF(D8="Public",1,IF(D8="Internal",2,IF(D8="Confidential",3,IF(D8="Restricted",4,0))))),"Pass","Fail"))</x:f>
      </x:c>
      <x:c r="G8" s="18" t="str">
        <x:f>IF(OR(B8="",D8=""),"",IF((IF(D8="Public",1,IF(D8="Internal",2,IF(D8="Confidential",3,IF(D8="Restricted",4,0)))))&gt;=(IF(B8="Public",1,IF(B8="Internal",2,IF(B8="Confidential",3,IF(B8="Restricted",4,0))))),"Pass","Fail"))</x:f>
      </x:c>
      <x:c r="H8" s="18" t="str">
        <x:f>IF(E8="","",IF(E8="Read",IF(F8="Pass","Allowed","Denied"),IF(E8="Write",IF(G8="Pass","Allowed","Denied"),IF(AND(F8="Pass",G8="Pass"),"Allowed","Denied"))))</x:f>
      </x:c>
      <x:c r="I8" s="18"/>
      <x:c r="J8" s="18"/>
    </x:row>
    <x:row r="9">
      <x:c r="A9" s="18"/>
      <x:c r="B9" s="18"/>
      <x:c r="C9" s="18"/>
      <x:c r="D9" s="18"/>
      <x:c r="E9" s="18"/>
      <x:c r="F9" s="18" t="str">
        <x:f>IF(OR(B9="",D9=""),"",IF((IF(B9="Public",1,IF(B9="Internal",2,IF(B9="Confidential",3,IF(B9="Restricted",4,0)))))&gt;=(IF(D9="Public",1,IF(D9="Internal",2,IF(D9="Confidential",3,IF(D9="Restricted",4,0))))),"Pass","Fail"))</x:f>
      </x:c>
      <x:c r="G9" s="18" t="str">
        <x:f>IF(OR(B9="",D9=""),"",IF((IF(D9="Public",1,IF(D9="Internal",2,IF(D9="Confidential",3,IF(D9="Restricted",4,0)))))&gt;=(IF(B9="Public",1,IF(B9="Internal",2,IF(B9="Confidential",3,IF(B9="Restricted",4,0))))),"Pass","Fail"))</x:f>
      </x:c>
      <x:c r="H9" s="18" t="str">
        <x:f>IF(E9="","",IF(E9="Read",IF(F9="Pass","Allowed","Denied"),IF(E9="Write",IF(G9="Pass","Allowed","Denied"),IF(AND(F9="Pass",G9="Pass"),"Allowed","Denied"))))</x:f>
      </x:c>
      <x:c r="I9" s="18"/>
      <x:c r="J9" s="18"/>
    </x:row>
    <x:row r="10">
      <x:c r="A10" s="18"/>
      <x:c r="B10" s="18"/>
      <x:c r="C10" s="18"/>
      <x:c r="D10" s="18"/>
      <x:c r="E10" s="18"/>
      <x:c r="F10" s="18" t="str">
        <x:f>IF(OR(B10="",D10=""),"",IF((IF(B10="Public",1,IF(B10="Internal",2,IF(B10="Confidential",3,IF(B10="Restricted",4,0)))))&gt;=(IF(D10="Public",1,IF(D10="Internal",2,IF(D10="Confidential",3,IF(D10="Restricted",4,0))))),"Pass","Fail"))</x:f>
      </x:c>
      <x:c r="G10" s="18" t="str">
        <x:f>IF(OR(B10="",D10=""),"",IF((IF(D10="Public",1,IF(D10="Internal",2,IF(D10="Confidential",3,IF(D10="Restricted",4,0)))))&gt;=(IF(B10="Public",1,IF(B10="Internal",2,IF(B10="Confidential",3,IF(B10="Restricted",4,0))))),"Pass","Fail"))</x:f>
      </x:c>
      <x:c r="H10" s="18" t="str">
        <x:f>IF(E10="","",IF(E10="Read",IF(F10="Pass","Allowed","Denied"),IF(E10="Write",IF(G10="Pass","Allowed","Denied"),IF(AND(F10="Pass",G10="Pass"),"Allowed","Denied"))))</x:f>
      </x:c>
      <x:c r="I10" s="18"/>
      <x:c r="J10" s="18"/>
    </x:row>
    <x:row r="11">
      <x:c r="A11" s="18"/>
      <x:c r="B11" s="18"/>
      <x:c r="C11" s="18"/>
      <x:c r="D11" s="18"/>
      <x:c r="E11" s="18"/>
      <x:c r="F11" s="18" t="str">
        <x:f>IF(OR(B11="",D11=""),"",IF((IF(B11="Public",1,IF(B11="Internal",2,IF(B11="Confidential",3,IF(B11="Restricted",4,0)))))&gt;=(IF(D11="Public",1,IF(D11="Internal",2,IF(D11="Confidential",3,IF(D11="Restricted",4,0))))),"Pass","Fail"))</x:f>
      </x:c>
      <x:c r="G11" s="18" t="str">
        <x:f>IF(OR(B11="",D11=""),"",IF((IF(D11="Public",1,IF(D11="Internal",2,IF(D11="Confidential",3,IF(D11="Restricted",4,0)))))&gt;=(IF(B11="Public",1,IF(B11="Internal",2,IF(B11="Confidential",3,IF(B11="Restricted",4,0))))),"Pass","Fail"))</x:f>
      </x:c>
      <x:c r="H11" s="18" t="str">
        <x:f>IF(E11="","",IF(E11="Read",IF(F11="Pass","Allowed","Denied"),IF(E11="Write",IF(G11="Pass","Allowed","Denied"),IF(AND(F11="Pass",G11="Pass"),"Allowed","Denied"))))</x:f>
      </x:c>
      <x:c r="I11" s="18"/>
      <x:c r="J11" s="18"/>
    </x:row>
    <x:row r="12">
      <x:c r="A12" s="18"/>
      <x:c r="B12" s="18"/>
      <x:c r="C12" s="18"/>
      <x:c r="D12" s="18"/>
      <x:c r="E12" s="18"/>
      <x:c r="F12" s="18" t="str">
        <x:f>IF(OR(B12="",D12=""),"",IF((IF(B12="Public",1,IF(B12="Internal",2,IF(B12="Confidential",3,IF(B12="Restricted",4,0)))))&gt;=(IF(D12="Public",1,IF(D12="Internal",2,IF(D12="Confidential",3,IF(D12="Restricted",4,0))))),"Pass","Fail"))</x:f>
      </x:c>
      <x:c r="G12" s="18" t="str">
        <x:f>IF(OR(B12="",D12=""),"",IF((IF(D12="Public",1,IF(D12="Internal",2,IF(D12="Confidential",3,IF(D12="Restricted",4,0)))))&gt;=(IF(B12="Public",1,IF(B12="Internal",2,IF(B12="Confidential",3,IF(B12="Restricted",4,0))))),"Pass","Fail"))</x:f>
      </x:c>
      <x:c r="H12" s="18" t="str">
        <x:f>IF(E12="","",IF(E12="Read",IF(F12="Pass","Allowed","Denied"),IF(E12="Write",IF(G12="Pass","Allowed","Denied"),IF(AND(F12="Pass",G12="Pass"),"Allowed","Denied"))))</x:f>
      </x:c>
      <x:c r="I12" s="18"/>
      <x:c r="J12" s="18"/>
    </x:row>
    <x:row r="13">
      <x:c r="A13" s="18"/>
      <x:c r="B13" s="18"/>
      <x:c r="C13" s="18"/>
      <x:c r="D13" s="18"/>
      <x:c r="E13" s="18"/>
      <x:c r="F13" s="18" t="str">
        <x:f>IF(OR(B13="",D13=""),"",IF((IF(B13="Public",1,IF(B13="Internal",2,IF(B13="Confidential",3,IF(B13="Restricted",4,0)))))&gt;=(IF(D13="Public",1,IF(D13="Internal",2,IF(D13="Confidential",3,IF(D13="Restricted",4,0))))),"Pass","Fail"))</x:f>
      </x:c>
      <x:c r="G13" s="18" t="str">
        <x:f>IF(OR(B13="",D13=""),"",IF((IF(D13="Public",1,IF(D13="Internal",2,IF(D13="Confidential",3,IF(D13="Restricted",4,0)))))&gt;=(IF(B13="Public",1,IF(B13="Internal",2,IF(B13="Confidential",3,IF(B13="Restricted",4,0))))),"Pass","Fail"))</x:f>
      </x:c>
      <x:c r="H13" s="18" t="str">
        <x:f>IF(E13="","",IF(E13="Read",IF(F13="Pass","Allowed","Denied"),IF(E13="Write",IF(G13="Pass","Allowed","Denied"),IF(AND(F13="Pass",G13="Pass"),"Allowed","Denied"))))</x:f>
      </x:c>
      <x:c r="I13" s="18"/>
      <x:c r="J13" s="18"/>
    </x:row>
    <x:row r="14">
      <x:c r="A14" s="18"/>
      <x:c r="B14" s="18"/>
      <x:c r="C14" s="18"/>
      <x:c r="D14" s="18"/>
      <x:c r="E14" s="18"/>
      <x:c r="F14" s="18" t="str">
        <x:f>IF(OR(B14="",D14=""),"",IF((IF(B14="Public",1,IF(B14="Internal",2,IF(B14="Confidential",3,IF(B14="Restricted",4,0)))))&gt;=(IF(D14="Public",1,IF(D14="Internal",2,IF(D14="Confidential",3,IF(D14="Restricted",4,0))))),"Pass","Fail"))</x:f>
      </x:c>
      <x:c r="G14" s="18" t="str">
        <x:f>IF(OR(B14="",D14=""),"",IF((IF(D14="Public",1,IF(D14="Internal",2,IF(D14="Confidential",3,IF(D14="Restricted",4,0)))))&gt;=(IF(B14="Public",1,IF(B14="Internal",2,IF(B14="Confidential",3,IF(B14="Restricted",4,0))))),"Pass","Fail"))</x:f>
      </x:c>
      <x:c r="H14" s="18" t="str">
        <x:f>IF(E14="","",IF(E14="Read",IF(F14="Pass","Allowed","Denied"),IF(E14="Write",IF(G14="Pass","Allowed","Denied"),IF(AND(F14="Pass",G14="Pass"),"Allowed","Denied"))))</x:f>
      </x:c>
      <x:c r="I14" s="18"/>
      <x:c r="J14" s="18"/>
    </x:row>
    <x:row r="15">
      <x:c r="A15" s="18"/>
      <x:c r="B15" s="18"/>
      <x:c r="C15" s="18"/>
      <x:c r="D15" s="18"/>
      <x:c r="E15" s="18"/>
      <x:c r="F15" s="18" t="str">
        <x:f>IF(OR(B15="",D15=""),"",IF((IF(B15="Public",1,IF(B15="Internal",2,IF(B15="Confidential",3,IF(B15="Restricted",4,0)))))&gt;=(IF(D15="Public",1,IF(D15="Internal",2,IF(D15="Confidential",3,IF(D15="Restricted",4,0))))),"Pass","Fail"))</x:f>
      </x:c>
      <x:c r="G15" s="18" t="str">
        <x:f>IF(OR(B15="",D15=""),"",IF((IF(D15="Public",1,IF(D15="Internal",2,IF(D15="Confidential",3,IF(D15="Restricted",4,0)))))&gt;=(IF(B15="Public",1,IF(B15="Internal",2,IF(B15="Confidential",3,IF(B15="Restricted",4,0))))),"Pass","Fail"))</x:f>
      </x:c>
      <x:c r="H15" s="18" t="str">
        <x:f>IF(E15="","",IF(E15="Read",IF(F15="Pass","Allowed","Denied"),IF(E15="Write",IF(G15="Pass","Allowed","Denied"),IF(AND(F15="Pass",G15="Pass"),"Allowed","Denied"))))</x:f>
      </x:c>
      <x:c r="I15" s="18"/>
      <x:c r="J15" s="18"/>
    </x:row>
    <x:row r="16">
      <x:c r="A16" s="18"/>
      <x:c r="B16" s="18"/>
      <x:c r="C16" s="18"/>
      <x:c r="D16" s="18"/>
      <x:c r="E16" s="18"/>
      <x:c r="F16" s="18" t="str">
        <x:f>IF(OR(B16="",D16=""),"",IF((IF(B16="Public",1,IF(B16="Internal",2,IF(B16="Confidential",3,IF(B16="Restricted",4,0)))))&gt;=(IF(D16="Public",1,IF(D16="Internal",2,IF(D16="Confidential",3,IF(D16="Restricted",4,0))))),"Pass","Fail"))</x:f>
      </x:c>
      <x:c r="G16" s="18" t="str">
        <x:f>IF(OR(B16="",D16=""),"",IF((IF(D16="Public",1,IF(D16="Internal",2,IF(D16="Confidential",3,IF(D16="Restricted",4,0)))))&gt;=(IF(B16="Public",1,IF(B16="Internal",2,IF(B16="Confidential",3,IF(B16="Restricted",4,0))))),"Pass","Fail"))</x:f>
      </x:c>
      <x:c r="H16" s="18" t="str">
        <x:f>IF(E16="","",IF(E16="Read",IF(F16="Pass","Allowed","Denied"),IF(E16="Write",IF(G16="Pass","Allowed","Denied"),IF(AND(F16="Pass",G16="Pass"),"Allowed","Denied"))))</x:f>
      </x:c>
      <x:c r="I16" s="18"/>
      <x:c r="J16" s="18"/>
    </x:row>
    <x:row r="17">
      <x:c r="A17" s="18"/>
      <x:c r="B17" s="18"/>
      <x:c r="C17" s="18"/>
      <x:c r="D17" s="18"/>
      <x:c r="E17" s="18"/>
      <x:c r="F17" s="18" t="str">
        <x:f>IF(OR(B17="",D17=""),"",IF((IF(B17="Public",1,IF(B17="Internal",2,IF(B17="Confidential",3,IF(B17="Restricted",4,0)))))&gt;=(IF(D17="Public",1,IF(D17="Internal",2,IF(D17="Confidential",3,IF(D17="Restricted",4,0))))),"Pass","Fail"))</x:f>
      </x:c>
      <x:c r="G17" s="18" t="str">
        <x:f>IF(OR(B17="",D17=""),"",IF((IF(D17="Public",1,IF(D17="Internal",2,IF(D17="Confidential",3,IF(D17="Restricted",4,0)))))&gt;=(IF(B17="Public",1,IF(B17="Internal",2,IF(B17="Confidential",3,IF(B17="Restricted",4,0))))),"Pass","Fail"))</x:f>
      </x:c>
      <x:c r="H17" s="18" t="str">
        <x:f>IF(E17="","",IF(E17="Read",IF(F17="Pass","Allowed","Denied"),IF(E17="Write",IF(G17="Pass","Allowed","Denied"),IF(AND(F17="Pass",G17="Pass"),"Allowed","Denied"))))</x:f>
      </x:c>
      <x:c r="I17" s="18"/>
      <x:c r="J17" s="18"/>
    </x:row>
    <x:row r="18">
      <x:c r="A18" s="18"/>
      <x:c r="B18" s="18"/>
      <x:c r="C18" s="18"/>
      <x:c r="D18" s="18"/>
      <x:c r="E18" s="18"/>
      <x:c r="F18" s="18" t="str">
        <x:f>IF(OR(B18="",D18=""),"",IF((IF(B18="Public",1,IF(B18="Internal",2,IF(B18="Confidential",3,IF(B18="Restricted",4,0)))))&gt;=(IF(D18="Public",1,IF(D18="Internal",2,IF(D18="Confidential",3,IF(D18="Restricted",4,0))))),"Pass","Fail"))</x:f>
      </x:c>
      <x:c r="G18" s="18" t="str">
        <x:f>IF(OR(B18="",D18=""),"",IF((IF(D18="Public",1,IF(D18="Internal",2,IF(D18="Confidential",3,IF(D18="Restricted",4,0)))))&gt;=(IF(B18="Public",1,IF(B18="Internal",2,IF(B18="Confidential",3,IF(B18="Restricted",4,0))))),"Pass","Fail"))</x:f>
      </x:c>
      <x:c r="H18" s="18" t="str">
        <x:f>IF(E18="","",IF(E18="Read",IF(F18="Pass","Allowed","Denied"),IF(E18="Write",IF(G18="Pass","Allowed","Denied"),IF(AND(F18="Pass",G18="Pass"),"Allowed","Denied"))))</x:f>
      </x:c>
      <x:c r="I18" s="18"/>
      <x:c r="J18" s="18"/>
    </x:row>
    <x:row r="19">
      <x:c r="A19" s="18"/>
      <x:c r="B19" s="18"/>
      <x:c r="C19" s="18"/>
      <x:c r="D19" s="18"/>
      <x:c r="E19" s="18"/>
      <x:c r="F19" s="18" t="str">
        <x:f>IF(OR(B19="",D19=""),"",IF((IF(B19="Public",1,IF(B19="Internal",2,IF(B19="Confidential",3,IF(B19="Restricted",4,0)))))&gt;=(IF(D19="Public",1,IF(D19="Internal",2,IF(D19="Confidential",3,IF(D19="Restricted",4,0))))),"Pass","Fail"))</x:f>
      </x:c>
      <x:c r="G19" s="18" t="str">
        <x:f>IF(OR(B19="",D19=""),"",IF((IF(D19="Public",1,IF(D19="Internal",2,IF(D19="Confidential",3,IF(D19="Restricted",4,0)))))&gt;=(IF(B19="Public",1,IF(B19="Internal",2,IF(B19="Confidential",3,IF(B19="Restricted",4,0))))),"Pass","Fail"))</x:f>
      </x:c>
      <x:c r="H19" s="18" t="str">
        <x:f>IF(E19="","",IF(E19="Read",IF(F19="Pass","Allowed","Denied"),IF(E19="Write",IF(G19="Pass","Allowed","Denied"),IF(AND(F19="Pass",G19="Pass"),"Allowed","Denied"))))</x:f>
      </x:c>
      <x:c r="I19" s="18"/>
      <x:c r="J19" s="18"/>
    </x:row>
    <x:row r="20">
      <x:c r="A20" s="18"/>
      <x:c r="B20" s="18"/>
      <x:c r="C20" s="18"/>
      <x:c r="D20" s="18"/>
      <x:c r="E20" s="18"/>
      <x:c r="F20" s="18" t="str">
        <x:f>IF(OR(B20="",D20=""),"",IF((IF(B20="Public",1,IF(B20="Internal",2,IF(B20="Confidential",3,IF(B20="Restricted",4,0)))))&gt;=(IF(D20="Public",1,IF(D20="Internal",2,IF(D20="Confidential",3,IF(D20="Restricted",4,0))))),"Pass","Fail"))</x:f>
      </x:c>
      <x:c r="G20" s="18" t="str">
        <x:f>IF(OR(B20="",D20=""),"",IF((IF(D20="Public",1,IF(D20="Internal",2,IF(D20="Confidential",3,IF(D20="Restricted",4,0)))))&gt;=(IF(B20="Public",1,IF(B20="Internal",2,IF(B20="Confidential",3,IF(B20="Restricted",4,0))))),"Pass","Fail"))</x:f>
      </x:c>
      <x:c r="H20" s="18" t="str">
        <x:f>IF(E20="","",IF(E20="Read",IF(F20="Pass","Allowed","Denied"),IF(E20="Write",IF(G20="Pass","Allowed","Denied"),IF(AND(F20="Pass",G20="Pass"),"Allowed","Denied"))))</x:f>
      </x:c>
      <x:c r="I20" s="18"/>
      <x:c r="J20" s="18"/>
    </x:row>
    <x:row r="21">
      <x:c r="A21" s="18"/>
      <x:c r="B21" s="18"/>
      <x:c r="C21" s="18"/>
      <x:c r="D21" s="18"/>
      <x:c r="E21" s="18"/>
      <x:c r="F21" s="18" t="str">
        <x:f>IF(OR(B21="",D21=""),"",IF((IF(B21="Public",1,IF(B21="Internal",2,IF(B21="Confidential",3,IF(B21="Restricted",4,0)))))&gt;=(IF(D21="Public",1,IF(D21="Internal",2,IF(D21="Confidential",3,IF(D21="Restricted",4,0))))),"Pass","Fail"))</x:f>
      </x:c>
      <x:c r="G21" s="18" t="str">
        <x:f>IF(OR(B21="",D21=""),"",IF((IF(D21="Public",1,IF(D21="Internal",2,IF(D21="Confidential",3,IF(D21="Restricted",4,0)))))&gt;=(IF(B21="Public",1,IF(B21="Internal",2,IF(B21="Confidential",3,IF(B21="Restricted",4,0))))),"Pass","Fail"))</x:f>
      </x:c>
      <x:c r="H21" s="18" t="str">
        <x:f>IF(E21="","",IF(E21="Read",IF(F21="Pass","Allowed","Denied"),IF(E21="Write",IF(G21="Pass","Allowed","Denied"),IF(AND(F21="Pass",G21="Pass"),"Allowed","Denied"))))</x:f>
      </x:c>
      <x:c r="I21" s="18"/>
      <x:c r="J21" s="18"/>
    </x:row>
    <x:row r="22">
      <x:c r="A22" s="18"/>
      <x:c r="B22" s="18"/>
      <x:c r="C22" s="18"/>
      <x:c r="D22" s="18"/>
      <x:c r="E22" s="18"/>
      <x:c r="F22" s="18" t="str">
        <x:f>IF(OR(B22="",D22=""),"",IF((IF(B22="Public",1,IF(B22="Internal",2,IF(B22="Confidential",3,IF(B22="Restricted",4,0)))))&gt;=(IF(D22="Public",1,IF(D22="Internal",2,IF(D22="Confidential",3,IF(D22="Restricted",4,0))))),"Pass","Fail"))</x:f>
      </x:c>
      <x:c r="G22" s="18" t="str">
        <x:f>IF(OR(B22="",D22=""),"",IF((IF(D22="Public",1,IF(D22="Internal",2,IF(D22="Confidential",3,IF(D22="Restricted",4,0)))))&gt;=(IF(B22="Public",1,IF(B22="Internal",2,IF(B22="Confidential",3,IF(B22="Restricted",4,0))))),"Pass","Fail"))</x:f>
      </x:c>
      <x:c r="H22" s="18" t="str">
        <x:f>IF(E22="","",IF(E22="Read",IF(F22="Pass","Allowed","Denied"),IF(E22="Write",IF(G22="Pass","Allowed","Denied"),IF(AND(F22="Pass",G22="Pass"),"Allowed","Denied"))))</x:f>
      </x:c>
      <x:c r="I22" s="18"/>
      <x:c r="J22" s="18"/>
    </x:row>
    <x:row r="23">
      <x:c r="A23" s="18"/>
      <x:c r="B23" s="18"/>
      <x:c r="C23" s="18"/>
      <x:c r="D23" s="18"/>
      <x:c r="E23" s="18"/>
      <x:c r="F23" s="18" t="str">
        <x:f>IF(OR(B23="",D23=""),"",IF((IF(B23="Public",1,IF(B23="Internal",2,IF(B23="Confidential",3,IF(B23="Restricted",4,0)))))&gt;=(IF(D23="Public",1,IF(D23="Internal",2,IF(D23="Confidential",3,IF(D23="Restricted",4,0))))),"Pass","Fail"))</x:f>
      </x:c>
      <x:c r="G23" s="18" t="str">
        <x:f>IF(OR(B23="",D23=""),"",IF((IF(D23="Public",1,IF(D23="Internal",2,IF(D23="Confidential",3,IF(D23="Restricted",4,0)))))&gt;=(IF(B23="Public",1,IF(B23="Internal",2,IF(B23="Confidential",3,IF(B23="Restricted",4,0))))),"Pass","Fail"))</x:f>
      </x:c>
      <x:c r="H23" s="18" t="str">
        <x:f>IF(E23="","",IF(E23="Read",IF(F23="Pass","Allowed","Denied"),IF(E23="Write",IF(G23="Pass","Allowed","Denied"),IF(AND(F23="Pass",G23="Pass"),"Allowed","Denied"))))</x:f>
      </x:c>
      <x:c r="I23" s="18"/>
      <x:c r="J23" s="18"/>
    </x:row>
    <x:row r="24">
      <x:c r="A24" s="18"/>
      <x:c r="B24" s="18"/>
      <x:c r="C24" s="18"/>
      <x:c r="D24" s="18"/>
      <x:c r="E24" s="18"/>
      <x:c r="F24" s="18" t="str">
        <x:f>IF(OR(B24="",D24=""),"",IF((IF(B24="Public",1,IF(B24="Internal",2,IF(B24="Confidential",3,IF(B24="Restricted",4,0)))))&gt;=(IF(D24="Public",1,IF(D24="Internal",2,IF(D24="Confidential",3,IF(D24="Restricted",4,0))))),"Pass","Fail"))</x:f>
      </x:c>
      <x:c r="G24" s="18" t="str">
        <x:f>IF(OR(B24="",D24=""),"",IF((IF(D24="Public",1,IF(D24="Internal",2,IF(D24="Confidential",3,IF(D24="Restricted",4,0)))))&gt;=(IF(B24="Public",1,IF(B24="Internal",2,IF(B24="Confidential",3,IF(B24="Restricted",4,0))))),"Pass","Fail"))</x:f>
      </x:c>
      <x:c r="H24" s="18" t="str">
        <x:f>IF(E24="","",IF(E24="Read",IF(F24="Pass","Allowed","Denied"),IF(E24="Write",IF(G24="Pass","Allowed","Denied"),IF(AND(F24="Pass",G24="Pass"),"Allowed","Denied"))))</x:f>
      </x:c>
      <x:c r="I24" s="18"/>
      <x:c r="J24" s="18"/>
    </x:row>
    <x:row r="25">
      <x:c r="A25" s="18"/>
      <x:c r="B25" s="18"/>
      <x:c r="C25" s="18"/>
      <x:c r="D25" s="18"/>
      <x:c r="E25" s="18"/>
      <x:c r="F25" s="18" t="str">
        <x:f>IF(OR(B25="",D25=""),"",IF((IF(B25="Public",1,IF(B25="Internal",2,IF(B25="Confidential",3,IF(B25="Restricted",4,0)))))&gt;=(IF(D25="Public",1,IF(D25="Internal",2,IF(D25="Confidential",3,IF(D25="Restricted",4,0))))),"Pass","Fail"))</x:f>
      </x:c>
      <x:c r="G25" s="18" t="str">
        <x:f>IF(OR(B25="",D25=""),"",IF((IF(D25="Public",1,IF(D25="Internal",2,IF(D25="Confidential",3,IF(D25="Restricted",4,0)))))&gt;=(IF(B25="Public",1,IF(B25="Internal",2,IF(B25="Confidential",3,IF(B25="Restricted",4,0))))),"Pass","Fail"))</x:f>
      </x:c>
      <x:c r="H25" s="18" t="str">
        <x:f>IF(E25="","",IF(E25="Read",IF(F25="Pass","Allowed","Denied"),IF(E25="Write",IF(G25="Pass","Allowed","Denied"),IF(AND(F25="Pass",G25="Pass"),"Allowed","Denied"))))</x:f>
      </x:c>
      <x:c r="I25" s="18"/>
      <x:c r="J25" s="18"/>
    </x:row>
    <x:row r="26">
      <x:c r="A26" s="18"/>
      <x:c r="B26" s="18"/>
      <x:c r="C26" s="18"/>
      <x:c r="D26" s="18"/>
      <x:c r="E26" s="18"/>
      <x:c r="F26" s="18" t="str">
        <x:f>IF(OR(B26="",D26=""),"",IF((IF(B26="Public",1,IF(B26="Internal",2,IF(B26="Confidential",3,IF(B26="Restricted",4,0)))))&gt;=(IF(D26="Public",1,IF(D26="Internal",2,IF(D26="Confidential",3,IF(D26="Restricted",4,0))))),"Pass","Fail"))</x:f>
      </x:c>
      <x:c r="G26" s="18" t="str">
        <x:f>IF(OR(B26="",D26=""),"",IF((IF(D26="Public",1,IF(D26="Internal",2,IF(D26="Confidential",3,IF(D26="Restricted",4,0)))))&gt;=(IF(B26="Public",1,IF(B26="Internal",2,IF(B26="Confidential",3,IF(B26="Restricted",4,0))))),"Pass","Fail"))</x:f>
      </x:c>
      <x:c r="H26" s="18" t="str">
        <x:f>IF(E26="","",IF(E26="Read",IF(F26="Pass","Allowed","Denied"),IF(E26="Write",IF(G26="Pass","Allowed","Denied"),IF(AND(F26="Pass",G26="Pass"),"Allowed","Denied"))))</x:f>
      </x:c>
      <x:c r="I26" s="18"/>
      <x:c r="J26" s="18"/>
    </x:row>
    <x:row r="27">
      <x:c r="A27" s="18"/>
      <x:c r="B27" s="18"/>
      <x:c r="C27" s="18"/>
      <x:c r="D27" s="18"/>
      <x:c r="E27" s="18"/>
      <x:c r="F27" s="18" t="str">
        <x:f>IF(OR(B27="",D27=""),"",IF((IF(B27="Public",1,IF(B27="Internal",2,IF(B27="Confidential",3,IF(B27="Restricted",4,0)))))&gt;=(IF(D27="Public",1,IF(D27="Internal",2,IF(D27="Confidential",3,IF(D27="Restricted",4,0))))),"Pass","Fail"))</x:f>
      </x:c>
      <x:c r="G27" s="18" t="str">
        <x:f>IF(OR(B27="",D27=""),"",IF((IF(D27="Public",1,IF(D27="Internal",2,IF(D27="Confidential",3,IF(D27="Restricted",4,0)))))&gt;=(IF(B27="Public",1,IF(B27="Internal",2,IF(B27="Confidential",3,IF(B27="Restricted",4,0))))),"Pass","Fail"))</x:f>
      </x:c>
      <x:c r="H27" s="18" t="str">
        <x:f>IF(E27="","",IF(E27="Read",IF(F27="Pass","Allowed","Denied"),IF(E27="Write",IF(G27="Pass","Allowed","Denied"),IF(AND(F27="Pass",G27="Pass"),"Allowed","Denied"))))</x:f>
      </x:c>
      <x:c r="I27" s="18"/>
      <x:c r="J27" s="18"/>
    </x:row>
    <x:row r="28">
      <x:c r="A28" s="18"/>
      <x:c r="B28" s="18"/>
      <x:c r="C28" s="18"/>
      <x:c r="D28" s="18"/>
      <x:c r="E28" s="18"/>
      <x:c r="F28" s="18" t="str">
        <x:f>IF(OR(B28="",D28=""),"",IF((IF(B28="Public",1,IF(B28="Internal",2,IF(B28="Confidential",3,IF(B28="Restricted",4,0)))))&gt;=(IF(D28="Public",1,IF(D28="Internal",2,IF(D28="Confidential",3,IF(D28="Restricted",4,0))))),"Pass","Fail"))</x:f>
      </x:c>
      <x:c r="G28" s="18" t="str">
        <x:f>IF(OR(B28="",D28=""),"",IF((IF(D28="Public",1,IF(D28="Internal",2,IF(D28="Confidential",3,IF(D28="Restricted",4,0)))))&gt;=(IF(B28="Public",1,IF(B28="Internal",2,IF(B28="Confidential",3,IF(B28="Restricted",4,0))))),"Pass","Fail"))</x:f>
      </x:c>
      <x:c r="H28" s="18" t="str">
        <x:f>IF(E28="","",IF(E28="Read",IF(F28="Pass","Allowed","Denied"),IF(E28="Write",IF(G28="Pass","Allowed","Denied"),IF(AND(F28="Pass",G28="Pass"),"Allowed","Denied"))))</x:f>
      </x:c>
      <x:c r="I28" s="18"/>
      <x:c r="J28" s="18"/>
    </x:row>
    <x:row r="29">
      <x:c r="A29" s="18"/>
      <x:c r="B29" s="18"/>
      <x:c r="C29" s="18"/>
      <x:c r="D29" s="18"/>
      <x:c r="E29" s="18"/>
      <x:c r="F29" s="18" t="str">
        <x:f>IF(OR(B29="",D29=""),"",IF((IF(B29="Public",1,IF(B29="Internal",2,IF(B29="Confidential",3,IF(B29="Restricted",4,0)))))&gt;=(IF(D29="Public",1,IF(D29="Internal",2,IF(D29="Confidential",3,IF(D29="Restricted",4,0))))),"Pass","Fail"))</x:f>
      </x:c>
      <x:c r="G29" s="18" t="str">
        <x:f>IF(OR(B29="",D29=""),"",IF((IF(D29="Public",1,IF(D29="Internal",2,IF(D29="Confidential",3,IF(D29="Restricted",4,0)))))&gt;=(IF(B29="Public",1,IF(B29="Internal",2,IF(B29="Confidential",3,IF(B29="Restricted",4,0))))),"Pass","Fail"))</x:f>
      </x:c>
      <x:c r="H29" s="18" t="str">
        <x:f>IF(E29="","",IF(E29="Read",IF(F29="Pass","Allowed","Denied"),IF(E29="Write",IF(G29="Pass","Allowed","Denied"),IF(AND(F29="Pass",G29="Pass"),"Allowed","Denied"))))</x:f>
      </x:c>
      <x:c r="I29" s="18"/>
      <x:c r="J29" s="18"/>
    </x:row>
    <x:row r="30">
      <x:c r="A30" s="18"/>
      <x:c r="B30" s="18"/>
      <x:c r="C30" s="18"/>
      <x:c r="D30" s="18"/>
      <x:c r="E30" s="18"/>
      <x:c r="F30" s="18" t="str">
        <x:f>IF(OR(B30="",D30=""),"",IF((IF(B30="Public",1,IF(B30="Internal",2,IF(B30="Confidential",3,IF(B30="Restricted",4,0)))))&gt;=(IF(D30="Public",1,IF(D30="Internal",2,IF(D30="Confidential",3,IF(D30="Restricted",4,0))))),"Pass","Fail"))</x:f>
      </x:c>
      <x:c r="G30" s="18" t="str">
        <x:f>IF(OR(B30="",D30=""),"",IF((IF(D30="Public",1,IF(D30="Internal",2,IF(D30="Confidential",3,IF(D30="Restricted",4,0)))))&gt;=(IF(B30="Public",1,IF(B30="Internal",2,IF(B30="Confidential",3,IF(B30="Restricted",4,0))))),"Pass","Fail"))</x:f>
      </x:c>
      <x:c r="H30" s="18" t="str">
        <x:f>IF(E30="","",IF(E30="Read",IF(F30="Pass","Allowed","Denied"),IF(E30="Write",IF(G30="Pass","Allowed","Denied"),IF(AND(F30="Pass",G30="Pass"),"Allowed","Denied"))))</x:f>
      </x:c>
      <x:c r="I30" s="18"/>
      <x:c r="J30" s="18"/>
    </x:row>
    <x:row r="31">
      <x:c r="A31" s="18"/>
      <x:c r="B31" s="18"/>
      <x:c r="C31" s="18"/>
      <x:c r="D31" s="18"/>
      <x:c r="E31" s="18"/>
      <x:c r="F31" s="18" t="str">
        <x:f>IF(OR(B31="",D31=""),"",IF((IF(B31="Public",1,IF(B31="Internal",2,IF(B31="Confidential",3,IF(B31="Restricted",4,0)))))&gt;=(IF(D31="Public",1,IF(D31="Internal",2,IF(D31="Confidential",3,IF(D31="Restricted",4,0))))),"Pass","Fail"))</x:f>
      </x:c>
      <x:c r="G31" s="18" t="str">
        <x:f>IF(OR(B31="",D31=""),"",IF((IF(D31="Public",1,IF(D31="Internal",2,IF(D31="Confidential",3,IF(D31="Restricted",4,0)))))&gt;=(IF(B31="Public",1,IF(B31="Internal",2,IF(B31="Confidential",3,IF(B31="Restricted",4,0))))),"Pass","Fail"))</x:f>
      </x:c>
      <x:c r="H31" s="18" t="str">
        <x:f>IF(E31="","",IF(E31="Read",IF(F31="Pass","Allowed","Denied"),IF(E31="Write",IF(G31="Pass","Allowed","Denied"),IF(AND(F31="Pass",G31="Pass"),"Allowed","Denied"))))</x:f>
      </x:c>
      <x:c r="I31" s="18"/>
      <x:c r="J31" s="18"/>
    </x:row>
    <x:row r="32">
      <x:c r="A32" s="18"/>
      <x:c r="B32" s="18"/>
      <x:c r="C32" s="18"/>
      <x:c r="D32" s="18"/>
      <x:c r="E32" s="18"/>
      <x:c r="F32" s="18" t="str">
        <x:f>IF(OR(B32="",D32=""),"",IF((IF(B32="Public",1,IF(B32="Internal",2,IF(B32="Confidential",3,IF(B32="Restricted",4,0)))))&gt;=(IF(D32="Public",1,IF(D32="Internal",2,IF(D32="Confidential",3,IF(D32="Restricted",4,0))))),"Pass","Fail"))</x:f>
      </x:c>
      <x:c r="G32" s="18" t="str">
        <x:f>IF(OR(B32="",D32=""),"",IF((IF(D32="Public",1,IF(D32="Internal",2,IF(D32="Confidential",3,IF(D32="Restricted",4,0)))))&gt;=(IF(B32="Public",1,IF(B32="Internal",2,IF(B32="Confidential",3,IF(B32="Restricted",4,0))))),"Pass","Fail"))</x:f>
      </x:c>
      <x:c r="H32" s="18" t="str">
        <x:f>IF(E32="","",IF(E32="Read",IF(F32="Pass","Allowed","Denied"),IF(E32="Write",IF(G32="Pass","Allowed","Denied"),IF(AND(F32="Pass",G32="Pass"),"Allowed","Denied"))))</x:f>
      </x:c>
      <x:c r="I32" s="18"/>
      <x:c r="J32" s="18"/>
    </x:row>
    <x:row r="33">
      <x:c r="A33" s="18"/>
      <x:c r="B33" s="18"/>
      <x:c r="C33" s="18"/>
      <x:c r="D33" s="18"/>
      <x:c r="E33" s="18"/>
      <x:c r="F33" s="18" t="str">
        <x:f>IF(OR(B33="",D33=""),"",IF((IF(B33="Public",1,IF(B33="Internal",2,IF(B33="Confidential",3,IF(B33="Restricted",4,0)))))&gt;=(IF(D33="Public",1,IF(D33="Internal",2,IF(D33="Confidential",3,IF(D33="Restricted",4,0))))),"Pass","Fail"))</x:f>
      </x:c>
      <x:c r="G33" s="18" t="str">
        <x:f>IF(OR(B33="",D33=""),"",IF((IF(D33="Public",1,IF(D33="Internal",2,IF(D33="Confidential",3,IF(D33="Restricted",4,0)))))&gt;=(IF(B33="Public",1,IF(B33="Internal",2,IF(B33="Confidential",3,IF(B33="Restricted",4,0))))),"Pass","Fail"))</x:f>
      </x:c>
      <x:c r="H33" s="18" t="str">
        <x:f>IF(E33="","",IF(E33="Read",IF(F33="Pass","Allowed","Denied"),IF(E33="Write",IF(G33="Pass","Allowed","Denied"),IF(AND(F33="Pass",G33="Pass"),"Allowed","Denied"))))</x:f>
      </x:c>
      <x:c r="I33" s="18"/>
      <x:c r="J33" s="18"/>
    </x:row>
    <x:row r="34">
      <x:c r="A34" s="18"/>
      <x:c r="B34" s="18"/>
      <x:c r="C34" s="18"/>
      <x:c r="D34" s="18"/>
      <x:c r="E34" s="18"/>
      <x:c r="F34" s="18" t="str">
        <x:f>IF(OR(B34="",D34=""),"",IF((IF(B34="Public",1,IF(B34="Internal",2,IF(B34="Confidential",3,IF(B34="Restricted",4,0)))))&gt;=(IF(D34="Public",1,IF(D34="Internal",2,IF(D34="Confidential",3,IF(D34="Restricted",4,0))))),"Pass","Fail"))</x:f>
      </x:c>
      <x:c r="G34" s="18" t="str">
        <x:f>IF(OR(B34="",D34=""),"",IF((IF(D34="Public",1,IF(D34="Internal",2,IF(D34="Confidential",3,IF(D34="Restricted",4,0)))))&gt;=(IF(B34="Public",1,IF(B34="Internal",2,IF(B34="Confidential",3,IF(B34="Restricted",4,0))))),"Pass","Fail"))</x:f>
      </x:c>
      <x:c r="H34" s="18" t="str">
        <x:f>IF(E34="","",IF(E34="Read",IF(F34="Pass","Allowed","Denied"),IF(E34="Write",IF(G34="Pass","Allowed","Denied"),IF(AND(F34="Pass",G34="Pass"),"Allowed","Denied"))))</x:f>
      </x:c>
      <x:c r="I34" s="18"/>
      <x:c r="J34" s="18"/>
    </x:row>
    <x:row r="35">
      <x:c r="A35" s="18"/>
      <x:c r="B35" s="18"/>
      <x:c r="C35" s="18"/>
      <x:c r="D35" s="18"/>
      <x:c r="E35" s="18"/>
      <x:c r="F35" s="18" t="str">
        <x:f>IF(OR(B35="",D35=""),"",IF((IF(B35="Public",1,IF(B35="Internal",2,IF(B35="Confidential",3,IF(B35="Restricted",4,0)))))&gt;=(IF(D35="Public",1,IF(D35="Internal",2,IF(D35="Confidential",3,IF(D35="Restricted",4,0))))),"Pass","Fail"))</x:f>
      </x:c>
      <x:c r="G35" s="18" t="str">
        <x:f>IF(OR(B35="",D35=""),"",IF((IF(D35="Public",1,IF(D35="Internal",2,IF(D35="Confidential",3,IF(D35="Restricted",4,0)))))&gt;=(IF(B35="Public",1,IF(B35="Internal",2,IF(B35="Confidential",3,IF(B35="Restricted",4,0))))),"Pass","Fail"))</x:f>
      </x:c>
      <x:c r="H35" s="18" t="str">
        <x:f>IF(E35="","",IF(E35="Read",IF(F35="Pass","Allowed","Denied"),IF(E35="Write",IF(G35="Pass","Allowed","Denied"),IF(AND(F35="Pass",G35="Pass"),"Allowed","Denied"))))</x:f>
      </x:c>
      <x:c r="I35" s="18"/>
      <x:c r="J35" s="18"/>
    </x:row>
    <x:row r="36">
      <x:c r="A36" s="18"/>
      <x:c r="B36" s="18"/>
      <x:c r="C36" s="18"/>
      <x:c r="D36" s="18"/>
      <x:c r="E36" s="18"/>
      <x:c r="F36" s="18" t="str">
        <x:f>IF(OR(B36="",D36=""),"",IF((IF(B36="Public",1,IF(B36="Internal",2,IF(B36="Confidential",3,IF(B36="Restricted",4,0)))))&gt;=(IF(D36="Public",1,IF(D36="Internal",2,IF(D36="Confidential",3,IF(D36="Restricted",4,0))))),"Pass","Fail"))</x:f>
      </x:c>
      <x:c r="G36" s="18" t="str">
        <x:f>IF(OR(B36="",D36=""),"",IF((IF(D36="Public",1,IF(D36="Internal",2,IF(D36="Confidential",3,IF(D36="Restricted",4,0)))))&gt;=(IF(B36="Public",1,IF(B36="Internal",2,IF(B36="Confidential",3,IF(B36="Restricted",4,0))))),"Pass","Fail"))</x:f>
      </x:c>
      <x:c r="H36" s="18" t="str">
        <x:f>IF(E36="","",IF(E36="Read",IF(F36="Pass","Allowed","Denied"),IF(E36="Write",IF(G36="Pass","Allowed","Denied"),IF(AND(F36="Pass",G36="Pass"),"Allowed","Denied"))))</x:f>
      </x:c>
      <x:c r="I36" s="18"/>
      <x:c r="J36" s="18"/>
    </x:row>
    <x:row r="37">
      <x:c r="A37" s="18"/>
      <x:c r="B37" s="18"/>
      <x:c r="C37" s="18"/>
      <x:c r="D37" s="18"/>
      <x:c r="E37" s="18"/>
      <x:c r="F37" s="18" t="str">
        <x:f>IF(OR(B37="",D37=""),"",IF((IF(B37="Public",1,IF(B37="Internal",2,IF(B37="Confidential",3,IF(B37="Restricted",4,0)))))&gt;=(IF(D37="Public",1,IF(D37="Internal",2,IF(D37="Confidential",3,IF(D37="Restricted",4,0))))),"Pass","Fail"))</x:f>
      </x:c>
      <x:c r="G37" s="18" t="str">
        <x:f>IF(OR(B37="",D37=""),"",IF((IF(D37="Public",1,IF(D37="Internal",2,IF(D37="Confidential",3,IF(D37="Restricted",4,0)))))&gt;=(IF(B37="Public",1,IF(B37="Internal",2,IF(B37="Confidential",3,IF(B37="Restricted",4,0))))),"Pass","Fail"))</x:f>
      </x:c>
      <x:c r="H37" s="18" t="str">
        <x:f>IF(E37="","",IF(E37="Read",IF(F37="Pass","Allowed","Denied"),IF(E37="Write",IF(G37="Pass","Allowed","Denied"),IF(AND(F37="Pass",G37="Pass"),"Allowed","Denied"))))</x:f>
      </x:c>
      <x:c r="I37" s="18"/>
      <x:c r="J37" s="18"/>
    </x:row>
    <x:row r="38">
      <x:c r="A38" s="18"/>
      <x:c r="B38" s="18"/>
      <x:c r="C38" s="18"/>
      <x:c r="D38" s="18"/>
      <x:c r="E38" s="18"/>
      <x:c r="F38" s="18" t="str">
        <x:f>IF(OR(B38="",D38=""),"",IF((IF(B38="Public",1,IF(B38="Internal",2,IF(B38="Confidential",3,IF(B38="Restricted",4,0)))))&gt;=(IF(D38="Public",1,IF(D38="Internal",2,IF(D38="Confidential",3,IF(D38="Restricted",4,0))))),"Pass","Fail"))</x:f>
      </x:c>
      <x:c r="G38" s="18" t="str">
        <x:f>IF(OR(B38="",D38=""),"",IF((IF(D38="Public",1,IF(D38="Internal",2,IF(D38="Confidential",3,IF(D38="Restricted",4,0)))))&gt;=(IF(B38="Public",1,IF(B38="Internal",2,IF(B38="Confidential",3,IF(B38="Restricted",4,0))))),"Pass","Fail"))</x:f>
      </x:c>
      <x:c r="H38" s="18" t="str">
        <x:f>IF(E38="","",IF(E38="Read",IF(F38="Pass","Allowed","Denied"),IF(E38="Write",IF(G38="Pass","Allowed","Denied"),IF(AND(F38="Pass",G38="Pass"),"Allowed","Denied"))))</x:f>
      </x:c>
      <x:c r="I38" s="18"/>
      <x:c r="J38" s="18"/>
    </x:row>
    <x:row r="39">
      <x:c r="A39" s="18"/>
      <x:c r="B39" s="18"/>
      <x:c r="C39" s="18"/>
      <x:c r="D39" s="18"/>
      <x:c r="E39" s="18"/>
      <x:c r="F39" s="18" t="str">
        <x:f>IF(OR(B39="",D39=""),"",IF((IF(B39="Public",1,IF(B39="Internal",2,IF(B39="Confidential",3,IF(B39="Restricted",4,0)))))&gt;=(IF(D39="Public",1,IF(D39="Internal",2,IF(D39="Confidential",3,IF(D39="Restricted",4,0))))),"Pass","Fail"))</x:f>
      </x:c>
      <x:c r="G39" s="18" t="str">
        <x:f>IF(OR(B39="",D39=""),"",IF((IF(D39="Public",1,IF(D39="Internal",2,IF(D39="Confidential",3,IF(D39="Restricted",4,0)))))&gt;=(IF(B39="Public",1,IF(B39="Internal",2,IF(B39="Confidential",3,IF(B39="Restricted",4,0))))),"Pass","Fail"))</x:f>
      </x:c>
      <x:c r="H39" s="18" t="str">
        <x:f>IF(E39="","",IF(E39="Read",IF(F39="Pass","Allowed","Denied"),IF(E39="Write",IF(G39="Pass","Allowed","Denied"),IF(AND(F39="Pass",G39="Pass"),"Allowed","Denied"))))</x:f>
      </x:c>
      <x:c r="I39" s="18"/>
      <x:c r="J39" s="18"/>
    </x:row>
    <x:row r="40">
      <x:c r="A40" s="18"/>
      <x:c r="B40" s="18"/>
      <x:c r="C40" s="18"/>
      <x:c r="D40" s="18"/>
      <x:c r="E40" s="18"/>
      <x:c r="F40" s="18" t="str">
        <x:f>IF(OR(B40="",D40=""),"",IF((IF(B40="Public",1,IF(B40="Internal",2,IF(B40="Confidential",3,IF(B40="Restricted",4,0)))))&gt;=(IF(D40="Public",1,IF(D40="Internal",2,IF(D40="Confidential",3,IF(D40="Restricted",4,0))))),"Pass","Fail"))</x:f>
      </x:c>
      <x:c r="G40" s="18" t="str">
        <x:f>IF(OR(B40="",D40=""),"",IF((IF(D40="Public",1,IF(D40="Internal",2,IF(D40="Confidential",3,IF(D40="Restricted",4,0)))))&gt;=(IF(B40="Public",1,IF(B40="Internal",2,IF(B40="Confidential",3,IF(B40="Restricted",4,0))))),"Pass","Fail"))</x:f>
      </x:c>
      <x:c r="H40" s="18" t="str">
        <x:f>IF(E40="","",IF(E40="Read",IF(F40="Pass","Allowed","Denied"),IF(E40="Write",IF(G40="Pass","Allowed","Denied"),IF(AND(F40="Pass",G40="Pass"),"Allowed","Denied"))))</x:f>
      </x:c>
      <x:c r="I40" s="18"/>
      <x:c r="J40" s="18"/>
    </x:row>
    <x:row r="41">
      <x:c r="A41" s="18"/>
      <x:c r="B41" s="18"/>
      <x:c r="C41" s="18"/>
      <x:c r="D41" s="18"/>
      <x:c r="E41" s="18"/>
      <x:c r="F41" s="18" t="str">
        <x:f>IF(OR(B41="",D41=""),"",IF((IF(B41="Public",1,IF(B41="Internal",2,IF(B41="Confidential",3,IF(B41="Restricted",4,0)))))&gt;=(IF(D41="Public",1,IF(D41="Internal",2,IF(D41="Confidential",3,IF(D41="Restricted",4,0))))),"Pass","Fail"))</x:f>
      </x:c>
      <x:c r="G41" s="18" t="str">
        <x:f>IF(OR(B41="",D41=""),"",IF((IF(D41="Public",1,IF(D41="Internal",2,IF(D41="Confidential",3,IF(D41="Restricted",4,0)))))&gt;=(IF(B41="Public",1,IF(B41="Internal",2,IF(B41="Confidential",3,IF(B41="Restricted",4,0))))),"Pass","Fail"))</x:f>
      </x:c>
      <x:c r="H41" s="18" t="str">
        <x:f>IF(E41="","",IF(E41="Read",IF(F41="Pass","Allowed","Denied"),IF(E41="Write",IF(G41="Pass","Allowed","Denied"),IF(AND(F41="Pass",G41="Pass"),"Allowed","Denied"))))</x:f>
      </x:c>
      <x:c r="I41" s="18"/>
      <x:c r="J41" s="18"/>
    </x:row>
    <x:row r="42">
      <x:c r="A42" s="18"/>
      <x:c r="B42" s="18"/>
      <x:c r="C42" s="18"/>
      <x:c r="D42" s="18"/>
      <x:c r="E42" s="18"/>
      <x:c r="F42" s="18" t="str">
        <x:f>IF(OR(B42="",D42=""),"",IF((IF(B42="Public",1,IF(B42="Internal",2,IF(B42="Confidential",3,IF(B42="Restricted",4,0)))))&gt;=(IF(D42="Public",1,IF(D42="Internal",2,IF(D42="Confidential",3,IF(D42="Restricted",4,0))))),"Pass","Fail"))</x:f>
      </x:c>
      <x:c r="G42" s="18" t="str">
        <x:f>IF(OR(B42="",D42=""),"",IF((IF(D42="Public",1,IF(D42="Internal",2,IF(D42="Confidential",3,IF(D42="Restricted",4,0)))))&gt;=(IF(B42="Public",1,IF(B42="Internal",2,IF(B42="Confidential",3,IF(B42="Restricted",4,0))))),"Pass","Fail"))</x:f>
      </x:c>
      <x:c r="H42" s="18" t="str">
        <x:f>IF(E42="","",IF(E42="Read",IF(F42="Pass","Allowed","Denied"),IF(E42="Write",IF(G42="Pass","Allowed","Denied"),IF(AND(F42="Pass",G42="Pass"),"Allowed","Denied"))))</x:f>
      </x:c>
      <x:c r="I42" s="18"/>
      <x:c r="J42" s="18"/>
    </x:row>
    <x:row r="43">
      <x:c r="A43" s="18"/>
      <x:c r="B43" s="18"/>
      <x:c r="C43" s="18"/>
      <x:c r="D43" s="18"/>
      <x:c r="E43" s="18"/>
      <x:c r="F43" s="18" t="str">
        <x:f>IF(OR(B43="",D43=""),"",IF((IF(B43="Public",1,IF(B43="Internal",2,IF(B43="Confidential",3,IF(B43="Restricted",4,0)))))&gt;=(IF(D43="Public",1,IF(D43="Internal",2,IF(D43="Confidential",3,IF(D43="Restricted",4,0))))),"Pass","Fail"))</x:f>
      </x:c>
      <x:c r="G43" s="18" t="str">
        <x:f>IF(OR(B43="",D43=""),"",IF((IF(D43="Public",1,IF(D43="Internal",2,IF(D43="Confidential",3,IF(D43="Restricted",4,0)))))&gt;=(IF(B43="Public",1,IF(B43="Internal",2,IF(B43="Confidential",3,IF(B43="Restricted",4,0))))),"Pass","Fail"))</x:f>
      </x:c>
      <x:c r="H43" s="18" t="str">
        <x:f>IF(E43="","",IF(E43="Read",IF(F43="Pass","Allowed","Denied"),IF(E43="Write",IF(G43="Pass","Allowed","Denied"),IF(AND(F43="Pass",G43="Pass"),"Allowed","Denied"))))</x:f>
      </x:c>
      <x:c r="I43" s="18"/>
      <x:c r="J43" s="18"/>
    </x:row>
    <x:row r="44">
      <x:c r="A44" s="18"/>
      <x:c r="B44" s="18"/>
      <x:c r="C44" s="18"/>
      <x:c r="D44" s="18"/>
      <x:c r="E44" s="18"/>
      <x:c r="F44" s="18" t="str">
        <x:f>IF(OR(B44="",D44=""),"",IF((IF(B44="Public",1,IF(B44="Internal",2,IF(B44="Confidential",3,IF(B44="Restricted",4,0)))))&gt;=(IF(D44="Public",1,IF(D44="Internal",2,IF(D44="Confidential",3,IF(D44="Restricted",4,0))))),"Pass","Fail"))</x:f>
      </x:c>
      <x:c r="G44" s="18" t="str">
        <x:f>IF(OR(B44="",D44=""),"",IF((IF(D44="Public",1,IF(D44="Internal",2,IF(D44="Confidential",3,IF(D44="Restricted",4,0)))))&gt;=(IF(B44="Public",1,IF(B44="Internal",2,IF(B44="Confidential",3,IF(B44="Restricted",4,0))))),"Pass","Fail"))</x:f>
      </x:c>
      <x:c r="H44" s="18" t="str">
        <x:f>IF(E44="","",IF(E44="Read",IF(F44="Pass","Allowed","Denied"),IF(E44="Write",IF(G44="Pass","Allowed","Denied"),IF(AND(F44="Pass",G44="Pass"),"Allowed","Denied"))))</x:f>
      </x:c>
      <x:c r="I44" s="18"/>
      <x:c r="J44" s="18"/>
    </x:row>
    <x:row r="45">
      <x:c r="A45" s="18"/>
      <x:c r="B45" s="18"/>
      <x:c r="C45" s="18"/>
      <x:c r="D45" s="18"/>
      <x:c r="E45" s="18"/>
      <x:c r="F45" s="18" t="str">
        <x:f>IF(OR(B45="",D45=""),"",IF((IF(B45="Public",1,IF(B45="Internal",2,IF(B45="Confidential",3,IF(B45="Restricted",4,0)))))&gt;=(IF(D45="Public",1,IF(D45="Internal",2,IF(D45="Confidential",3,IF(D45="Restricted",4,0))))),"Pass","Fail"))</x:f>
      </x:c>
      <x:c r="G45" s="18" t="str">
        <x:f>IF(OR(B45="",D45=""),"",IF((IF(D45="Public",1,IF(D45="Internal",2,IF(D45="Confidential",3,IF(D45="Restricted",4,0)))))&gt;=(IF(B45="Public",1,IF(B45="Internal",2,IF(B45="Confidential",3,IF(B45="Restricted",4,0))))),"Pass","Fail"))</x:f>
      </x:c>
      <x:c r="H45" s="18" t="str">
        <x:f>IF(E45="","",IF(E45="Read",IF(F45="Pass","Allowed","Denied"),IF(E45="Write",IF(G45="Pass","Allowed","Denied"),IF(AND(F45="Pass",G45="Pass"),"Allowed","Denied"))))</x:f>
      </x:c>
      <x:c r="I45" s="18"/>
      <x:c r="J45" s="18"/>
    </x:row>
    <x:row r="46">
      <x:c r="A46" s="18"/>
      <x:c r="B46" s="18"/>
      <x:c r="C46" s="18"/>
      <x:c r="D46" s="18"/>
      <x:c r="E46" s="18"/>
      <x:c r="F46" s="18" t="str">
        <x:f>IF(OR(B46="",D46=""),"",IF((IF(B46="Public",1,IF(B46="Internal",2,IF(B46="Confidential",3,IF(B46="Restricted",4,0)))))&gt;=(IF(D46="Public",1,IF(D46="Internal",2,IF(D46="Confidential",3,IF(D46="Restricted",4,0))))),"Pass","Fail"))</x:f>
      </x:c>
      <x:c r="G46" s="18" t="str">
        <x:f>IF(OR(B46="",D46=""),"",IF((IF(D46="Public",1,IF(D46="Internal",2,IF(D46="Confidential",3,IF(D46="Restricted",4,0)))))&gt;=(IF(B46="Public",1,IF(B46="Internal",2,IF(B46="Confidential",3,IF(B46="Restricted",4,0))))),"Pass","Fail"))</x:f>
      </x:c>
      <x:c r="H46" s="18" t="str">
        <x:f>IF(E46="","",IF(E46="Read",IF(F46="Pass","Allowed","Denied"),IF(E46="Write",IF(G46="Pass","Allowed","Denied"),IF(AND(F46="Pass",G46="Pass"),"Allowed","Denied"))))</x:f>
      </x:c>
      <x:c r="I46" s="18"/>
      <x:c r="J46" s="18"/>
    </x:row>
    <x:row r="47">
      <x:c r="A47" s="18"/>
      <x:c r="B47" s="18"/>
      <x:c r="C47" s="18"/>
      <x:c r="D47" s="18"/>
      <x:c r="E47" s="18"/>
      <x:c r="F47" s="18" t="str">
        <x:f>IF(OR(B47="",D47=""),"",IF((IF(B47="Public",1,IF(B47="Internal",2,IF(B47="Confidential",3,IF(B47="Restricted",4,0)))))&gt;=(IF(D47="Public",1,IF(D47="Internal",2,IF(D47="Confidential",3,IF(D47="Restricted",4,0))))),"Pass","Fail"))</x:f>
      </x:c>
      <x:c r="G47" s="18" t="str">
        <x:f>IF(OR(B47="",D47=""),"",IF((IF(D47="Public",1,IF(D47="Internal",2,IF(D47="Confidential",3,IF(D47="Restricted",4,0)))))&gt;=(IF(B47="Public",1,IF(B47="Internal",2,IF(B47="Confidential",3,IF(B47="Restricted",4,0))))),"Pass","Fail"))</x:f>
      </x:c>
      <x:c r="H47" s="18" t="str">
        <x:f>IF(E47="","",IF(E47="Read",IF(F47="Pass","Allowed","Denied"),IF(E47="Write",IF(G47="Pass","Allowed","Denied"),IF(AND(F47="Pass",G47="Pass"),"Allowed","Denied"))))</x:f>
      </x:c>
      <x:c r="I47" s="18"/>
      <x:c r="J47" s="18"/>
    </x:row>
    <x:row r="48">
      <x:c r="A48" s="18"/>
      <x:c r="B48" s="18"/>
      <x:c r="C48" s="18"/>
      <x:c r="D48" s="18"/>
      <x:c r="E48" s="18"/>
      <x:c r="F48" s="18" t="str">
        <x:f>IF(OR(B48="",D48=""),"",IF((IF(B48="Public",1,IF(B48="Internal",2,IF(B48="Confidential",3,IF(B48="Restricted",4,0)))))&gt;=(IF(D48="Public",1,IF(D48="Internal",2,IF(D48="Confidential",3,IF(D48="Restricted",4,0))))),"Pass","Fail"))</x:f>
      </x:c>
      <x:c r="G48" s="18" t="str">
        <x:f>IF(OR(B48="",D48=""),"",IF((IF(D48="Public",1,IF(D48="Internal",2,IF(D48="Confidential",3,IF(D48="Restricted",4,0)))))&gt;=(IF(B48="Public",1,IF(B48="Internal",2,IF(B48="Confidential",3,IF(B48="Restricted",4,0))))),"Pass","Fail"))</x:f>
      </x:c>
      <x:c r="H48" s="18" t="str">
        <x:f>IF(E48="","",IF(E48="Read",IF(F48="Pass","Allowed","Denied"),IF(E48="Write",IF(G48="Pass","Allowed","Denied"),IF(AND(F48="Pass",G48="Pass"),"Allowed","Denied"))))</x:f>
      </x:c>
      <x:c r="I48" s="18"/>
      <x:c r="J48" s="18"/>
    </x:row>
    <x:row r="49">
      <x:c r="A49" s="18"/>
      <x:c r="B49" s="18"/>
      <x:c r="C49" s="18"/>
      <x:c r="D49" s="18"/>
      <x:c r="E49" s="18"/>
      <x:c r="F49" s="18" t="str">
        <x:f>IF(OR(B49="",D49=""),"",IF((IF(B49="Public",1,IF(B49="Internal",2,IF(B49="Confidential",3,IF(B49="Restricted",4,0)))))&gt;=(IF(D49="Public",1,IF(D49="Internal",2,IF(D49="Confidential",3,IF(D49="Restricted",4,0))))),"Pass","Fail"))</x:f>
      </x:c>
      <x:c r="G49" s="18" t="str">
        <x:f>IF(OR(B49="",D49=""),"",IF((IF(D49="Public",1,IF(D49="Internal",2,IF(D49="Confidential",3,IF(D49="Restricted",4,0)))))&gt;=(IF(B49="Public",1,IF(B49="Internal",2,IF(B49="Confidential",3,IF(B49="Restricted",4,0))))),"Pass","Fail"))</x:f>
      </x:c>
      <x:c r="H49" s="18" t="str">
        <x:f>IF(E49="","",IF(E49="Read",IF(F49="Pass","Allowed","Denied"),IF(E49="Write",IF(G49="Pass","Allowed","Denied"),IF(AND(F49="Pass",G49="Pass"),"Allowed","Denied"))))</x:f>
      </x:c>
      <x:c r="I49" s="18"/>
      <x:c r="J49" s="18"/>
    </x:row>
    <x:row r="50">
      <x:c r="A50" s="18"/>
      <x:c r="B50" s="18"/>
      <x:c r="C50" s="18"/>
      <x:c r="D50" s="18"/>
      <x:c r="E50" s="18"/>
      <x:c r="F50" s="18" t="str">
        <x:f>IF(OR(B50="",D50=""),"",IF((IF(B50="Public",1,IF(B50="Internal",2,IF(B50="Confidential",3,IF(B50="Restricted",4,0)))))&gt;=(IF(D50="Public",1,IF(D50="Internal",2,IF(D50="Confidential",3,IF(D50="Restricted",4,0))))),"Pass","Fail"))</x:f>
      </x:c>
      <x:c r="G50" s="18" t="str">
        <x:f>IF(OR(B50="",D50=""),"",IF((IF(D50="Public",1,IF(D50="Internal",2,IF(D50="Confidential",3,IF(D50="Restricted",4,0)))))&gt;=(IF(B50="Public",1,IF(B50="Internal",2,IF(B50="Confidential",3,IF(B50="Restricted",4,0))))),"Pass","Fail"))</x:f>
      </x:c>
      <x:c r="H50" s="18" t="str">
        <x:f>IF(E50="","",IF(E50="Read",IF(F50="Pass","Allowed","Denied"),IF(E50="Write",IF(G50="Pass","Allowed","Denied"),IF(AND(F50="Pass",G50="Pass"),"Allowed","Denied"))))</x:f>
      </x:c>
      <x:c r="I50" s="18"/>
      <x:c r="J50" s="18"/>
    </x:row>
    <x:row r="51">
      <x:c r="A51" s="18"/>
      <x:c r="B51" s="18"/>
      <x:c r="C51" s="18"/>
      <x:c r="D51" s="18"/>
      <x:c r="E51" s="18"/>
      <x:c r="F51" s="18" t="str">
        <x:f>IF(OR(B51="",D51=""),"",IF((IF(B51="Public",1,IF(B51="Internal",2,IF(B51="Confidential",3,IF(B51="Restricted",4,0)))))&gt;=(IF(D51="Public",1,IF(D51="Internal",2,IF(D51="Confidential",3,IF(D51="Restricted",4,0))))),"Pass","Fail"))</x:f>
      </x:c>
      <x:c r="G51" s="18" t="str">
        <x:f>IF(OR(B51="",D51=""),"",IF((IF(D51="Public",1,IF(D51="Internal",2,IF(D51="Confidential",3,IF(D51="Restricted",4,0)))))&gt;=(IF(B51="Public",1,IF(B51="Internal",2,IF(B51="Confidential",3,IF(B51="Restricted",4,0))))),"Pass","Fail"))</x:f>
      </x:c>
      <x:c r="H51" s="18" t="str">
        <x:f>IF(E51="","",IF(E51="Read",IF(F51="Pass","Allowed","Denied"),IF(E51="Write",IF(G51="Pass","Allowed","Denied"),IF(AND(F51="Pass",G51="Pass"),"Allowed","Denied"))))</x:f>
      </x:c>
      <x:c r="I51" s="18"/>
      <x:c r="J51" s="18"/>
    </x:row>
    <x:row r="52">
      <x:c r="A52" s="18"/>
      <x:c r="B52" s="18"/>
      <x:c r="C52" s="18"/>
      <x:c r="D52" s="18"/>
      <x:c r="E52" s="18"/>
      <x:c r="F52" s="18" t="str">
        <x:f>IF(OR(B52="",D52=""),"",IF((IF(B52="Public",1,IF(B52="Internal",2,IF(B52="Confidential",3,IF(B52="Restricted",4,0)))))&gt;=(IF(D52="Public",1,IF(D52="Internal",2,IF(D52="Confidential",3,IF(D52="Restricted",4,0))))),"Pass","Fail"))</x:f>
      </x:c>
      <x:c r="G52" s="18" t="str">
        <x:f>IF(OR(B52="",D52=""),"",IF((IF(D52="Public",1,IF(D52="Internal",2,IF(D52="Confidential",3,IF(D52="Restricted",4,0)))))&gt;=(IF(B52="Public",1,IF(B52="Internal",2,IF(B52="Confidential",3,IF(B52="Restricted",4,0))))),"Pass","Fail"))</x:f>
      </x:c>
      <x:c r="H52" s="18" t="str">
        <x:f>IF(E52="","",IF(E52="Read",IF(F52="Pass","Allowed","Denied"),IF(E52="Write",IF(G52="Pass","Allowed","Denied"),IF(AND(F52="Pass",G52="Pass"),"Allowed","Denied"))))</x:f>
      </x:c>
      <x:c r="I52" s="18"/>
      <x:c r="J52" s="18"/>
    </x:row>
    <x:row r="53">
      <x:c r="A53" s="18"/>
      <x:c r="B53" s="18"/>
      <x:c r="C53" s="18"/>
      <x:c r="D53" s="18"/>
      <x:c r="E53" s="18"/>
      <x:c r="F53" s="18" t="str">
        <x:f>IF(OR(B53="",D53=""),"",IF((IF(B53="Public",1,IF(B53="Internal",2,IF(B53="Confidential",3,IF(B53="Restricted",4,0)))))&gt;=(IF(D53="Public",1,IF(D53="Internal",2,IF(D53="Confidential",3,IF(D53="Restricted",4,0))))),"Pass","Fail"))</x:f>
      </x:c>
      <x:c r="G53" s="18" t="str">
        <x:f>IF(OR(B53="",D53=""),"",IF((IF(D53="Public",1,IF(D53="Internal",2,IF(D53="Confidential",3,IF(D53="Restricted",4,0)))))&gt;=(IF(B53="Public",1,IF(B53="Internal",2,IF(B53="Confidential",3,IF(B53="Restricted",4,0))))),"Pass","Fail"))</x:f>
      </x:c>
      <x:c r="H53" s="18" t="str">
        <x:f>IF(E53="","",IF(E53="Read",IF(F53="Pass","Allowed","Denied"),IF(E53="Write",IF(G53="Pass","Allowed","Denied"),IF(AND(F53="Pass",G53="Pass"),"Allowed","Denied"))))</x:f>
      </x:c>
      <x:c r="I53" s="18"/>
      <x:c r="J53" s="18"/>
    </x:row>
  </x:sheetData>
  <x:mergeCells>
    <x:mergeCell ref="A1:J1"/>
  </x:mergeCells>
  <x:dataValidations count="150">
    <x:dataValidation type="list" sqref="B4">
      <x:formula1>"Public,Internal,Confidential,Restricted"</x:formula1>
    </x:dataValidation>
    <x:dataValidation type="list" sqref="D4">
      <x:formula1>"Public,Internal,Confidential,Restricted"</x:formula1>
    </x:dataValidation>
    <x:dataValidation type="list" sqref="E4">
      <x:formula1>"Read,Write,Read/Write"</x:formula1>
    </x:dataValidation>
    <x:dataValidation type="list" sqref="B5">
      <x:formula1>"Public,Internal,Confidential,Restricted"</x:formula1>
    </x:dataValidation>
    <x:dataValidation type="list" sqref="D5">
      <x:formula1>"Public,Internal,Confidential,Restricted"</x:formula1>
    </x:dataValidation>
    <x:dataValidation type="list" sqref="E5">
      <x:formula1>"Read,Write,Read/Write"</x:formula1>
    </x:dataValidation>
    <x:dataValidation type="list" sqref="B6">
      <x:formula1>"Public,Internal,Confidential,Restricted"</x:formula1>
    </x:dataValidation>
    <x:dataValidation type="list" sqref="D6">
      <x:formula1>"Public,Internal,Confidential,Restricted"</x:formula1>
    </x:dataValidation>
    <x:dataValidation type="list" sqref="E6">
      <x:formula1>"Read,Write,Read/Write"</x:formula1>
    </x:dataValidation>
    <x:dataValidation type="list" sqref="B7">
      <x:formula1>"Public,Internal,Confidential,Restricted"</x:formula1>
    </x:dataValidation>
    <x:dataValidation type="list" sqref="D7">
      <x:formula1>"Public,Internal,Confidential,Restricted"</x:formula1>
    </x:dataValidation>
    <x:dataValidation type="list" sqref="E7">
      <x:formula1>"Read,Write,Read/Write"</x:formula1>
    </x:dataValidation>
    <x:dataValidation type="list" sqref="B8">
      <x:formula1>"Public,Internal,Confidential,Restricted"</x:formula1>
    </x:dataValidation>
    <x:dataValidation type="list" sqref="D8">
      <x:formula1>"Public,Internal,Confidential,Restricted"</x:formula1>
    </x:dataValidation>
    <x:dataValidation type="list" sqref="E8">
      <x:formula1>"Read,Write,Read/Write"</x:formula1>
    </x:dataValidation>
    <x:dataValidation type="list" sqref="B9">
      <x:formula1>"Public,Internal,Confidential,Restricted"</x:formula1>
    </x:dataValidation>
    <x:dataValidation type="list" sqref="D9">
      <x:formula1>"Public,Internal,Confidential,Restricted"</x:formula1>
    </x:dataValidation>
    <x:dataValidation type="list" sqref="E9">
      <x:formula1>"Read,Write,Read/Write"</x:formula1>
    </x:dataValidation>
    <x:dataValidation type="list" sqref="B10">
      <x:formula1>"Public,Internal,Confidential,Restricted"</x:formula1>
    </x:dataValidation>
    <x:dataValidation type="list" sqref="D10">
      <x:formula1>"Public,Internal,Confidential,Restricted"</x:formula1>
    </x:dataValidation>
    <x:dataValidation type="list" sqref="E10">
      <x:formula1>"Read,Write,Read/Write"</x:formula1>
    </x:dataValidation>
    <x:dataValidation type="list" sqref="B11">
      <x:formula1>"Public,Internal,Confidential,Restricted"</x:formula1>
    </x:dataValidation>
    <x:dataValidation type="list" sqref="D11">
      <x:formula1>"Public,Internal,Confidential,Restricted"</x:formula1>
    </x:dataValidation>
    <x:dataValidation type="list" sqref="E11">
      <x:formula1>"Read,Write,Read/Write"</x:formula1>
    </x:dataValidation>
    <x:dataValidation type="list" sqref="B12">
      <x:formula1>"Public,Internal,Confidential,Restricted"</x:formula1>
    </x:dataValidation>
    <x:dataValidation type="list" sqref="D12">
      <x:formula1>"Public,Internal,Confidential,Restricted"</x:formula1>
    </x:dataValidation>
    <x:dataValidation type="list" sqref="E12">
      <x:formula1>"Read,Write,Read/Write"</x:formula1>
    </x:dataValidation>
    <x:dataValidation type="list" sqref="B13">
      <x:formula1>"Public,Internal,Confidential,Restricted"</x:formula1>
    </x:dataValidation>
    <x:dataValidation type="list" sqref="D13">
      <x:formula1>"Public,Internal,Confidential,Restricted"</x:formula1>
    </x:dataValidation>
    <x:dataValidation type="list" sqref="E13">
      <x:formula1>"Read,Write,Read/Write"</x:formula1>
    </x:dataValidation>
    <x:dataValidation type="list" sqref="B14">
      <x:formula1>"Public,Internal,Confidential,Restricted"</x:formula1>
    </x:dataValidation>
    <x:dataValidation type="list" sqref="D14">
      <x:formula1>"Public,Internal,Confidential,Restricted"</x:formula1>
    </x:dataValidation>
    <x:dataValidation type="list" sqref="E14">
      <x:formula1>"Read,Write,Read/Write"</x:formula1>
    </x:dataValidation>
    <x:dataValidation type="list" sqref="B15">
      <x:formula1>"Public,Internal,Confidential,Restricted"</x:formula1>
    </x:dataValidation>
    <x:dataValidation type="list" sqref="D15">
      <x:formula1>"Public,Internal,Confidential,Restricted"</x:formula1>
    </x:dataValidation>
    <x:dataValidation type="list" sqref="E15">
      <x:formula1>"Read,Write,Read/Write"</x:formula1>
    </x:dataValidation>
    <x:dataValidation type="list" sqref="B16">
      <x:formula1>"Public,Internal,Confidential,Restricted"</x:formula1>
    </x:dataValidation>
    <x:dataValidation type="list" sqref="D16">
      <x:formula1>"Public,Internal,Confidential,Restricted"</x:formula1>
    </x:dataValidation>
    <x:dataValidation type="list" sqref="E16">
      <x:formula1>"Read,Write,Read/Write"</x:formula1>
    </x:dataValidation>
    <x:dataValidation type="list" sqref="B17">
      <x:formula1>"Public,Internal,Confidential,Restricted"</x:formula1>
    </x:dataValidation>
    <x:dataValidation type="list" sqref="D17">
      <x:formula1>"Public,Internal,Confidential,Restricted"</x:formula1>
    </x:dataValidation>
    <x:dataValidation type="list" sqref="E17">
      <x:formula1>"Read,Write,Read/Write"</x:formula1>
    </x:dataValidation>
    <x:dataValidation type="list" sqref="B18">
      <x:formula1>"Public,Internal,Confidential,Restricted"</x:formula1>
    </x:dataValidation>
    <x:dataValidation type="list" sqref="D18">
      <x:formula1>"Public,Internal,Confidential,Restricted"</x:formula1>
    </x:dataValidation>
    <x:dataValidation type="list" sqref="E18">
      <x:formula1>"Read,Write,Read/Write"</x:formula1>
    </x:dataValidation>
    <x:dataValidation type="list" sqref="B19">
      <x:formula1>"Public,Internal,Confidential,Restricted"</x:formula1>
    </x:dataValidation>
    <x:dataValidation type="list" sqref="D19">
      <x:formula1>"Public,Internal,Confidential,Restricted"</x:formula1>
    </x:dataValidation>
    <x:dataValidation type="list" sqref="E19">
      <x:formula1>"Read,Write,Read/Write"</x:formula1>
    </x:dataValidation>
    <x:dataValidation type="list" sqref="B20">
      <x:formula1>"Public,Internal,Confidential,Restricted"</x:formula1>
    </x:dataValidation>
    <x:dataValidation type="list" sqref="D20">
      <x:formula1>"Public,Internal,Confidential,Restricted"</x:formula1>
    </x:dataValidation>
    <x:dataValidation type="list" sqref="E20">
      <x:formula1>"Read,Write,Read/Write"</x:formula1>
    </x:dataValidation>
    <x:dataValidation type="list" sqref="B21">
      <x:formula1>"Public,Internal,Confidential,Restricted"</x:formula1>
    </x:dataValidation>
    <x:dataValidation type="list" sqref="D21">
      <x:formula1>"Public,Internal,Confidential,Restricted"</x:formula1>
    </x:dataValidation>
    <x:dataValidation type="list" sqref="E21">
      <x:formula1>"Read,Write,Read/Write"</x:formula1>
    </x:dataValidation>
    <x:dataValidation type="list" sqref="B22">
      <x:formula1>"Public,Internal,Confidential,Restricted"</x:formula1>
    </x:dataValidation>
    <x:dataValidation type="list" sqref="D22">
      <x:formula1>"Public,Internal,Confidential,Restricted"</x:formula1>
    </x:dataValidation>
    <x:dataValidation type="list" sqref="E22">
      <x:formula1>"Read,Write,Read/Write"</x:formula1>
    </x:dataValidation>
    <x:dataValidation type="list" sqref="B23">
      <x:formula1>"Public,Internal,Confidential,Restricted"</x:formula1>
    </x:dataValidation>
    <x:dataValidation type="list" sqref="D23">
      <x:formula1>"Public,Internal,Confidential,Restricted"</x:formula1>
    </x:dataValidation>
    <x:dataValidation type="list" sqref="E23">
      <x:formula1>"Read,Write,Read/Write"</x:formula1>
    </x:dataValidation>
    <x:dataValidation type="list" sqref="B24">
      <x:formula1>"Public,Internal,Confidential,Restricted"</x:formula1>
    </x:dataValidation>
    <x:dataValidation type="list" sqref="D24">
      <x:formula1>"Public,Internal,Confidential,Restricted"</x:formula1>
    </x:dataValidation>
    <x:dataValidation type="list" sqref="E24">
      <x:formula1>"Read,Write,Read/Write"</x:formula1>
    </x:dataValidation>
    <x:dataValidation type="list" sqref="B25">
      <x:formula1>"Public,Internal,Confidential,Restricted"</x:formula1>
    </x:dataValidation>
    <x:dataValidation type="list" sqref="D25">
      <x:formula1>"Public,Internal,Confidential,Restricted"</x:formula1>
    </x:dataValidation>
    <x:dataValidation type="list" sqref="E25">
      <x:formula1>"Read,Write,Read/Write"</x:formula1>
    </x:dataValidation>
    <x:dataValidation type="list" sqref="B26">
      <x:formula1>"Public,Internal,Confidential,Restricted"</x:formula1>
    </x:dataValidation>
    <x:dataValidation type="list" sqref="D26">
      <x:formula1>"Public,Internal,Confidential,Restricted"</x:formula1>
    </x:dataValidation>
    <x:dataValidation type="list" sqref="E26">
      <x:formula1>"Read,Write,Read/Write"</x:formula1>
    </x:dataValidation>
    <x:dataValidation type="list" sqref="B27">
      <x:formula1>"Public,Internal,Confidential,Restricted"</x:formula1>
    </x:dataValidation>
    <x:dataValidation type="list" sqref="D27">
      <x:formula1>"Public,Internal,Confidential,Restricted"</x:formula1>
    </x:dataValidation>
    <x:dataValidation type="list" sqref="E27">
      <x:formula1>"Read,Write,Read/Write"</x:formula1>
    </x:dataValidation>
    <x:dataValidation type="list" sqref="B28">
      <x:formula1>"Public,Internal,Confidential,Restricted"</x:formula1>
    </x:dataValidation>
    <x:dataValidation type="list" sqref="D28">
      <x:formula1>"Public,Internal,Confidential,Restricted"</x:formula1>
    </x:dataValidation>
    <x:dataValidation type="list" sqref="E28">
      <x:formula1>"Read,Write,Read/Write"</x:formula1>
    </x:dataValidation>
    <x:dataValidation type="list" sqref="B29">
      <x:formula1>"Public,Internal,Confidential,Restricted"</x:formula1>
    </x:dataValidation>
    <x:dataValidation type="list" sqref="D29">
      <x:formula1>"Public,Internal,Confidential,Restricted"</x:formula1>
    </x:dataValidation>
    <x:dataValidation type="list" sqref="E29">
      <x:formula1>"Read,Write,Read/Write"</x:formula1>
    </x:dataValidation>
    <x:dataValidation type="list" sqref="B30">
      <x:formula1>"Public,Internal,Confidential,Restricted"</x:formula1>
    </x:dataValidation>
    <x:dataValidation type="list" sqref="D30">
      <x:formula1>"Public,Internal,Confidential,Restricted"</x:formula1>
    </x:dataValidation>
    <x:dataValidation type="list" sqref="E30">
      <x:formula1>"Read,Write,Read/Write"</x:formula1>
    </x:dataValidation>
    <x:dataValidation type="list" sqref="B31">
      <x:formula1>"Public,Internal,Confidential,Restricted"</x:formula1>
    </x:dataValidation>
    <x:dataValidation type="list" sqref="D31">
      <x:formula1>"Public,Internal,Confidential,Restricted"</x:formula1>
    </x:dataValidation>
    <x:dataValidation type="list" sqref="E31">
      <x:formula1>"Read,Write,Read/Write"</x:formula1>
    </x:dataValidation>
    <x:dataValidation type="list" sqref="B32">
      <x:formula1>"Public,Internal,Confidential,Restricted"</x:formula1>
    </x:dataValidation>
    <x:dataValidation type="list" sqref="D32">
      <x:formula1>"Public,Internal,Confidential,Restricted"</x:formula1>
    </x:dataValidation>
    <x:dataValidation type="list" sqref="E32">
      <x:formula1>"Read,Write,Read/Write"</x:formula1>
    </x:dataValidation>
    <x:dataValidation type="list" sqref="B33">
      <x:formula1>"Public,Internal,Confidential,Restricted"</x:formula1>
    </x:dataValidation>
    <x:dataValidation type="list" sqref="D33">
      <x:formula1>"Public,Internal,Confidential,Restricted"</x:formula1>
    </x:dataValidation>
    <x:dataValidation type="list" sqref="E33">
      <x:formula1>"Read,Write,Read/Write"</x:formula1>
    </x:dataValidation>
    <x:dataValidation type="list" sqref="B34">
      <x:formula1>"Public,Internal,Confidential,Restricted"</x:formula1>
    </x:dataValidation>
    <x:dataValidation type="list" sqref="D34">
      <x:formula1>"Public,Internal,Confidential,Restricted"</x:formula1>
    </x:dataValidation>
    <x:dataValidation type="list" sqref="E34">
      <x:formula1>"Read,Write,Read/Write"</x:formula1>
    </x:dataValidation>
    <x:dataValidation type="list" sqref="B35">
      <x:formula1>"Public,Internal,Confidential,Restricted"</x:formula1>
    </x:dataValidation>
    <x:dataValidation type="list" sqref="D35">
      <x:formula1>"Public,Internal,Confidential,Restricted"</x:formula1>
    </x:dataValidation>
    <x:dataValidation type="list" sqref="E35">
      <x:formula1>"Read,Write,Read/Write"</x:formula1>
    </x:dataValidation>
    <x:dataValidation type="list" sqref="B36">
      <x:formula1>"Public,Internal,Confidential,Restricted"</x:formula1>
    </x:dataValidation>
    <x:dataValidation type="list" sqref="D36">
      <x:formula1>"Public,Internal,Confidential,Restricted"</x:formula1>
    </x:dataValidation>
    <x:dataValidation type="list" sqref="E36">
      <x:formula1>"Read,Write,Read/Write"</x:formula1>
    </x:dataValidation>
    <x:dataValidation type="list" sqref="B37">
      <x:formula1>"Public,Internal,Confidential,Restricted"</x:formula1>
    </x:dataValidation>
    <x:dataValidation type="list" sqref="D37">
      <x:formula1>"Public,Internal,Confidential,Restricted"</x:formula1>
    </x:dataValidation>
    <x:dataValidation type="list" sqref="E37">
      <x:formula1>"Read,Write,Read/Write"</x:formula1>
    </x:dataValidation>
    <x:dataValidation type="list" sqref="B38">
      <x:formula1>"Public,Internal,Confidential,Restricted"</x:formula1>
    </x:dataValidation>
    <x:dataValidation type="list" sqref="D38">
      <x:formula1>"Public,Internal,Confidential,Restricted"</x:formula1>
    </x:dataValidation>
    <x:dataValidation type="list" sqref="E38">
      <x:formula1>"Read,Write,Read/Write"</x:formula1>
    </x:dataValidation>
    <x:dataValidation type="list" sqref="B39">
      <x:formula1>"Public,Internal,Confidential,Restricted"</x:formula1>
    </x:dataValidation>
    <x:dataValidation type="list" sqref="D39">
      <x:formula1>"Public,Internal,Confidential,Restricted"</x:formula1>
    </x:dataValidation>
    <x:dataValidation type="list" sqref="E39">
      <x:formula1>"Read,Write,Read/Write"</x:formula1>
    </x:dataValidation>
    <x:dataValidation type="list" sqref="B40">
      <x:formula1>"Public,Internal,Confidential,Restricted"</x:formula1>
    </x:dataValidation>
    <x:dataValidation type="list" sqref="D40">
      <x:formula1>"Public,Internal,Confidential,Restricted"</x:formula1>
    </x:dataValidation>
    <x:dataValidation type="list" sqref="E40">
      <x:formula1>"Read,Write,Read/Write"</x:formula1>
    </x:dataValidation>
    <x:dataValidation type="list" sqref="B41">
      <x:formula1>"Public,Internal,Confidential,Restricted"</x:formula1>
    </x:dataValidation>
    <x:dataValidation type="list" sqref="D41">
      <x:formula1>"Public,Internal,Confidential,Restricted"</x:formula1>
    </x:dataValidation>
    <x:dataValidation type="list" sqref="E41">
      <x:formula1>"Read,Write,Read/Write"</x:formula1>
    </x:dataValidation>
    <x:dataValidation type="list" sqref="B42">
      <x:formula1>"Public,Internal,Confidential,Restricted"</x:formula1>
    </x:dataValidation>
    <x:dataValidation type="list" sqref="D42">
      <x:formula1>"Public,Internal,Confidential,Restricted"</x:formula1>
    </x:dataValidation>
    <x:dataValidation type="list" sqref="E42">
      <x:formula1>"Read,Write,Read/Write"</x:formula1>
    </x:dataValidation>
    <x:dataValidation type="list" sqref="B43">
      <x:formula1>"Public,Internal,Confidential,Restricted"</x:formula1>
    </x:dataValidation>
    <x:dataValidation type="list" sqref="D43">
      <x:formula1>"Public,Internal,Confidential,Restricted"</x:formula1>
    </x:dataValidation>
    <x:dataValidation type="list" sqref="E43">
      <x:formula1>"Read,Write,Read/Write"</x:formula1>
    </x:dataValidation>
    <x:dataValidation type="list" sqref="B44">
      <x:formula1>"Public,Internal,Confidential,Restricted"</x:formula1>
    </x:dataValidation>
    <x:dataValidation type="list" sqref="D44">
      <x:formula1>"Public,Internal,Confidential,Restricted"</x:formula1>
    </x:dataValidation>
    <x:dataValidation type="list" sqref="E44">
      <x:formula1>"Read,Write,Read/Write"</x:formula1>
    </x:dataValidation>
    <x:dataValidation type="list" sqref="B45">
      <x:formula1>"Public,Internal,Confidential,Restricted"</x:formula1>
    </x:dataValidation>
    <x:dataValidation type="list" sqref="D45">
      <x:formula1>"Public,Internal,Confidential,Restricted"</x:formula1>
    </x:dataValidation>
    <x:dataValidation type="list" sqref="E45">
      <x:formula1>"Read,Write,Read/Write"</x:formula1>
    </x:dataValidation>
    <x:dataValidation type="list" sqref="B46">
      <x:formula1>"Public,Internal,Confidential,Restricted"</x:formula1>
    </x:dataValidation>
    <x:dataValidation type="list" sqref="D46">
      <x:formula1>"Public,Internal,Confidential,Restricted"</x:formula1>
    </x:dataValidation>
    <x:dataValidation type="list" sqref="E46">
      <x:formula1>"Read,Write,Read/Write"</x:formula1>
    </x:dataValidation>
    <x:dataValidation type="list" sqref="B47">
      <x:formula1>"Public,Internal,Confidential,Restricted"</x:formula1>
    </x:dataValidation>
    <x:dataValidation type="list" sqref="D47">
      <x:formula1>"Public,Internal,Confidential,Restricted"</x:formula1>
    </x:dataValidation>
    <x:dataValidation type="list" sqref="E47">
      <x:formula1>"Read,Write,Read/Write"</x:formula1>
    </x:dataValidation>
    <x:dataValidation type="list" sqref="B48">
      <x:formula1>"Public,Internal,Confidential,Restricted"</x:formula1>
    </x:dataValidation>
    <x:dataValidation type="list" sqref="D48">
      <x:formula1>"Public,Internal,Confidential,Restricted"</x:formula1>
    </x:dataValidation>
    <x:dataValidation type="list" sqref="E48">
      <x:formula1>"Read,Write,Read/Write"</x:formula1>
    </x:dataValidation>
    <x:dataValidation type="list" sqref="B49">
      <x:formula1>"Public,Internal,Confidential,Restricted"</x:formula1>
    </x:dataValidation>
    <x:dataValidation type="list" sqref="D49">
      <x:formula1>"Public,Internal,Confidential,Restricted"</x:formula1>
    </x:dataValidation>
    <x:dataValidation type="list" sqref="E49">
      <x:formula1>"Read,Write,Read/Write"</x:formula1>
    </x:dataValidation>
    <x:dataValidation type="list" sqref="B50">
      <x:formula1>"Public,Internal,Confidential,Restricted"</x:formula1>
    </x:dataValidation>
    <x:dataValidation type="list" sqref="D50">
      <x:formula1>"Public,Internal,Confidential,Restricted"</x:formula1>
    </x:dataValidation>
    <x:dataValidation type="list" sqref="E50">
      <x:formula1>"Read,Write,Read/Write"</x:formula1>
    </x:dataValidation>
    <x:dataValidation type="list" sqref="B51">
      <x:formula1>"Public,Internal,Confidential,Restricted"</x:formula1>
    </x:dataValidation>
    <x:dataValidation type="list" sqref="D51">
      <x:formula1>"Public,Internal,Confidential,Restricted"</x:formula1>
    </x:dataValidation>
    <x:dataValidation type="list" sqref="E51">
      <x:formula1>"Read,Write,Read/Write"</x:formula1>
    </x:dataValidation>
    <x:dataValidation type="list" sqref="B52">
      <x:formula1>"Public,Internal,Confidential,Restricted"</x:formula1>
    </x:dataValidation>
    <x:dataValidation type="list" sqref="D52">
      <x:formula1>"Public,Internal,Confidential,Restricted"</x:formula1>
    </x:dataValidation>
    <x:dataValidation type="list" sqref="E52">
      <x:formula1>"Read,Write,Read/Write"</x:formula1>
    </x:dataValidation>
    <x:dataValidation type="list" sqref="B53">
      <x:formula1>"Public,Internal,Confidential,Restricted"</x:formula1>
    </x:dataValidation>
    <x:dataValidation type="list" sqref="D53">
      <x:formula1>"Public,Internal,Confidential,Restricted"</x:formula1>
    </x:dataValidation>
    <x:dataValidation type="list" sqref="E53">
      <x:formula1>"Read,Write,Read/Write"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Clearance</x:v>
      </x:c>
      <x:c r="B1" t="str">
        <x:v>Classification</x:v>
      </x:c>
      <x:c r="C1" t="str">
        <x:v>Action</x:v>
      </x:c>
      <x:c r="D1" t="str">
        <x:v>Decision</x:v>
      </x:c>
    </x:row>
    <x:row r="2">
      <x:c r="A2" t="str">
        <x:v>Public</x:v>
      </x:c>
      <x:c r="B2" t="str">
        <x:v>Public</x:v>
      </x:c>
      <x:c r="C2" t="str">
        <x:v>Read</x:v>
      </x:c>
      <x:c r="D2" t="str">
        <x:v>Allowed</x:v>
      </x:c>
    </x:row>
    <x:row r="3">
      <x:c r="A3" t="str">
        <x:v>Internal</x:v>
      </x:c>
      <x:c r="B3" t="str">
        <x:v>Internal</x:v>
      </x:c>
      <x:c r="C3" t="str">
        <x:v>Write</x:v>
      </x:c>
      <x:c r="D3" t="str">
        <x:v>Denied</x:v>
      </x:c>
    </x:row>
    <x:row r="4">
      <x:c r="A4" t="str">
        <x:v>Confidential</x:v>
      </x:c>
      <x:c r="B4" t="str">
        <x:v>Confidential</x:v>
      </x:c>
      <x:c r="C4" t="str">
        <x:v>Read/Write</x:v>
      </x:c>
      <x:c r="D4" t="str">
        <x:v>Review</x:v>
      </x:c>
    </x:row>
    <x:row r="5">
      <x:c r="A5" t="str">
        <x:v>Restricted</x:v>
      </x:c>
      <x:c r="B5" t="str">
        <x:v>Restricted</x:v>
      </x:c>
    </x:row>
  </x:sheetData>
  <x:pageMargins left="0.7" right="0.7" top="0.75" bottom="0.75" header="0.3" footer="0.3"/>
</x:worksheet>
</file>