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667fdec67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a741ab463634f60"/>
    <x:sheet xmlns:r="http://schemas.openxmlformats.org/officeDocument/2006/relationships" name="DREAD Assessment" sheetId="2" r:id="R6402199d914b4828"/>
    <x:sheet xmlns:r="http://schemas.openxmlformats.org/officeDocument/2006/relationships" name="Scoring Guide" sheetId="3" r:id="Re1389a0625fe4686"/>
    <x:sheet xmlns:r="http://schemas.openxmlformats.org/officeDocument/2006/relationships" name="Treatment Tracker" sheetId="4" r:id="R6b94abda6149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yyyy-mm-dd"/>
  </x:numFmts>
  <x:fonts count="3">
    <x:font>
      <x:sz val="11"/>
      <x:name val="Carlito"/>
    </x:font>
    <x:font>
      <x:b/>
      <x:sz val="18"/>
      <x:color rgb="FFF1E8D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74222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065fdeeff44b49" /><Relationship Type="http://schemas.openxmlformats.org/officeDocument/2006/relationships/theme" Target="/xl/theme/theme1.xml" Id="Rc5f2839ddd774865" /><Relationship Type="http://schemas.openxmlformats.org/officeDocument/2006/relationships/sharedStrings" Target="/xl/sharedStrings.xml" Id="Rc3c3d17ccb3e4569" /><Relationship Type="http://schemas.openxmlformats.org/officeDocument/2006/relationships/worksheet" Target="/xl/worksheets/sheet1.xml" Id="Rba741ab463634f60" /><Relationship Type="http://schemas.openxmlformats.org/officeDocument/2006/relationships/worksheet" Target="/xl/worksheets/sheet2.xml" Id="R6402199d914b4828" /><Relationship Type="http://schemas.openxmlformats.org/officeDocument/2006/relationships/worksheet" Target="/xl/worksheets/sheet3.xml" Id="Re1389a0625fe4686" /><Relationship Type="http://schemas.openxmlformats.org/officeDocument/2006/relationships/worksheet" Target="/xl/worksheets/sheet4.xml" Id="R6b94abda61494c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66c7c256c941b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DREAD Factor Comparison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Damage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'Dashboard'!$E$4:$E$9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Reproducibility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'Dashboard'!$F$4:$F$9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Exploitability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'Dashboard'!$G$4:$G$9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Affected Users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'Dashboard'!$H$4:$H$9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Discoverability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'Dashboard'!$I$4:$I$9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66c7c256c941b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67055908e54ff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4" max="4" width="14" hidden="0" customWidth="1"/>
    <x:col min="5" max="5" width="13" hidden="0" customWidth="1"/>
    <x:col min="6" max="6" width="17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4" t="str">
        <x:v>DREAD Risk Analysis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Risk ID</x:v>
      </x:c>
      <x:c r="E3" s="12" t="str">
        <x:v>Damage</x:v>
      </x:c>
      <x:c r="F3" s="12" t="str">
        <x:v>Reproducibility</x:v>
      </x:c>
      <x:c r="G3" s="12" t="str">
        <x:v>Exploitability</x:v>
      </x:c>
      <x:c r="H3" s="12" t="str">
        <x:v>Affected Users</x:v>
      </x:c>
      <x:c r="I3" s="12" t="str">
        <x:v>Discoverability</x:v>
      </x:c>
    </x:row>
    <x:row r="4">
      <x:c r="A4" t="str">
        <x:v>Risks Assessed</x:v>
      </x:c>
      <x:c r="B4" t="n">
        <x:f>COUNTIF('DREAD Assessment'!A4:A303,"&lt;&gt;")</x:f>
        <x:v>6</x:v>
      </x:c>
      <x:c r="D4" t="str">
        <x:v>DR-001</x:v>
      </x:c>
      <x:c r="E4" t="n">
        <x:v>9</x:v>
      </x:c>
      <x:c r="F4" t="n">
        <x:v>8</x:v>
      </x:c>
      <x:c r="G4" t="n">
        <x:v>8</x:v>
      </x:c>
      <x:c r="H4" t="n">
        <x:v>7</x:v>
      </x:c>
      <x:c r="I4" t="n">
        <x:v>8</x:v>
      </x:c>
    </x:row>
    <x:row r="5">
      <x:c r="A5" t="str">
        <x:v>Critical</x:v>
      </x:c>
      <x:c r="B5" t="n">
        <x:f>COUNTIF('DREAD Assessment'!K4:K303,"Critical")</x:f>
        <x:v>2</x:v>
      </x:c>
      <x:c r="D5" t="str">
        <x:v>DR-002</x:v>
      </x:c>
      <x:c r="E5" t="n">
        <x:v>10</x:v>
      </x:c>
      <x:c r="F5" t="n">
        <x:v>6</x:v>
      </x:c>
      <x:c r="G5" t="n">
        <x:v>7</x:v>
      </x:c>
      <x:c r="H5" t="n">
        <x:v>8</x:v>
      </x:c>
      <x:c r="I5" t="n">
        <x:v>6</x:v>
      </x:c>
    </x:row>
    <x:row r="6">
      <x:c r="A6" t="str">
        <x:v>High</x:v>
      </x:c>
      <x:c r="B6" t="n">
        <x:f>COUNTIF('DREAD Assessment'!K4:K303,"High")</x:f>
        <x:v>3</x:v>
      </x:c>
      <x:c r="D6" t="str">
        <x:v>DR-003</x:v>
      </x:c>
      <x:c r="E6" t="n">
        <x:v>9</x:v>
      </x:c>
      <x:c r="F6" t="n">
        <x:v>5</x:v>
      </x:c>
      <x:c r="G6" t="n">
        <x:v>6</x:v>
      </x:c>
      <x:c r="H6" t="n">
        <x:v>6</x:v>
      </x:c>
      <x:c r="I6" t="n">
        <x:v>7</x:v>
      </x:c>
    </x:row>
    <x:row r="7">
      <x:c r="A7" t="str">
        <x:v>Moderate</x:v>
      </x:c>
      <x:c r="B7" t="n">
        <x:f>COUNTIF('DREAD Assessment'!K4:K303,"Moderate")</x:f>
        <x:v>1</x:v>
      </x:c>
      <x:c r="D7" t="str">
        <x:v>DR-004</x:v>
      </x:c>
      <x:c r="E7" t="n">
        <x:v>7</x:v>
      </x:c>
      <x:c r="F7" t="n">
        <x:v>9</x:v>
      </x:c>
      <x:c r="G7" t="n">
        <x:v>8</x:v>
      </x:c>
      <x:c r="H7" t="n">
        <x:v>8</x:v>
      </x:c>
      <x:c r="I7" t="n">
        <x:v>9</x:v>
      </x:c>
    </x:row>
    <x:row r="8">
      <x:c r="A8" t="str">
        <x:v>Average DREAD Score</x:v>
      </x:c>
      <x:c r="B8" s="18" t="n">
        <x:f>IFERROR(AVERAGE('DREAD Assessment'!J4:J303),0)</x:f>
        <x:v>7.033333333333334</x:v>
      </x:c>
      <x:c r="D8" t="str">
        <x:v>DR-005</x:v>
      </x:c>
      <x:c r="E8" t="n">
        <x:v>8</x:v>
      </x:c>
      <x:c r="F8" t="n">
        <x:v>4</x:v>
      </x:c>
      <x:c r="G8" t="n">
        <x:v>5</x:v>
      </x:c>
      <x:c r="H8" t="n">
        <x:v>7</x:v>
      </x:c>
      <x:c r="I8" t="n">
        <x:v>5</x:v>
      </x:c>
    </x:row>
    <x:row r="9">
      <x:c r="A9" t="str">
        <x:v>Open Treatments</x:v>
      </x:c>
      <x:c r="B9" s="18" t="n">
        <x:f>COUNTIF('Treatment Tracker'!G4:G203,"Not Started")+COUNTIF('Treatment Tracker'!G4:G203,"Planned")+COUNTIF('Treatment Tracker'!G4:G203,"In Progress")+COUNTIF('Treatment Tracker'!G4:G203,"Blocked")</x:f>
        <x:v>4</x:v>
      </x:c>
      <x:c r="D9" t="str">
        <x:v>DR-006</x:v>
      </x:c>
      <x:c r="E9" t="n">
        <x:v>6</x:v>
      </x:c>
      <x:c r="F9" t="n">
        <x:v>7</x:v>
      </x:c>
      <x:c r="G9" t="n">
        <x:v>6</x:v>
      </x:c>
      <x:c r="H9" t="n">
        <x:v>5</x:v>
      </x:c>
      <x:c r="I9" t="n">
        <x:v>7</x:v>
      </x:c>
    </x:row>
    <x:row r="10">
      <x:c r="A10" t="str">
        <x:v>Complete Treatments</x:v>
      </x:c>
      <x:c r="B10" s="18" t="n">
        <x:f>COUNTIF('Treatment Tracker'!G4:G203,"Complete")</x:f>
        <x:v>0</x:v>
      </x:c>
    </x:row>
    <x:row r="11">
      <x:c r="A11" t="str">
        <x:v>Top-Risk Score</x:v>
      </x:c>
      <x:c r="B11" s="18" t="n">
        <x:f>IFERROR(MAX('DREAD Assessment'!J4:J303),0)</x:f>
        <x:v>8.2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b467055908e54ff1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42" hidden="0" customWidth="1"/>
    <x:col min="4" max="4" width="10" hidden="0" customWidth="1"/>
    <x:col min="5" max="5" width="16" hidden="0" customWidth="1"/>
    <x:col min="6" max="6" width="14" hidden="0" customWidth="1"/>
    <x:col min="7" max="7" width="15" hidden="0" customWidth="1"/>
    <x:col min="8" max="8" width="15" hidden="0" customWidth="1"/>
    <x:col min="9" max="9" width="10" hidden="0" customWidth="1"/>
    <x:col min="10" max="10" width="10" hidden="0" customWidth="1"/>
    <x:col min="11" max="11" width="13" hidden="0" customWidth="1"/>
    <x:col min="12" max="12" width="30" hidden="0" customWidth="1"/>
    <x:col min="13" max="13" width="36" hidden="0" customWidth="1"/>
    <x:col min="14" max="14" width="18" hidden="0" customWidth="1"/>
    <x:col min="15" max="15" width="14" hidden="0" customWidth="1"/>
    <x:col min="16" max="16" width="16" hidden="0" customWidth="1"/>
    <x:col min="17" max="17" width="30" hidden="0" customWidth="1"/>
  </x:cols>
  <x:sheetData>
    <x:row r="1">
      <x:c r="A1" s="4" t="str">
        <x:v>DREAD Risk Assessment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>
      <x:c r="A3" s="12" t="str">
        <x:v>Risk ID</x:v>
      </x:c>
      <x:c r="B3" s="12" t="str">
        <x:v>Asset / Feature</x:v>
      </x:c>
      <x:c r="C3" s="12" t="str">
        <x:v>Threat Scenario</x:v>
      </x:c>
      <x:c r="D3" s="12" t="str">
        <x:v>Damage</x:v>
      </x:c>
      <x:c r="E3" s="12" t="str">
        <x:v>Reproducibility</x:v>
      </x:c>
      <x:c r="F3" s="12" t="str">
        <x:v>Exploitability</x:v>
      </x:c>
      <x:c r="G3" s="12" t="str">
        <x:v>Affected Users</x:v>
      </x:c>
      <x:c r="H3" s="12" t="str">
        <x:v>Discoverability</x:v>
      </x:c>
      <x:c r="I3" s="12" t="str">
        <x:v>Total</x:v>
      </x:c>
      <x:c r="J3" s="12" t="str">
        <x:v>Average</x:v>
      </x:c>
      <x:c r="K3" s="12" t="str">
        <x:v>Priority</x:v>
      </x:c>
      <x:c r="L3" s="12" t="str">
        <x:v>Existing Controls</x:v>
      </x:c>
      <x:c r="M3" s="12" t="str">
        <x:v>Treatment</x:v>
      </x:c>
      <x:c r="N3" s="12" t="str">
        <x:v>Owner</x:v>
      </x:c>
      <x:c r="O3" s="12" t="str">
        <x:v>Target Date</x:v>
      </x:c>
      <x:c r="P3" s="12" t="str">
        <x:v>Status</x:v>
      </x:c>
      <x:c r="Q3" s="12" t="str">
        <x:v>Notes</x:v>
      </x:c>
    </x:row>
    <x:row r="4">
      <x:c r="A4" s="22" t="str">
        <x:v>DR-001</x:v>
      </x:c>
      <x:c r="B4" s="22" t="str">
        <x:v>Customer Login</x:v>
      </x:c>
      <x:c r="C4" s="22" t="str">
        <x:v>Credential-stuffing attack compromises accounts</x:v>
      </x:c>
      <x:c r="D4" s="22" t="n">
        <x:v>9</x:v>
      </x:c>
      <x:c r="E4" s="22" t="n">
        <x:v>8</x:v>
      </x:c>
      <x:c r="F4" s="22" t="n">
        <x:v>8</x:v>
      </x:c>
      <x:c r="G4" s="22" t="n">
        <x:v>7</x:v>
      </x:c>
      <x:c r="H4" s="22" t="n">
        <x:v>8</x:v>
      </x:c>
      <x:c r="I4" s="22" t="n">
        <x:f>IF(COUNT(D4:H4)&lt;5,"",SUM(D4:H4))</x:f>
        <x:v>40</x:v>
      </x:c>
      <x:c r="J4" s="23" t="n">
        <x:f>IF(I4="","",I4/5)</x:f>
        <x:v>8</x:v>
      </x:c>
      <x:c r="K4" s="22" t="str">
        <x:f>IF(J4="","",IF(J4&gt;=8,"Critical",IF(J4&gt;=6,"High",IF(J4&gt;=4,"Moderate","Low"))))</x:f>
        <x:v>Critical</x:v>
      </x:c>
      <x:c r="L4" s="22" t="str">
        <x:v>Strengthen bot detection and breached-password checks</x:v>
      </x:c>
      <x:c r="M4" s="22" t="str">
        <x:v>IAM Lead</x:v>
      </x:c>
      <x:c r="N4" s="22" t="n">
        <x:v>46280</x:v>
      </x:c>
      <x:c r="O4" s="24" t="str">
        <x:v>In Progress</x:v>
      </x:c>
      <x:c r="P4" s="22" t="str"/>
      <x:c r="Q4" s="22"/>
    </x:row>
    <x:row r="5">
      <x:c r="A5" s="22" t="str">
        <x:v>DR-002</x:v>
      </x:c>
      <x:c r="B5" s="22" t="str">
        <x:v>Payment API</x:v>
      </x:c>
      <x:c r="C5" s="22" t="str">
        <x:v>Forged requests create fraudulent transactions</x:v>
      </x:c>
      <x:c r="D5" s="22" t="n">
        <x:v>10</x:v>
      </x:c>
      <x:c r="E5" s="22" t="n">
        <x:v>6</x:v>
      </x:c>
      <x:c r="F5" s="22" t="n">
        <x:v>7</x:v>
      </x:c>
      <x:c r="G5" s="22" t="n">
        <x:v>8</x:v>
      </x:c>
      <x:c r="H5" s="22" t="n">
        <x:v>6</x:v>
      </x:c>
      <x:c r="I5" s="22" t="n">
        <x:f>IF(COUNT(D5:H5)&lt;5,"",SUM(D5:H5))</x:f>
        <x:v>37</x:v>
      </x:c>
      <x:c r="J5" s="23" t="n">
        <x:f>IF(I5="","",I5/5)</x:f>
        <x:v>7.4</x:v>
      </x:c>
      <x:c r="K5" s="22" t="str">
        <x:f>IF(J5="","",IF(J5&gt;=8,"Critical",IF(J5&gt;=6,"High",IF(J5&gt;=4,"Moderate","Low"))))</x:f>
        <x:v>High</x:v>
      </x:c>
      <x:c r="L5" s="22" t="str">
        <x:v>Add signed request body and replay protection</x:v>
      </x:c>
      <x:c r="M5" s="22" t="str">
        <x:v>Integration Lead</x:v>
      </x:c>
      <x:c r="N5" s="22" t="n">
        <x:v>46296</x:v>
      </x:c>
      <x:c r="O5" s="24" t="str">
        <x:v>Planned</x:v>
      </x:c>
      <x:c r="P5" s="22" t="str"/>
      <x:c r="Q5" s="22"/>
    </x:row>
    <x:row r="6">
      <x:c r="A6" s="22" t="str">
        <x:v>DR-003</x:v>
      </x:c>
      <x:c r="B6" s="22" t="str">
        <x:v>Admin Console</x:v>
      </x:c>
      <x:c r="C6" s="22" t="str">
        <x:v>Misconfigured role grants excessive privilege</x:v>
      </x:c>
      <x:c r="D6" s="22" t="n">
        <x:v>9</x:v>
      </x:c>
      <x:c r="E6" s="22" t="n">
        <x:v>5</x:v>
      </x:c>
      <x:c r="F6" s="22" t="n">
        <x:v>6</x:v>
      </x:c>
      <x:c r="G6" s="22" t="n">
        <x:v>6</x:v>
      </x:c>
      <x:c r="H6" s="22" t="n">
        <x:v>7</x:v>
      </x:c>
      <x:c r="I6" s="22" t="n">
        <x:f>IF(COUNT(D6:H6)&lt;5,"",SUM(D6:H6))</x:f>
        <x:v>33</x:v>
      </x:c>
      <x:c r="J6" s="23" t="n">
        <x:f>IF(I6="","",I6/5)</x:f>
        <x:v>6.6</x:v>
      </x:c>
      <x:c r="K6" s="22" t="str">
        <x:f>IF(J6="","",IF(J6&gt;=8,"Critical",IF(J6&gt;=6,"High",IF(J6&gt;=4,"Moderate","Low"))))</x:f>
        <x:v>High</x:v>
      </x:c>
      <x:c r="L6" s="22" t="str">
        <x:v>Implement automated role checks</x:v>
      </x:c>
      <x:c r="M6" s="22" t="str">
        <x:v>IAM Lead</x:v>
      </x:c>
      <x:c r="N6" s="22" t="n">
        <x:v>46265</x:v>
      </x:c>
      <x:c r="O6" s="24" t="str">
        <x:v>In Progress</x:v>
      </x:c>
      <x:c r="P6" s="22" t="str"/>
      <x:c r="Q6" s="22"/>
    </x:row>
    <x:row r="7">
      <x:c r="A7" s="22" t="str">
        <x:v>DR-004</x:v>
      </x:c>
      <x:c r="B7" s="22" t="str">
        <x:v>Public Website</x:v>
      </x:c>
      <x:c r="C7" s="22" t="str">
        <x:v>Application-layer DoS disrupts service</x:v>
      </x:c>
      <x:c r="D7" s="22" t="n">
        <x:v>7</x:v>
      </x:c>
      <x:c r="E7" s="22" t="n">
        <x:v>9</x:v>
      </x:c>
      <x:c r="F7" s="22" t="n">
        <x:v>8</x:v>
      </x:c>
      <x:c r="G7" s="22" t="n">
        <x:v>8</x:v>
      </x:c>
      <x:c r="H7" s="22" t="n">
        <x:v>9</x:v>
      </x:c>
      <x:c r="I7" s="22" t="n">
        <x:f>IF(COUNT(D7:H7)&lt;5,"",SUM(D7:H7))</x:f>
        <x:v>41</x:v>
      </x:c>
      <x:c r="J7" s="23" t="n">
        <x:f>IF(I7="","",I7/5)</x:f>
        <x:v>8.2</x:v>
      </x:c>
      <x:c r="K7" s="22" t="str">
        <x:f>IF(J7="","",IF(J7&gt;=8,"Critical",IF(J7&gt;=6,"High",IF(J7&gt;=4,"Moderate","Low"))))</x:f>
        <x:v>Critical</x:v>
      </x:c>
      <x:c r="L7" s="22" t="str">
        <x:v>Tune limits and run resilience test</x:v>
      </x:c>
      <x:c r="M7" s="22" t="str">
        <x:v>Web Owner</x:v>
      </x:c>
      <x:c r="N7" s="22" t="n">
        <x:v>46295</x:v>
      </x:c>
      <x:c r="O7" s="24" t="str">
        <x:v>Planned</x:v>
      </x:c>
      <x:c r="P7" s="22" t="str"/>
      <x:c r="Q7" s="22"/>
    </x:row>
    <x:row r="8">
      <x:c r="A8" s="22" t="str">
        <x:v>DR-005</x:v>
      </x:c>
      <x:c r="B8" s="22" t="str">
        <x:v>Logging Platform</x:v>
      </x:c>
      <x:c r="C8" s="22" t="str">
        <x:v>Attacker deletes evidence after compromise</x:v>
      </x:c>
      <x:c r="D8" s="22" t="n">
        <x:v>8</x:v>
      </x:c>
      <x:c r="E8" s="22" t="n">
        <x:v>4</x:v>
      </x:c>
      <x:c r="F8" s="22" t="n">
        <x:v>5</x:v>
      </x:c>
      <x:c r="G8" s="22" t="n">
        <x:v>7</x:v>
      </x:c>
      <x:c r="H8" s="22" t="n">
        <x:v>5</x:v>
      </x:c>
      <x:c r="I8" s="22" t="n">
        <x:f>IF(COUNT(D8:H8)&lt;5,"",SUM(D8:H8))</x:f>
        <x:v>29</x:v>
      </x:c>
      <x:c r="J8" s="23" t="n">
        <x:f>IF(I8="","",I8/5)</x:f>
        <x:v>5.8</x:v>
      </x:c>
      <x:c r="K8" s="22" t="str">
        <x:f>IF(J8="","",IF(J8&gt;=8,"Critical",IF(J8&gt;=6,"High",IF(J8&gt;=4,"Moderate","Low"))))</x:f>
        <x:v>Moderate</x:v>
      </x:c>
      <x:c r="L8" s="22" t="str">
        <x:v>Add immutable archive</x:v>
      </x:c>
      <x:c r="M8" s="22" t="str">
        <x:v>SOC Lead</x:v>
      </x:c>
      <x:c r="N8" s="22" t="n">
        <x:v>46310</x:v>
      </x:c>
      <x:c r="O8" s="24" t="str">
        <x:v>Not Started</x:v>
      </x:c>
      <x:c r="P8" s="22" t="str"/>
      <x:c r="Q8" s="22"/>
    </x:row>
    <x:row r="9">
      <x:c r="A9" s="22" t="str">
        <x:v>DR-006</x:v>
      </x:c>
      <x:c r="B9" s="22" t="str">
        <x:v>Analytics Export</x:v>
      </x:c>
      <x:c r="C9" s="22" t="str">
        <x:v>Sensitive data included in report download</x:v>
      </x:c>
      <x:c r="D9" s="22" t="n">
        <x:v>6</x:v>
      </x:c>
      <x:c r="E9" s="22" t="n">
        <x:v>7</x:v>
      </x:c>
      <x:c r="F9" s="22" t="n">
        <x:v>6</x:v>
      </x:c>
      <x:c r="G9" s="22" t="n">
        <x:v>5</x:v>
      </x:c>
      <x:c r="H9" s="22" t="n">
        <x:v>7</x:v>
      </x:c>
      <x:c r="I9" s="22" t="n">
        <x:f>IF(COUNT(D9:H9)&lt;5,"",SUM(D9:H9))</x:f>
        <x:v>31</x:v>
      </x:c>
      <x:c r="J9" s="23" t="n">
        <x:f>IF(I9="","",I9/5)</x:f>
        <x:v>6.2</x:v>
      </x:c>
      <x:c r="K9" s="22" t="str">
        <x:f>IF(J9="","",IF(J9&gt;=8,"Critical",IF(J9&gt;=6,"High",IF(J9&gt;=4,"Moderate","Low"))))</x:f>
        <x:v>High</x:v>
      </x:c>
      <x:c r="L9" s="22" t="str">
        <x:v>Add export approval and field-level filtering</x:v>
      </x:c>
      <x:c r="M9" s="22" t="str">
        <x:v>Data Owner</x:v>
      </x:c>
      <x:c r="N9" s="22" t="n">
        <x:v>46264</x:v>
      </x:c>
      <x:c r="O9" s="24" t="str">
        <x:v>Planned</x:v>
      </x:c>
      <x:c r="P9" s="22" t="str"/>
      <x:c r="Q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 t="str">
        <x:f>IF(COUNT(D10:H10)&lt;5,"",SUM(D10:H10))</x:f>
      </x:c>
      <x:c r="J10" s="23" t="str">
        <x:f>IF(I10="","",I10/5)</x:f>
      </x:c>
      <x:c r="K10" s="22" t="str">
        <x:f>IF(J10="","",IF(J10&gt;=8,"Critical",IF(J10&gt;=6,"High",IF(J10&gt;=4,"Moderate","Low"))))</x:f>
      </x:c>
      <x:c r="L10" s="22"/>
      <x:c r="M10" s="22"/>
      <x:c r="N10" s="22"/>
      <x:c r="O10" s="24"/>
      <x:c r="P10" s="22"/>
      <x:c r="Q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 t="str">
        <x:f>IF(COUNT(D11:H11)&lt;5,"",SUM(D11:H11))</x:f>
      </x:c>
      <x:c r="J11" s="23" t="str">
        <x:f>IF(I11="","",I11/5)</x:f>
      </x:c>
      <x:c r="K11" s="22" t="str">
        <x:f>IF(J11="","",IF(J11&gt;=8,"Critical",IF(J11&gt;=6,"High",IF(J11&gt;=4,"Moderate","Low"))))</x:f>
      </x:c>
      <x:c r="L11" s="22"/>
      <x:c r="M11" s="22"/>
      <x:c r="N11" s="22"/>
      <x:c r="O11" s="24"/>
      <x:c r="P11" s="22"/>
      <x:c r="Q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 t="str">
        <x:f>IF(COUNT(D12:H12)&lt;5,"",SUM(D12:H12))</x:f>
      </x:c>
      <x:c r="J12" s="23" t="str">
        <x:f>IF(I12="","",I12/5)</x:f>
      </x:c>
      <x:c r="K12" s="22" t="str">
        <x:f>IF(J12="","",IF(J12&gt;=8,"Critical",IF(J12&gt;=6,"High",IF(J12&gt;=4,"Moderate","Low"))))</x:f>
      </x:c>
      <x:c r="L12" s="22"/>
      <x:c r="M12" s="22"/>
      <x:c r="N12" s="22"/>
      <x:c r="O12" s="24"/>
      <x:c r="P12" s="22"/>
      <x:c r="Q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 t="str">
        <x:f>IF(COUNT(D13:H13)&lt;5,"",SUM(D13:H13))</x:f>
      </x:c>
      <x:c r="J13" s="23" t="str">
        <x:f>IF(I13="","",I13/5)</x:f>
      </x:c>
      <x:c r="K13" s="22" t="str">
        <x:f>IF(J13="","",IF(J13&gt;=8,"Critical",IF(J13&gt;=6,"High",IF(J13&gt;=4,"Moderate","Low"))))</x:f>
      </x:c>
      <x:c r="L13" s="22"/>
      <x:c r="M13" s="22"/>
      <x:c r="N13" s="22"/>
      <x:c r="O13" s="24"/>
      <x:c r="P13" s="22"/>
      <x:c r="Q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 t="str">
        <x:f>IF(COUNT(D14:H14)&lt;5,"",SUM(D14:H14))</x:f>
      </x:c>
      <x:c r="J14" s="23" t="str">
        <x:f>IF(I14="","",I14/5)</x:f>
      </x:c>
      <x:c r="K14" s="22" t="str">
        <x:f>IF(J14="","",IF(J14&gt;=8,"Critical",IF(J14&gt;=6,"High",IF(J14&gt;=4,"Moderate","Low"))))</x:f>
      </x:c>
      <x:c r="L14" s="22"/>
      <x:c r="M14" s="22"/>
      <x:c r="N14" s="22"/>
      <x:c r="O14" s="24"/>
      <x:c r="P14" s="22"/>
      <x:c r="Q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 t="str">
        <x:f>IF(COUNT(D15:H15)&lt;5,"",SUM(D15:H15))</x:f>
      </x:c>
      <x:c r="J15" s="23" t="str">
        <x:f>IF(I15="","",I15/5)</x:f>
      </x:c>
      <x:c r="K15" s="22" t="str">
        <x:f>IF(J15="","",IF(J15&gt;=8,"Critical",IF(J15&gt;=6,"High",IF(J15&gt;=4,"Moderate","Low"))))</x:f>
      </x:c>
      <x:c r="L15" s="22"/>
      <x:c r="M15" s="22"/>
      <x:c r="N15" s="22"/>
      <x:c r="O15" s="24"/>
      <x:c r="P15" s="22"/>
      <x:c r="Q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 t="str">
        <x:f>IF(COUNT(D16:H16)&lt;5,"",SUM(D16:H16))</x:f>
      </x:c>
      <x:c r="J16" s="23" t="str">
        <x:f>IF(I16="","",I16/5)</x:f>
      </x:c>
      <x:c r="K16" s="22" t="str">
        <x:f>IF(J16="","",IF(J16&gt;=8,"Critical",IF(J16&gt;=6,"High",IF(J16&gt;=4,"Moderate","Low"))))</x:f>
      </x:c>
      <x:c r="L16" s="22"/>
      <x:c r="M16" s="22"/>
      <x:c r="N16" s="22"/>
      <x:c r="O16" s="24"/>
      <x:c r="P16" s="22"/>
      <x:c r="Q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 t="str">
        <x:f>IF(COUNT(D17:H17)&lt;5,"",SUM(D17:H17))</x:f>
      </x:c>
      <x:c r="J17" s="23" t="str">
        <x:f>IF(I17="","",I17/5)</x:f>
      </x:c>
      <x:c r="K17" s="22" t="str">
        <x:f>IF(J17="","",IF(J17&gt;=8,"Critical",IF(J17&gt;=6,"High",IF(J17&gt;=4,"Moderate","Low"))))</x:f>
      </x:c>
      <x:c r="L17" s="22"/>
      <x:c r="M17" s="22"/>
      <x:c r="N17" s="22"/>
      <x:c r="O17" s="24"/>
      <x:c r="P17" s="22"/>
      <x:c r="Q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 t="str">
        <x:f>IF(COUNT(D18:H18)&lt;5,"",SUM(D18:H18))</x:f>
      </x:c>
      <x:c r="J18" s="23" t="str">
        <x:f>IF(I18="","",I18/5)</x:f>
      </x:c>
      <x:c r="K18" s="22" t="str">
        <x:f>IF(J18="","",IF(J18&gt;=8,"Critical",IF(J18&gt;=6,"High",IF(J18&gt;=4,"Moderate","Low"))))</x:f>
      </x:c>
      <x:c r="L18" s="22"/>
      <x:c r="M18" s="22"/>
      <x:c r="N18" s="22"/>
      <x:c r="O18" s="24"/>
      <x:c r="P18" s="22"/>
      <x:c r="Q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 t="str">
        <x:f>IF(COUNT(D19:H19)&lt;5,"",SUM(D19:H19))</x:f>
      </x:c>
      <x:c r="J19" s="23" t="str">
        <x:f>IF(I19="","",I19/5)</x:f>
      </x:c>
      <x:c r="K19" s="22" t="str">
        <x:f>IF(J19="","",IF(J19&gt;=8,"Critical",IF(J19&gt;=6,"High",IF(J19&gt;=4,"Moderate","Low"))))</x:f>
      </x:c>
      <x:c r="L19" s="22"/>
      <x:c r="M19" s="22"/>
      <x:c r="N19" s="22"/>
      <x:c r="O19" s="24"/>
      <x:c r="P19" s="22"/>
      <x:c r="Q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 t="str">
        <x:f>IF(COUNT(D20:H20)&lt;5,"",SUM(D20:H20))</x:f>
      </x:c>
      <x:c r="J20" s="23" t="str">
        <x:f>IF(I20="","",I20/5)</x:f>
      </x:c>
      <x:c r="K20" s="22" t="str">
        <x:f>IF(J20="","",IF(J20&gt;=8,"Critical",IF(J20&gt;=6,"High",IF(J20&gt;=4,"Moderate","Low"))))</x:f>
      </x:c>
      <x:c r="L20" s="22"/>
      <x:c r="M20" s="22"/>
      <x:c r="N20" s="22"/>
      <x:c r="O20" s="24"/>
      <x:c r="P20" s="22"/>
      <x:c r="Q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 t="str">
        <x:f>IF(COUNT(D21:H21)&lt;5,"",SUM(D21:H21))</x:f>
      </x:c>
      <x:c r="J21" s="23" t="str">
        <x:f>IF(I21="","",I21/5)</x:f>
      </x:c>
      <x:c r="K21" s="22" t="str">
        <x:f>IF(J21="","",IF(J21&gt;=8,"Critical",IF(J21&gt;=6,"High",IF(J21&gt;=4,"Moderate","Low"))))</x:f>
      </x:c>
      <x:c r="L21" s="22"/>
      <x:c r="M21" s="22"/>
      <x:c r="N21" s="22"/>
      <x:c r="O21" s="24"/>
      <x:c r="P21" s="22"/>
      <x:c r="Q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 t="str">
        <x:f>IF(COUNT(D22:H22)&lt;5,"",SUM(D22:H22))</x:f>
      </x:c>
      <x:c r="J22" s="23" t="str">
        <x:f>IF(I22="","",I22/5)</x:f>
      </x:c>
      <x:c r="K22" s="22" t="str">
        <x:f>IF(J22="","",IF(J22&gt;=8,"Critical",IF(J22&gt;=6,"High",IF(J22&gt;=4,"Moderate","Low"))))</x:f>
      </x:c>
      <x:c r="L22" s="22"/>
      <x:c r="M22" s="22"/>
      <x:c r="N22" s="22"/>
      <x:c r="O22" s="24"/>
      <x:c r="P22" s="22"/>
      <x:c r="Q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 t="str">
        <x:f>IF(COUNT(D23:H23)&lt;5,"",SUM(D23:H23))</x:f>
      </x:c>
      <x:c r="J23" s="23" t="str">
        <x:f>IF(I23="","",I23/5)</x:f>
      </x:c>
      <x:c r="K23" s="22" t="str">
        <x:f>IF(J23="","",IF(J23&gt;=8,"Critical",IF(J23&gt;=6,"High",IF(J23&gt;=4,"Moderate","Low"))))</x:f>
      </x:c>
      <x:c r="L23" s="22"/>
      <x:c r="M23" s="22"/>
      <x:c r="N23" s="22"/>
      <x:c r="O23" s="24"/>
      <x:c r="P23" s="22"/>
      <x:c r="Q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 t="str">
        <x:f>IF(COUNT(D24:H24)&lt;5,"",SUM(D24:H24))</x:f>
      </x:c>
      <x:c r="J24" s="23" t="str">
        <x:f>IF(I24="","",I24/5)</x:f>
      </x:c>
      <x:c r="K24" s="22" t="str">
        <x:f>IF(J24="","",IF(J24&gt;=8,"Critical",IF(J24&gt;=6,"High",IF(J24&gt;=4,"Moderate","Low"))))</x:f>
      </x:c>
      <x:c r="L24" s="22"/>
      <x:c r="M24" s="22"/>
      <x:c r="N24" s="22"/>
      <x:c r="O24" s="24"/>
      <x:c r="P24" s="22"/>
      <x:c r="Q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 t="str">
        <x:f>IF(COUNT(D25:H25)&lt;5,"",SUM(D25:H25))</x:f>
      </x:c>
      <x:c r="J25" s="23" t="str">
        <x:f>IF(I25="","",I25/5)</x:f>
      </x:c>
      <x:c r="K25" s="22" t="str">
        <x:f>IF(J25="","",IF(J25&gt;=8,"Critical",IF(J25&gt;=6,"High",IF(J25&gt;=4,"Moderate","Low"))))</x:f>
      </x:c>
      <x:c r="L25" s="22"/>
      <x:c r="M25" s="22"/>
      <x:c r="N25" s="22"/>
      <x:c r="O25" s="24"/>
      <x:c r="P25" s="22"/>
      <x:c r="Q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 t="str">
        <x:f>IF(COUNT(D26:H26)&lt;5,"",SUM(D26:H26))</x:f>
      </x:c>
      <x:c r="J26" s="23" t="str">
        <x:f>IF(I26="","",I26/5)</x:f>
      </x:c>
      <x:c r="K26" s="22" t="str">
        <x:f>IF(J26="","",IF(J26&gt;=8,"Critical",IF(J26&gt;=6,"High",IF(J26&gt;=4,"Moderate","Low"))))</x:f>
      </x:c>
      <x:c r="L26" s="22"/>
      <x:c r="M26" s="22"/>
      <x:c r="N26" s="22"/>
      <x:c r="O26" s="24"/>
      <x:c r="P26" s="22"/>
      <x:c r="Q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 t="str">
        <x:f>IF(COUNT(D27:H27)&lt;5,"",SUM(D27:H27))</x:f>
      </x:c>
      <x:c r="J27" s="23" t="str">
        <x:f>IF(I27="","",I27/5)</x:f>
      </x:c>
      <x:c r="K27" s="22" t="str">
        <x:f>IF(J27="","",IF(J27&gt;=8,"Critical",IF(J27&gt;=6,"High",IF(J27&gt;=4,"Moderate","Low"))))</x:f>
      </x:c>
      <x:c r="L27" s="22"/>
      <x:c r="M27" s="22"/>
      <x:c r="N27" s="22"/>
      <x:c r="O27" s="24"/>
      <x:c r="P27" s="22"/>
      <x:c r="Q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 t="str">
        <x:f>IF(COUNT(D28:H28)&lt;5,"",SUM(D28:H28))</x:f>
      </x:c>
      <x:c r="J28" s="23" t="str">
        <x:f>IF(I28="","",I28/5)</x:f>
      </x:c>
      <x:c r="K28" s="22" t="str">
        <x:f>IF(J28="","",IF(J28&gt;=8,"Critical",IF(J28&gt;=6,"High",IF(J28&gt;=4,"Moderate","Low"))))</x:f>
      </x:c>
      <x:c r="L28" s="22"/>
      <x:c r="M28" s="22"/>
      <x:c r="N28" s="22"/>
      <x:c r="O28" s="24"/>
      <x:c r="P28" s="22"/>
      <x:c r="Q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 t="str">
        <x:f>IF(COUNT(D29:H29)&lt;5,"",SUM(D29:H29))</x:f>
      </x:c>
      <x:c r="J29" s="23" t="str">
        <x:f>IF(I29="","",I29/5)</x:f>
      </x:c>
      <x:c r="K29" s="22" t="str">
        <x:f>IF(J29="","",IF(J29&gt;=8,"Critical",IF(J29&gt;=6,"High",IF(J29&gt;=4,"Moderate","Low"))))</x:f>
      </x:c>
      <x:c r="L29" s="22"/>
      <x:c r="M29" s="22"/>
      <x:c r="N29" s="22"/>
      <x:c r="O29" s="24"/>
      <x:c r="P29" s="22"/>
      <x:c r="Q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 t="str">
        <x:f>IF(COUNT(D30:H30)&lt;5,"",SUM(D30:H30))</x:f>
      </x:c>
      <x:c r="J30" s="23" t="str">
        <x:f>IF(I30="","",I30/5)</x:f>
      </x:c>
      <x:c r="K30" s="22" t="str">
        <x:f>IF(J30="","",IF(J30&gt;=8,"Critical",IF(J30&gt;=6,"High",IF(J30&gt;=4,"Moderate","Low"))))</x:f>
      </x:c>
      <x:c r="L30" s="22"/>
      <x:c r="M30" s="22"/>
      <x:c r="N30" s="22"/>
      <x:c r="O30" s="24"/>
      <x:c r="P30" s="22"/>
      <x:c r="Q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 t="str">
        <x:f>IF(COUNT(D31:H31)&lt;5,"",SUM(D31:H31))</x:f>
      </x:c>
      <x:c r="J31" s="23" t="str">
        <x:f>IF(I31="","",I31/5)</x:f>
      </x:c>
      <x:c r="K31" s="22" t="str">
        <x:f>IF(J31="","",IF(J31&gt;=8,"Critical",IF(J31&gt;=6,"High",IF(J31&gt;=4,"Moderate","Low"))))</x:f>
      </x:c>
      <x:c r="L31" s="22"/>
      <x:c r="M31" s="22"/>
      <x:c r="N31" s="22"/>
      <x:c r="O31" s="24"/>
      <x:c r="P31" s="22"/>
      <x:c r="Q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 t="str">
        <x:f>IF(COUNT(D32:H32)&lt;5,"",SUM(D32:H32))</x:f>
      </x:c>
      <x:c r="J32" s="23" t="str">
        <x:f>IF(I32="","",I32/5)</x:f>
      </x:c>
      <x:c r="K32" s="22" t="str">
        <x:f>IF(J32="","",IF(J32&gt;=8,"Critical",IF(J32&gt;=6,"High",IF(J32&gt;=4,"Moderate","Low"))))</x:f>
      </x:c>
      <x:c r="L32" s="22"/>
      <x:c r="M32" s="22"/>
      <x:c r="N32" s="22"/>
      <x:c r="O32" s="24"/>
      <x:c r="P32" s="22"/>
      <x:c r="Q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 t="str">
        <x:f>IF(COUNT(D33:H33)&lt;5,"",SUM(D33:H33))</x:f>
      </x:c>
      <x:c r="J33" s="23" t="str">
        <x:f>IF(I33="","",I33/5)</x:f>
      </x:c>
      <x:c r="K33" s="22" t="str">
        <x:f>IF(J33="","",IF(J33&gt;=8,"Critical",IF(J33&gt;=6,"High",IF(J33&gt;=4,"Moderate","Low"))))</x:f>
      </x:c>
      <x:c r="L33" s="22"/>
      <x:c r="M33" s="22"/>
      <x:c r="N33" s="22"/>
      <x:c r="O33" s="24"/>
      <x:c r="P33" s="22"/>
      <x:c r="Q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 t="str">
        <x:f>IF(COUNT(D34:H34)&lt;5,"",SUM(D34:H34))</x:f>
      </x:c>
      <x:c r="J34" s="23" t="str">
        <x:f>IF(I34="","",I34/5)</x:f>
      </x:c>
      <x:c r="K34" s="22" t="str">
        <x:f>IF(J34="","",IF(J34&gt;=8,"Critical",IF(J34&gt;=6,"High",IF(J34&gt;=4,"Moderate","Low"))))</x:f>
      </x:c>
      <x:c r="L34" s="22"/>
      <x:c r="M34" s="22"/>
      <x:c r="N34" s="22"/>
      <x:c r="O34" s="24"/>
      <x:c r="P34" s="22"/>
      <x:c r="Q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 t="str">
        <x:f>IF(COUNT(D35:H35)&lt;5,"",SUM(D35:H35))</x:f>
      </x:c>
      <x:c r="J35" s="23" t="str">
        <x:f>IF(I35="","",I35/5)</x:f>
      </x:c>
      <x:c r="K35" s="22" t="str">
        <x:f>IF(J35="","",IF(J35&gt;=8,"Critical",IF(J35&gt;=6,"High",IF(J35&gt;=4,"Moderate","Low"))))</x:f>
      </x:c>
      <x:c r="L35" s="22"/>
      <x:c r="M35" s="22"/>
      <x:c r="N35" s="22"/>
      <x:c r="O35" s="24"/>
      <x:c r="P35" s="22"/>
      <x:c r="Q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 t="str">
        <x:f>IF(COUNT(D36:H36)&lt;5,"",SUM(D36:H36))</x:f>
      </x:c>
      <x:c r="J36" s="23" t="str">
        <x:f>IF(I36="","",I36/5)</x:f>
      </x:c>
      <x:c r="K36" s="22" t="str">
        <x:f>IF(J36="","",IF(J36&gt;=8,"Critical",IF(J36&gt;=6,"High",IF(J36&gt;=4,"Moderate","Low"))))</x:f>
      </x:c>
      <x:c r="L36" s="22"/>
      <x:c r="M36" s="22"/>
      <x:c r="N36" s="22"/>
      <x:c r="O36" s="24"/>
      <x:c r="P36" s="22"/>
      <x:c r="Q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 t="str">
        <x:f>IF(COUNT(D37:H37)&lt;5,"",SUM(D37:H37))</x:f>
      </x:c>
      <x:c r="J37" s="23" t="str">
        <x:f>IF(I37="","",I37/5)</x:f>
      </x:c>
      <x:c r="K37" s="22" t="str">
        <x:f>IF(J37="","",IF(J37&gt;=8,"Critical",IF(J37&gt;=6,"High",IF(J37&gt;=4,"Moderate","Low"))))</x:f>
      </x:c>
      <x:c r="L37" s="22"/>
      <x:c r="M37" s="22"/>
      <x:c r="N37" s="22"/>
      <x:c r="O37" s="24"/>
      <x:c r="P37" s="22"/>
      <x:c r="Q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 t="str">
        <x:f>IF(COUNT(D38:H38)&lt;5,"",SUM(D38:H38))</x:f>
      </x:c>
      <x:c r="J38" s="23" t="str">
        <x:f>IF(I38="","",I38/5)</x:f>
      </x:c>
      <x:c r="K38" s="22" t="str">
        <x:f>IF(J38="","",IF(J38&gt;=8,"Critical",IF(J38&gt;=6,"High",IF(J38&gt;=4,"Moderate","Low"))))</x:f>
      </x:c>
      <x:c r="L38" s="22"/>
      <x:c r="M38" s="22"/>
      <x:c r="N38" s="22"/>
      <x:c r="O38" s="24"/>
      <x:c r="P38" s="22"/>
      <x:c r="Q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 t="str">
        <x:f>IF(COUNT(D39:H39)&lt;5,"",SUM(D39:H39))</x:f>
      </x:c>
      <x:c r="J39" s="23" t="str">
        <x:f>IF(I39="","",I39/5)</x:f>
      </x:c>
      <x:c r="K39" s="22" t="str">
        <x:f>IF(J39="","",IF(J39&gt;=8,"Critical",IF(J39&gt;=6,"High",IF(J39&gt;=4,"Moderate","Low"))))</x:f>
      </x:c>
      <x:c r="L39" s="22"/>
      <x:c r="M39" s="22"/>
      <x:c r="N39" s="22"/>
      <x:c r="O39" s="24"/>
      <x:c r="P39" s="22"/>
      <x:c r="Q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 t="str">
        <x:f>IF(COUNT(D40:H40)&lt;5,"",SUM(D40:H40))</x:f>
      </x:c>
      <x:c r="J40" s="23" t="str">
        <x:f>IF(I40="","",I40/5)</x:f>
      </x:c>
      <x:c r="K40" s="22" t="str">
        <x:f>IF(J40="","",IF(J40&gt;=8,"Critical",IF(J40&gt;=6,"High",IF(J40&gt;=4,"Moderate","Low"))))</x:f>
      </x:c>
      <x:c r="L40" s="22"/>
      <x:c r="M40" s="22"/>
      <x:c r="N40" s="22"/>
      <x:c r="O40" s="24"/>
      <x:c r="P40" s="22"/>
      <x:c r="Q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 t="str">
        <x:f>IF(COUNT(D41:H41)&lt;5,"",SUM(D41:H41))</x:f>
      </x:c>
      <x:c r="J41" s="23" t="str">
        <x:f>IF(I41="","",I41/5)</x:f>
      </x:c>
      <x:c r="K41" s="22" t="str">
        <x:f>IF(J41="","",IF(J41&gt;=8,"Critical",IF(J41&gt;=6,"High",IF(J41&gt;=4,"Moderate","Low"))))</x:f>
      </x:c>
      <x:c r="L41" s="22"/>
      <x:c r="M41" s="22"/>
      <x:c r="N41" s="22"/>
      <x:c r="O41" s="24"/>
      <x:c r="P41" s="22"/>
      <x:c r="Q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 t="str">
        <x:f>IF(COUNT(D42:H42)&lt;5,"",SUM(D42:H42))</x:f>
      </x:c>
      <x:c r="J42" s="23" t="str">
        <x:f>IF(I42="","",I42/5)</x:f>
      </x:c>
      <x:c r="K42" s="22" t="str">
        <x:f>IF(J42="","",IF(J42&gt;=8,"Critical",IF(J42&gt;=6,"High",IF(J42&gt;=4,"Moderate","Low"))))</x:f>
      </x:c>
      <x:c r="L42" s="22"/>
      <x:c r="M42" s="22"/>
      <x:c r="N42" s="22"/>
      <x:c r="O42" s="24"/>
      <x:c r="P42" s="22"/>
      <x:c r="Q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 t="str">
        <x:f>IF(COUNT(D43:H43)&lt;5,"",SUM(D43:H43))</x:f>
      </x:c>
      <x:c r="J43" s="23" t="str">
        <x:f>IF(I43="","",I43/5)</x:f>
      </x:c>
      <x:c r="K43" s="22" t="str">
        <x:f>IF(J43="","",IF(J43&gt;=8,"Critical",IF(J43&gt;=6,"High",IF(J43&gt;=4,"Moderate","Low"))))</x:f>
      </x:c>
      <x:c r="L43" s="22"/>
      <x:c r="M43" s="22"/>
      <x:c r="N43" s="22"/>
      <x:c r="O43" s="24"/>
      <x:c r="P43" s="22"/>
      <x:c r="Q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 t="str">
        <x:f>IF(COUNT(D44:H44)&lt;5,"",SUM(D44:H44))</x:f>
      </x:c>
      <x:c r="J44" s="23" t="str">
        <x:f>IF(I44="","",I44/5)</x:f>
      </x:c>
      <x:c r="K44" s="22" t="str">
        <x:f>IF(J44="","",IF(J44&gt;=8,"Critical",IF(J44&gt;=6,"High",IF(J44&gt;=4,"Moderate","Low"))))</x:f>
      </x:c>
      <x:c r="L44" s="22"/>
      <x:c r="M44" s="22"/>
      <x:c r="N44" s="22"/>
      <x:c r="O44" s="24"/>
      <x:c r="P44" s="22"/>
      <x:c r="Q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 t="str">
        <x:f>IF(COUNT(D45:H45)&lt;5,"",SUM(D45:H45))</x:f>
      </x:c>
      <x:c r="J45" s="23" t="str">
        <x:f>IF(I45="","",I45/5)</x:f>
      </x:c>
      <x:c r="K45" s="22" t="str">
        <x:f>IF(J45="","",IF(J45&gt;=8,"Critical",IF(J45&gt;=6,"High",IF(J45&gt;=4,"Moderate","Low"))))</x:f>
      </x:c>
      <x:c r="L45" s="22"/>
      <x:c r="M45" s="22"/>
      <x:c r="N45" s="22"/>
      <x:c r="O45" s="24"/>
      <x:c r="P45" s="22"/>
      <x:c r="Q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 t="str">
        <x:f>IF(COUNT(D46:H46)&lt;5,"",SUM(D46:H46))</x:f>
      </x:c>
      <x:c r="J46" s="23" t="str">
        <x:f>IF(I46="","",I46/5)</x:f>
      </x:c>
      <x:c r="K46" s="22" t="str">
        <x:f>IF(J46="","",IF(J46&gt;=8,"Critical",IF(J46&gt;=6,"High",IF(J46&gt;=4,"Moderate","Low"))))</x:f>
      </x:c>
      <x:c r="L46" s="22"/>
      <x:c r="M46" s="22"/>
      <x:c r="N46" s="22"/>
      <x:c r="O46" s="24"/>
      <x:c r="P46" s="22"/>
      <x:c r="Q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 t="str">
        <x:f>IF(COUNT(D47:H47)&lt;5,"",SUM(D47:H47))</x:f>
      </x:c>
      <x:c r="J47" s="23" t="str">
        <x:f>IF(I47="","",I47/5)</x:f>
      </x:c>
      <x:c r="K47" s="22" t="str">
        <x:f>IF(J47="","",IF(J47&gt;=8,"Critical",IF(J47&gt;=6,"High",IF(J47&gt;=4,"Moderate","Low"))))</x:f>
      </x:c>
      <x:c r="L47" s="22"/>
      <x:c r="M47" s="22"/>
      <x:c r="N47" s="22"/>
      <x:c r="O47" s="24"/>
      <x:c r="P47" s="22"/>
      <x:c r="Q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 t="str">
        <x:f>IF(COUNT(D48:H48)&lt;5,"",SUM(D48:H48))</x:f>
      </x:c>
      <x:c r="J48" s="23" t="str">
        <x:f>IF(I48="","",I48/5)</x:f>
      </x:c>
      <x:c r="K48" s="22" t="str">
        <x:f>IF(J48="","",IF(J48&gt;=8,"Critical",IF(J48&gt;=6,"High",IF(J48&gt;=4,"Moderate","Low"))))</x:f>
      </x:c>
      <x:c r="L48" s="22"/>
      <x:c r="M48" s="22"/>
      <x:c r="N48" s="22"/>
      <x:c r="O48" s="24"/>
      <x:c r="P48" s="22"/>
      <x:c r="Q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 t="str">
        <x:f>IF(COUNT(D49:H49)&lt;5,"",SUM(D49:H49))</x:f>
      </x:c>
      <x:c r="J49" s="23" t="str">
        <x:f>IF(I49="","",I49/5)</x:f>
      </x:c>
      <x:c r="K49" s="22" t="str">
        <x:f>IF(J49="","",IF(J49&gt;=8,"Critical",IF(J49&gt;=6,"High",IF(J49&gt;=4,"Moderate","Low"))))</x:f>
      </x:c>
      <x:c r="L49" s="22"/>
      <x:c r="M49" s="22"/>
      <x:c r="N49" s="22"/>
      <x:c r="O49" s="24"/>
      <x:c r="P49" s="22"/>
      <x:c r="Q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 t="str">
        <x:f>IF(COUNT(D50:H50)&lt;5,"",SUM(D50:H50))</x:f>
      </x:c>
      <x:c r="J50" s="23" t="str">
        <x:f>IF(I50="","",I50/5)</x:f>
      </x:c>
      <x:c r="K50" s="22" t="str">
        <x:f>IF(J50="","",IF(J50&gt;=8,"Critical",IF(J50&gt;=6,"High",IF(J50&gt;=4,"Moderate","Low"))))</x:f>
      </x:c>
      <x:c r="L50" s="22"/>
      <x:c r="M50" s="22"/>
      <x:c r="N50" s="22"/>
      <x:c r="O50" s="24"/>
      <x:c r="P50" s="22"/>
      <x:c r="Q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 t="str">
        <x:f>IF(COUNT(D51:H51)&lt;5,"",SUM(D51:H51))</x:f>
      </x:c>
      <x:c r="J51" s="23" t="str">
        <x:f>IF(I51="","",I51/5)</x:f>
      </x:c>
      <x:c r="K51" s="22" t="str">
        <x:f>IF(J51="","",IF(J51&gt;=8,"Critical",IF(J51&gt;=6,"High",IF(J51&gt;=4,"Moderate","Low"))))</x:f>
      </x:c>
      <x:c r="L51" s="22"/>
      <x:c r="M51" s="22"/>
      <x:c r="N51" s="22"/>
      <x:c r="O51" s="24"/>
      <x:c r="P51" s="22"/>
      <x:c r="Q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 t="str">
        <x:f>IF(COUNT(D52:H52)&lt;5,"",SUM(D52:H52))</x:f>
      </x:c>
      <x:c r="J52" s="23" t="str">
        <x:f>IF(I52="","",I52/5)</x:f>
      </x:c>
      <x:c r="K52" s="22" t="str">
        <x:f>IF(J52="","",IF(J52&gt;=8,"Critical",IF(J52&gt;=6,"High",IF(J52&gt;=4,"Moderate","Low"))))</x:f>
      </x:c>
      <x:c r="L52" s="22"/>
      <x:c r="M52" s="22"/>
      <x:c r="N52" s="22"/>
      <x:c r="O52" s="24"/>
      <x:c r="P52" s="22"/>
      <x:c r="Q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 t="str">
        <x:f>IF(COUNT(D53:H53)&lt;5,"",SUM(D53:H53))</x:f>
      </x:c>
      <x:c r="J53" s="23" t="str">
        <x:f>IF(I53="","",I53/5)</x:f>
      </x:c>
      <x:c r="K53" s="22" t="str">
        <x:f>IF(J53="","",IF(J53&gt;=8,"Critical",IF(J53&gt;=6,"High",IF(J53&gt;=4,"Moderate","Low"))))</x:f>
      </x:c>
      <x:c r="L53" s="22"/>
      <x:c r="M53" s="22"/>
      <x:c r="N53" s="22"/>
      <x:c r="O53" s="24"/>
      <x:c r="P53" s="22"/>
      <x:c r="Q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 t="str">
        <x:f>IF(COUNT(D54:H54)&lt;5,"",SUM(D54:H54))</x:f>
      </x:c>
      <x:c r="J54" s="23" t="str">
        <x:f>IF(I54="","",I54/5)</x:f>
      </x:c>
      <x:c r="K54" s="22" t="str">
        <x:f>IF(J54="","",IF(J54&gt;=8,"Critical",IF(J54&gt;=6,"High",IF(J54&gt;=4,"Moderate","Low"))))</x:f>
      </x:c>
      <x:c r="L54" s="22"/>
      <x:c r="M54" s="22"/>
      <x:c r="N54" s="22"/>
      <x:c r="O54" s="24"/>
      <x:c r="P54" s="22"/>
      <x:c r="Q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 t="str">
        <x:f>IF(COUNT(D55:H55)&lt;5,"",SUM(D55:H55))</x:f>
      </x:c>
      <x:c r="J55" s="23" t="str">
        <x:f>IF(I55="","",I55/5)</x:f>
      </x:c>
      <x:c r="K55" s="22" t="str">
        <x:f>IF(J55="","",IF(J55&gt;=8,"Critical",IF(J55&gt;=6,"High",IF(J55&gt;=4,"Moderate","Low"))))</x:f>
      </x:c>
      <x:c r="L55" s="22"/>
      <x:c r="M55" s="22"/>
      <x:c r="N55" s="22"/>
      <x:c r="O55" s="24"/>
      <x:c r="P55" s="22"/>
      <x:c r="Q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 t="str">
        <x:f>IF(COUNT(D56:H56)&lt;5,"",SUM(D56:H56))</x:f>
      </x:c>
      <x:c r="J56" s="23" t="str">
        <x:f>IF(I56="","",I56/5)</x:f>
      </x:c>
      <x:c r="K56" s="22" t="str">
        <x:f>IF(J56="","",IF(J56&gt;=8,"Critical",IF(J56&gt;=6,"High",IF(J56&gt;=4,"Moderate","Low"))))</x:f>
      </x:c>
      <x:c r="L56" s="22"/>
      <x:c r="M56" s="22"/>
      <x:c r="N56" s="22"/>
      <x:c r="O56" s="24"/>
      <x:c r="P56" s="22"/>
      <x:c r="Q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 t="str">
        <x:f>IF(COUNT(D57:H57)&lt;5,"",SUM(D57:H57))</x:f>
      </x:c>
      <x:c r="J57" s="23" t="str">
        <x:f>IF(I57="","",I57/5)</x:f>
      </x:c>
      <x:c r="K57" s="22" t="str">
        <x:f>IF(J57="","",IF(J57&gt;=8,"Critical",IF(J57&gt;=6,"High",IF(J57&gt;=4,"Moderate","Low"))))</x:f>
      </x:c>
      <x:c r="L57" s="22"/>
      <x:c r="M57" s="22"/>
      <x:c r="N57" s="22"/>
      <x:c r="O57" s="24"/>
      <x:c r="P57" s="22"/>
      <x:c r="Q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 t="str">
        <x:f>IF(COUNT(D58:H58)&lt;5,"",SUM(D58:H58))</x:f>
      </x:c>
      <x:c r="J58" s="23" t="str">
        <x:f>IF(I58="","",I58/5)</x:f>
      </x:c>
      <x:c r="K58" s="22" t="str">
        <x:f>IF(J58="","",IF(J58&gt;=8,"Critical",IF(J58&gt;=6,"High",IF(J58&gt;=4,"Moderate","Low"))))</x:f>
      </x:c>
      <x:c r="L58" s="22"/>
      <x:c r="M58" s="22"/>
      <x:c r="N58" s="22"/>
      <x:c r="O58" s="24"/>
      <x:c r="P58" s="22"/>
      <x:c r="Q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 t="str">
        <x:f>IF(COUNT(D59:H59)&lt;5,"",SUM(D59:H59))</x:f>
      </x:c>
      <x:c r="J59" s="23" t="str">
        <x:f>IF(I59="","",I59/5)</x:f>
      </x:c>
      <x:c r="K59" s="22" t="str">
        <x:f>IF(J59="","",IF(J59&gt;=8,"Critical",IF(J59&gt;=6,"High",IF(J59&gt;=4,"Moderate","Low"))))</x:f>
      </x:c>
      <x:c r="L59" s="22"/>
      <x:c r="M59" s="22"/>
      <x:c r="N59" s="22"/>
      <x:c r="O59" s="24"/>
      <x:c r="P59" s="22"/>
      <x:c r="Q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 t="str">
        <x:f>IF(COUNT(D60:H60)&lt;5,"",SUM(D60:H60))</x:f>
      </x:c>
      <x:c r="J60" s="23" t="str">
        <x:f>IF(I60="","",I60/5)</x:f>
      </x:c>
      <x:c r="K60" s="22" t="str">
        <x:f>IF(J60="","",IF(J60&gt;=8,"Critical",IF(J60&gt;=6,"High",IF(J60&gt;=4,"Moderate","Low"))))</x:f>
      </x:c>
      <x:c r="L60" s="22"/>
      <x:c r="M60" s="22"/>
      <x:c r="N60" s="22"/>
      <x:c r="O60" s="24"/>
      <x:c r="P60" s="22"/>
      <x:c r="Q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 t="str">
        <x:f>IF(COUNT(D61:H61)&lt;5,"",SUM(D61:H61))</x:f>
      </x:c>
      <x:c r="J61" s="23" t="str">
        <x:f>IF(I61="","",I61/5)</x:f>
      </x:c>
      <x:c r="K61" s="22" t="str">
        <x:f>IF(J61="","",IF(J61&gt;=8,"Critical",IF(J61&gt;=6,"High",IF(J61&gt;=4,"Moderate","Low"))))</x:f>
      </x:c>
      <x:c r="L61" s="22"/>
      <x:c r="M61" s="22"/>
      <x:c r="N61" s="22"/>
      <x:c r="O61" s="24"/>
      <x:c r="P61" s="22"/>
      <x:c r="Q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 t="str">
        <x:f>IF(COUNT(D62:H62)&lt;5,"",SUM(D62:H62))</x:f>
      </x:c>
      <x:c r="J62" s="23" t="str">
        <x:f>IF(I62="","",I62/5)</x:f>
      </x:c>
      <x:c r="K62" s="22" t="str">
        <x:f>IF(J62="","",IF(J62&gt;=8,"Critical",IF(J62&gt;=6,"High",IF(J62&gt;=4,"Moderate","Low"))))</x:f>
      </x:c>
      <x:c r="L62" s="22"/>
      <x:c r="M62" s="22"/>
      <x:c r="N62" s="22"/>
      <x:c r="O62" s="24"/>
      <x:c r="P62" s="22"/>
      <x:c r="Q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 t="str">
        <x:f>IF(COUNT(D63:H63)&lt;5,"",SUM(D63:H63))</x:f>
      </x:c>
      <x:c r="J63" s="23" t="str">
        <x:f>IF(I63="","",I63/5)</x:f>
      </x:c>
      <x:c r="K63" s="22" t="str">
        <x:f>IF(J63="","",IF(J63&gt;=8,"Critical",IF(J63&gt;=6,"High",IF(J63&gt;=4,"Moderate","Low"))))</x:f>
      </x:c>
      <x:c r="L63" s="22"/>
      <x:c r="M63" s="22"/>
      <x:c r="N63" s="22"/>
      <x:c r="O63" s="24"/>
      <x:c r="P63" s="22"/>
      <x:c r="Q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 t="str">
        <x:f>IF(COUNT(D64:H64)&lt;5,"",SUM(D64:H64))</x:f>
      </x:c>
      <x:c r="J64" s="23" t="str">
        <x:f>IF(I64="","",I64/5)</x:f>
      </x:c>
      <x:c r="K64" s="22" t="str">
        <x:f>IF(J64="","",IF(J64&gt;=8,"Critical",IF(J64&gt;=6,"High",IF(J64&gt;=4,"Moderate","Low"))))</x:f>
      </x:c>
      <x:c r="L64" s="22"/>
      <x:c r="M64" s="22"/>
      <x:c r="N64" s="22"/>
      <x:c r="O64" s="24"/>
      <x:c r="P64" s="22"/>
      <x:c r="Q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 t="str">
        <x:f>IF(COUNT(D65:H65)&lt;5,"",SUM(D65:H65))</x:f>
      </x:c>
      <x:c r="J65" s="23" t="str">
        <x:f>IF(I65="","",I65/5)</x:f>
      </x:c>
      <x:c r="K65" s="22" t="str">
        <x:f>IF(J65="","",IF(J65&gt;=8,"Critical",IF(J65&gt;=6,"High",IF(J65&gt;=4,"Moderate","Low"))))</x:f>
      </x:c>
      <x:c r="L65" s="22"/>
      <x:c r="M65" s="22"/>
      <x:c r="N65" s="22"/>
      <x:c r="O65" s="24"/>
      <x:c r="P65" s="22"/>
      <x:c r="Q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 t="str">
        <x:f>IF(COUNT(D66:H66)&lt;5,"",SUM(D66:H66))</x:f>
      </x:c>
      <x:c r="J66" s="23" t="str">
        <x:f>IF(I66="","",I66/5)</x:f>
      </x:c>
      <x:c r="K66" s="22" t="str">
        <x:f>IF(J66="","",IF(J66&gt;=8,"Critical",IF(J66&gt;=6,"High",IF(J66&gt;=4,"Moderate","Low"))))</x:f>
      </x:c>
      <x:c r="L66" s="22"/>
      <x:c r="M66" s="22"/>
      <x:c r="N66" s="22"/>
      <x:c r="O66" s="24"/>
      <x:c r="P66" s="22"/>
      <x:c r="Q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 t="str">
        <x:f>IF(COUNT(D67:H67)&lt;5,"",SUM(D67:H67))</x:f>
      </x:c>
      <x:c r="J67" s="23" t="str">
        <x:f>IF(I67="","",I67/5)</x:f>
      </x:c>
      <x:c r="K67" s="22" t="str">
        <x:f>IF(J67="","",IF(J67&gt;=8,"Critical",IF(J67&gt;=6,"High",IF(J67&gt;=4,"Moderate","Low"))))</x:f>
      </x:c>
      <x:c r="L67" s="22"/>
      <x:c r="M67" s="22"/>
      <x:c r="N67" s="22"/>
      <x:c r="O67" s="24"/>
      <x:c r="P67" s="22"/>
      <x:c r="Q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 t="str">
        <x:f>IF(COUNT(D68:H68)&lt;5,"",SUM(D68:H68))</x:f>
      </x:c>
      <x:c r="J68" s="23" t="str">
        <x:f>IF(I68="","",I68/5)</x:f>
      </x:c>
      <x:c r="K68" s="22" t="str">
        <x:f>IF(J68="","",IF(J68&gt;=8,"Critical",IF(J68&gt;=6,"High",IF(J68&gt;=4,"Moderate","Low"))))</x:f>
      </x:c>
      <x:c r="L68" s="22"/>
      <x:c r="M68" s="22"/>
      <x:c r="N68" s="22"/>
      <x:c r="O68" s="24"/>
      <x:c r="P68" s="22"/>
      <x:c r="Q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 t="str">
        <x:f>IF(COUNT(D69:H69)&lt;5,"",SUM(D69:H69))</x:f>
      </x:c>
      <x:c r="J69" s="23" t="str">
        <x:f>IF(I69="","",I69/5)</x:f>
      </x:c>
      <x:c r="K69" s="22" t="str">
        <x:f>IF(J69="","",IF(J69&gt;=8,"Critical",IF(J69&gt;=6,"High",IF(J69&gt;=4,"Moderate","Low"))))</x:f>
      </x:c>
      <x:c r="L69" s="22"/>
      <x:c r="M69" s="22"/>
      <x:c r="N69" s="22"/>
      <x:c r="O69" s="24"/>
      <x:c r="P69" s="22"/>
      <x:c r="Q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 t="str">
        <x:f>IF(COUNT(D70:H70)&lt;5,"",SUM(D70:H70))</x:f>
      </x:c>
      <x:c r="J70" s="23" t="str">
        <x:f>IF(I70="","",I70/5)</x:f>
      </x:c>
      <x:c r="K70" s="22" t="str">
        <x:f>IF(J70="","",IF(J70&gt;=8,"Critical",IF(J70&gt;=6,"High",IF(J70&gt;=4,"Moderate","Low"))))</x:f>
      </x:c>
      <x:c r="L70" s="22"/>
      <x:c r="M70" s="22"/>
      <x:c r="N70" s="22"/>
      <x:c r="O70" s="24"/>
      <x:c r="P70" s="22"/>
      <x:c r="Q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 t="str">
        <x:f>IF(COUNT(D71:H71)&lt;5,"",SUM(D71:H71))</x:f>
      </x:c>
      <x:c r="J71" s="23" t="str">
        <x:f>IF(I71="","",I71/5)</x:f>
      </x:c>
      <x:c r="K71" s="22" t="str">
        <x:f>IF(J71="","",IF(J71&gt;=8,"Critical",IF(J71&gt;=6,"High",IF(J71&gt;=4,"Moderate","Low"))))</x:f>
      </x:c>
      <x:c r="L71" s="22"/>
      <x:c r="M71" s="22"/>
      <x:c r="N71" s="22"/>
      <x:c r="O71" s="24"/>
      <x:c r="P71" s="22"/>
      <x:c r="Q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 t="str">
        <x:f>IF(COUNT(D72:H72)&lt;5,"",SUM(D72:H72))</x:f>
      </x:c>
      <x:c r="J72" s="23" t="str">
        <x:f>IF(I72="","",I72/5)</x:f>
      </x:c>
      <x:c r="K72" s="22" t="str">
        <x:f>IF(J72="","",IF(J72&gt;=8,"Critical",IF(J72&gt;=6,"High",IF(J72&gt;=4,"Moderate","Low"))))</x:f>
      </x:c>
      <x:c r="L72" s="22"/>
      <x:c r="M72" s="22"/>
      <x:c r="N72" s="22"/>
      <x:c r="O72" s="24"/>
      <x:c r="P72" s="22"/>
      <x:c r="Q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 t="str">
        <x:f>IF(COUNT(D73:H73)&lt;5,"",SUM(D73:H73))</x:f>
      </x:c>
      <x:c r="J73" s="23" t="str">
        <x:f>IF(I73="","",I73/5)</x:f>
      </x:c>
      <x:c r="K73" s="22" t="str">
        <x:f>IF(J73="","",IF(J73&gt;=8,"Critical",IF(J73&gt;=6,"High",IF(J73&gt;=4,"Moderate","Low"))))</x:f>
      </x:c>
      <x:c r="L73" s="22"/>
      <x:c r="M73" s="22"/>
      <x:c r="N73" s="22"/>
      <x:c r="O73" s="24"/>
      <x:c r="P73" s="22"/>
      <x:c r="Q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 t="str">
        <x:f>IF(COUNT(D74:H74)&lt;5,"",SUM(D74:H74))</x:f>
      </x:c>
      <x:c r="J74" s="23" t="str">
        <x:f>IF(I74="","",I74/5)</x:f>
      </x:c>
      <x:c r="K74" s="22" t="str">
        <x:f>IF(J74="","",IF(J74&gt;=8,"Critical",IF(J74&gt;=6,"High",IF(J74&gt;=4,"Moderate","Low"))))</x:f>
      </x:c>
      <x:c r="L74" s="22"/>
      <x:c r="M74" s="22"/>
      <x:c r="N74" s="22"/>
      <x:c r="O74" s="24"/>
      <x:c r="P74" s="22"/>
      <x:c r="Q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 t="str">
        <x:f>IF(COUNT(D75:H75)&lt;5,"",SUM(D75:H75))</x:f>
      </x:c>
      <x:c r="J75" s="23" t="str">
        <x:f>IF(I75="","",I75/5)</x:f>
      </x:c>
      <x:c r="K75" s="22" t="str">
        <x:f>IF(J75="","",IF(J75&gt;=8,"Critical",IF(J75&gt;=6,"High",IF(J75&gt;=4,"Moderate","Low"))))</x:f>
      </x:c>
      <x:c r="L75" s="22"/>
      <x:c r="M75" s="22"/>
      <x:c r="N75" s="22"/>
      <x:c r="O75" s="24"/>
      <x:c r="P75" s="22"/>
      <x:c r="Q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 t="str">
        <x:f>IF(COUNT(D76:H76)&lt;5,"",SUM(D76:H76))</x:f>
      </x:c>
      <x:c r="J76" s="23" t="str">
        <x:f>IF(I76="","",I76/5)</x:f>
      </x:c>
      <x:c r="K76" s="22" t="str">
        <x:f>IF(J76="","",IF(J76&gt;=8,"Critical",IF(J76&gt;=6,"High",IF(J76&gt;=4,"Moderate","Low"))))</x:f>
      </x:c>
      <x:c r="L76" s="22"/>
      <x:c r="M76" s="22"/>
      <x:c r="N76" s="22"/>
      <x:c r="O76" s="24"/>
      <x:c r="P76" s="22"/>
      <x:c r="Q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 t="str">
        <x:f>IF(COUNT(D77:H77)&lt;5,"",SUM(D77:H77))</x:f>
      </x:c>
      <x:c r="J77" s="23" t="str">
        <x:f>IF(I77="","",I77/5)</x:f>
      </x:c>
      <x:c r="K77" s="22" t="str">
        <x:f>IF(J77="","",IF(J77&gt;=8,"Critical",IF(J77&gt;=6,"High",IF(J77&gt;=4,"Moderate","Low"))))</x:f>
      </x:c>
      <x:c r="L77" s="22"/>
      <x:c r="M77" s="22"/>
      <x:c r="N77" s="22"/>
      <x:c r="O77" s="24"/>
      <x:c r="P77" s="22"/>
      <x:c r="Q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 t="str">
        <x:f>IF(COUNT(D78:H78)&lt;5,"",SUM(D78:H78))</x:f>
      </x:c>
      <x:c r="J78" s="23" t="str">
        <x:f>IF(I78="","",I78/5)</x:f>
      </x:c>
      <x:c r="K78" s="22" t="str">
        <x:f>IF(J78="","",IF(J78&gt;=8,"Critical",IF(J78&gt;=6,"High",IF(J78&gt;=4,"Moderate","Low"))))</x:f>
      </x:c>
      <x:c r="L78" s="22"/>
      <x:c r="M78" s="22"/>
      <x:c r="N78" s="22"/>
      <x:c r="O78" s="24"/>
      <x:c r="P78" s="22"/>
      <x:c r="Q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 t="str">
        <x:f>IF(COUNT(D79:H79)&lt;5,"",SUM(D79:H79))</x:f>
      </x:c>
      <x:c r="J79" s="23" t="str">
        <x:f>IF(I79="","",I79/5)</x:f>
      </x:c>
      <x:c r="K79" s="22" t="str">
        <x:f>IF(J79="","",IF(J79&gt;=8,"Critical",IF(J79&gt;=6,"High",IF(J79&gt;=4,"Moderate","Low"))))</x:f>
      </x:c>
      <x:c r="L79" s="22"/>
      <x:c r="M79" s="22"/>
      <x:c r="N79" s="22"/>
      <x:c r="O79" s="24"/>
      <x:c r="P79" s="22"/>
      <x:c r="Q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 t="str">
        <x:f>IF(COUNT(D80:H80)&lt;5,"",SUM(D80:H80))</x:f>
      </x:c>
      <x:c r="J80" s="23" t="str">
        <x:f>IF(I80="","",I80/5)</x:f>
      </x:c>
      <x:c r="K80" s="22" t="str">
        <x:f>IF(J80="","",IF(J80&gt;=8,"Critical",IF(J80&gt;=6,"High",IF(J80&gt;=4,"Moderate","Low"))))</x:f>
      </x:c>
      <x:c r="L80" s="22"/>
      <x:c r="M80" s="22"/>
      <x:c r="N80" s="22"/>
      <x:c r="O80" s="24"/>
      <x:c r="P80" s="22"/>
      <x:c r="Q80" s="22"/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22" t="str">
        <x:f>IF(COUNT(D81:H81)&lt;5,"",SUM(D81:H81))</x:f>
      </x:c>
      <x:c r="J81" s="23" t="str">
        <x:f>IF(I81="","",I81/5)</x:f>
      </x:c>
      <x:c r="K81" s="22" t="str">
        <x:f>IF(J81="","",IF(J81&gt;=8,"Critical",IF(J81&gt;=6,"High",IF(J81&gt;=4,"Moderate","Low"))))</x:f>
      </x:c>
      <x:c r="L81" s="22"/>
      <x:c r="M81" s="22"/>
      <x:c r="N81" s="22"/>
      <x:c r="O81" s="24"/>
      <x:c r="P81" s="22"/>
      <x:c r="Q81" s="22"/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22" t="str">
        <x:f>IF(COUNT(D82:H82)&lt;5,"",SUM(D82:H82))</x:f>
      </x:c>
      <x:c r="J82" s="23" t="str">
        <x:f>IF(I82="","",I82/5)</x:f>
      </x:c>
      <x:c r="K82" s="22" t="str">
        <x:f>IF(J82="","",IF(J82&gt;=8,"Critical",IF(J82&gt;=6,"High",IF(J82&gt;=4,"Moderate","Low"))))</x:f>
      </x:c>
      <x:c r="L82" s="22"/>
      <x:c r="M82" s="22"/>
      <x:c r="N82" s="22"/>
      <x:c r="O82" s="24"/>
      <x:c r="P82" s="22"/>
      <x:c r="Q82" s="22"/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22" t="str">
        <x:f>IF(COUNT(D83:H83)&lt;5,"",SUM(D83:H83))</x:f>
      </x:c>
      <x:c r="J83" s="23" t="str">
        <x:f>IF(I83="","",I83/5)</x:f>
      </x:c>
      <x:c r="K83" s="22" t="str">
        <x:f>IF(J83="","",IF(J83&gt;=8,"Critical",IF(J83&gt;=6,"High",IF(J83&gt;=4,"Moderate","Low"))))</x:f>
      </x:c>
      <x:c r="L83" s="22"/>
      <x:c r="M83" s="22"/>
      <x:c r="N83" s="22"/>
      <x:c r="O83" s="24"/>
      <x:c r="P83" s="22"/>
      <x:c r="Q83" s="22"/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22" t="str">
        <x:f>IF(COUNT(D84:H84)&lt;5,"",SUM(D84:H84))</x:f>
      </x:c>
      <x:c r="J84" s="23" t="str">
        <x:f>IF(I84="","",I84/5)</x:f>
      </x:c>
      <x:c r="K84" s="22" t="str">
        <x:f>IF(J84="","",IF(J84&gt;=8,"Critical",IF(J84&gt;=6,"High",IF(J84&gt;=4,"Moderate","Low"))))</x:f>
      </x:c>
      <x:c r="L84" s="22"/>
      <x:c r="M84" s="22"/>
      <x:c r="N84" s="22"/>
      <x:c r="O84" s="24"/>
      <x:c r="P84" s="22"/>
      <x:c r="Q84" s="22"/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22" t="str">
        <x:f>IF(COUNT(D85:H85)&lt;5,"",SUM(D85:H85))</x:f>
      </x:c>
      <x:c r="J85" s="23" t="str">
        <x:f>IF(I85="","",I85/5)</x:f>
      </x:c>
      <x:c r="K85" s="22" t="str">
        <x:f>IF(J85="","",IF(J85&gt;=8,"Critical",IF(J85&gt;=6,"High",IF(J85&gt;=4,"Moderate","Low"))))</x:f>
      </x:c>
      <x:c r="L85" s="22"/>
      <x:c r="M85" s="22"/>
      <x:c r="N85" s="22"/>
      <x:c r="O85" s="24"/>
      <x:c r="P85" s="22"/>
      <x:c r="Q85" s="22"/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22" t="str">
        <x:f>IF(COUNT(D86:H86)&lt;5,"",SUM(D86:H86))</x:f>
      </x:c>
      <x:c r="J86" s="23" t="str">
        <x:f>IF(I86="","",I86/5)</x:f>
      </x:c>
      <x:c r="K86" s="22" t="str">
        <x:f>IF(J86="","",IF(J86&gt;=8,"Critical",IF(J86&gt;=6,"High",IF(J86&gt;=4,"Moderate","Low"))))</x:f>
      </x:c>
      <x:c r="L86" s="22"/>
      <x:c r="M86" s="22"/>
      <x:c r="N86" s="22"/>
      <x:c r="O86" s="24"/>
      <x:c r="P86" s="22"/>
      <x:c r="Q86" s="22"/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22" t="str">
        <x:f>IF(COUNT(D87:H87)&lt;5,"",SUM(D87:H87))</x:f>
      </x:c>
      <x:c r="J87" s="23" t="str">
        <x:f>IF(I87="","",I87/5)</x:f>
      </x:c>
      <x:c r="K87" s="22" t="str">
        <x:f>IF(J87="","",IF(J87&gt;=8,"Critical",IF(J87&gt;=6,"High",IF(J87&gt;=4,"Moderate","Low"))))</x:f>
      </x:c>
      <x:c r="L87" s="22"/>
      <x:c r="M87" s="22"/>
      <x:c r="N87" s="22"/>
      <x:c r="O87" s="24"/>
      <x:c r="P87" s="22"/>
      <x:c r="Q87" s="22"/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22" t="str">
        <x:f>IF(COUNT(D88:H88)&lt;5,"",SUM(D88:H88))</x:f>
      </x:c>
      <x:c r="J88" s="23" t="str">
        <x:f>IF(I88="","",I88/5)</x:f>
      </x:c>
      <x:c r="K88" s="22" t="str">
        <x:f>IF(J88="","",IF(J88&gt;=8,"Critical",IF(J88&gt;=6,"High",IF(J88&gt;=4,"Moderate","Low"))))</x:f>
      </x:c>
      <x:c r="L88" s="22"/>
      <x:c r="M88" s="22"/>
      <x:c r="N88" s="22"/>
      <x:c r="O88" s="24"/>
      <x:c r="P88" s="22"/>
      <x:c r="Q88" s="22"/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22" t="str">
        <x:f>IF(COUNT(D89:H89)&lt;5,"",SUM(D89:H89))</x:f>
      </x:c>
      <x:c r="J89" s="23" t="str">
        <x:f>IF(I89="","",I89/5)</x:f>
      </x:c>
      <x:c r="K89" s="22" t="str">
        <x:f>IF(J89="","",IF(J89&gt;=8,"Critical",IF(J89&gt;=6,"High",IF(J89&gt;=4,"Moderate","Low"))))</x:f>
      </x:c>
      <x:c r="L89" s="22"/>
      <x:c r="M89" s="22"/>
      <x:c r="N89" s="22"/>
      <x:c r="O89" s="24"/>
      <x:c r="P89" s="22"/>
      <x:c r="Q89" s="22"/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22" t="str">
        <x:f>IF(COUNT(D90:H90)&lt;5,"",SUM(D90:H90))</x:f>
      </x:c>
      <x:c r="J90" s="23" t="str">
        <x:f>IF(I90="","",I90/5)</x:f>
      </x:c>
      <x:c r="K90" s="22" t="str">
        <x:f>IF(J90="","",IF(J90&gt;=8,"Critical",IF(J90&gt;=6,"High",IF(J90&gt;=4,"Moderate","Low"))))</x:f>
      </x:c>
      <x:c r="L90" s="22"/>
      <x:c r="M90" s="22"/>
      <x:c r="N90" s="22"/>
      <x:c r="O90" s="24"/>
      <x:c r="P90" s="22"/>
      <x:c r="Q90" s="22"/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22" t="str">
        <x:f>IF(COUNT(D91:H91)&lt;5,"",SUM(D91:H91))</x:f>
      </x:c>
      <x:c r="J91" s="23" t="str">
        <x:f>IF(I91="","",I91/5)</x:f>
      </x:c>
      <x:c r="K91" s="22" t="str">
        <x:f>IF(J91="","",IF(J91&gt;=8,"Critical",IF(J91&gt;=6,"High",IF(J91&gt;=4,"Moderate","Low"))))</x:f>
      </x:c>
      <x:c r="L91" s="22"/>
      <x:c r="M91" s="22"/>
      <x:c r="N91" s="22"/>
      <x:c r="O91" s="24"/>
      <x:c r="P91" s="22"/>
      <x:c r="Q91" s="22"/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22" t="str">
        <x:f>IF(COUNT(D92:H92)&lt;5,"",SUM(D92:H92))</x:f>
      </x:c>
      <x:c r="J92" s="23" t="str">
        <x:f>IF(I92="","",I92/5)</x:f>
      </x:c>
      <x:c r="K92" s="22" t="str">
        <x:f>IF(J92="","",IF(J92&gt;=8,"Critical",IF(J92&gt;=6,"High",IF(J92&gt;=4,"Moderate","Low"))))</x:f>
      </x:c>
      <x:c r="L92" s="22"/>
      <x:c r="M92" s="22"/>
      <x:c r="N92" s="22"/>
      <x:c r="O92" s="24"/>
      <x:c r="P92" s="22"/>
      <x:c r="Q92" s="22"/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22" t="str">
        <x:f>IF(COUNT(D93:H93)&lt;5,"",SUM(D93:H93))</x:f>
      </x:c>
      <x:c r="J93" s="23" t="str">
        <x:f>IF(I93="","",I93/5)</x:f>
      </x:c>
      <x:c r="K93" s="22" t="str">
        <x:f>IF(J93="","",IF(J93&gt;=8,"Critical",IF(J93&gt;=6,"High",IF(J93&gt;=4,"Moderate","Low"))))</x:f>
      </x:c>
      <x:c r="L93" s="22"/>
      <x:c r="M93" s="22"/>
      <x:c r="N93" s="22"/>
      <x:c r="O93" s="24"/>
      <x:c r="P93" s="22"/>
      <x:c r="Q93" s="22"/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22" t="str">
        <x:f>IF(COUNT(D94:H94)&lt;5,"",SUM(D94:H94))</x:f>
      </x:c>
      <x:c r="J94" s="23" t="str">
        <x:f>IF(I94="","",I94/5)</x:f>
      </x:c>
      <x:c r="K94" s="22" t="str">
        <x:f>IF(J94="","",IF(J94&gt;=8,"Critical",IF(J94&gt;=6,"High",IF(J94&gt;=4,"Moderate","Low"))))</x:f>
      </x:c>
      <x:c r="L94" s="22"/>
      <x:c r="M94" s="22"/>
      <x:c r="N94" s="22"/>
      <x:c r="O94" s="24"/>
      <x:c r="P94" s="22"/>
      <x:c r="Q94" s="22"/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22" t="str">
        <x:f>IF(COUNT(D95:H95)&lt;5,"",SUM(D95:H95))</x:f>
      </x:c>
      <x:c r="J95" s="23" t="str">
        <x:f>IF(I95="","",I95/5)</x:f>
      </x:c>
      <x:c r="K95" s="22" t="str">
        <x:f>IF(J95="","",IF(J95&gt;=8,"Critical",IF(J95&gt;=6,"High",IF(J95&gt;=4,"Moderate","Low"))))</x:f>
      </x:c>
      <x:c r="L95" s="22"/>
      <x:c r="M95" s="22"/>
      <x:c r="N95" s="22"/>
      <x:c r="O95" s="24"/>
      <x:c r="P95" s="22"/>
      <x:c r="Q95" s="22"/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22" t="str">
        <x:f>IF(COUNT(D96:H96)&lt;5,"",SUM(D96:H96))</x:f>
      </x:c>
      <x:c r="J96" s="23" t="str">
        <x:f>IF(I96="","",I96/5)</x:f>
      </x:c>
      <x:c r="K96" s="22" t="str">
        <x:f>IF(J96="","",IF(J96&gt;=8,"Critical",IF(J96&gt;=6,"High",IF(J96&gt;=4,"Moderate","Low"))))</x:f>
      </x:c>
      <x:c r="L96" s="22"/>
      <x:c r="M96" s="22"/>
      <x:c r="N96" s="22"/>
      <x:c r="O96" s="24"/>
      <x:c r="P96" s="22"/>
      <x:c r="Q96" s="22"/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22" t="str">
        <x:f>IF(COUNT(D97:H97)&lt;5,"",SUM(D97:H97))</x:f>
      </x:c>
      <x:c r="J97" s="23" t="str">
        <x:f>IF(I97="","",I97/5)</x:f>
      </x:c>
      <x:c r="K97" s="22" t="str">
        <x:f>IF(J97="","",IF(J97&gt;=8,"Critical",IF(J97&gt;=6,"High",IF(J97&gt;=4,"Moderate","Low"))))</x:f>
      </x:c>
      <x:c r="L97" s="22"/>
      <x:c r="M97" s="22"/>
      <x:c r="N97" s="22"/>
      <x:c r="O97" s="24"/>
      <x:c r="P97" s="22"/>
      <x:c r="Q97" s="22"/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22" t="str">
        <x:f>IF(COUNT(D98:H98)&lt;5,"",SUM(D98:H98))</x:f>
      </x:c>
      <x:c r="J98" s="23" t="str">
        <x:f>IF(I98="","",I98/5)</x:f>
      </x:c>
      <x:c r="K98" s="22" t="str">
        <x:f>IF(J98="","",IF(J98&gt;=8,"Critical",IF(J98&gt;=6,"High",IF(J98&gt;=4,"Moderate","Low"))))</x:f>
      </x:c>
      <x:c r="L98" s="22"/>
      <x:c r="M98" s="22"/>
      <x:c r="N98" s="22"/>
      <x:c r="O98" s="24"/>
      <x:c r="P98" s="22"/>
      <x:c r="Q98" s="22"/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22" t="str">
        <x:f>IF(COUNT(D99:H99)&lt;5,"",SUM(D99:H99))</x:f>
      </x:c>
      <x:c r="J99" s="23" t="str">
        <x:f>IF(I99="","",I99/5)</x:f>
      </x:c>
      <x:c r="K99" s="22" t="str">
        <x:f>IF(J99="","",IF(J99&gt;=8,"Critical",IF(J99&gt;=6,"High",IF(J99&gt;=4,"Moderate","Low"))))</x:f>
      </x:c>
      <x:c r="L99" s="22"/>
      <x:c r="M99" s="22"/>
      <x:c r="N99" s="22"/>
      <x:c r="O99" s="24"/>
      <x:c r="P99" s="22"/>
      <x:c r="Q99" s="22"/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22" t="str">
        <x:f>IF(COUNT(D100:H100)&lt;5,"",SUM(D100:H100))</x:f>
      </x:c>
      <x:c r="J100" s="23" t="str">
        <x:f>IF(I100="","",I100/5)</x:f>
      </x:c>
      <x:c r="K100" s="22" t="str">
        <x:f>IF(J100="","",IF(J100&gt;=8,"Critical",IF(J100&gt;=6,"High",IF(J100&gt;=4,"Moderate","Low"))))</x:f>
      </x:c>
      <x:c r="L100" s="22"/>
      <x:c r="M100" s="22"/>
      <x:c r="N100" s="22"/>
      <x:c r="O100" s="24"/>
      <x:c r="P100" s="22"/>
      <x:c r="Q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 t="str">
        <x:f>IF(COUNT(D101:H101)&lt;5,"",SUM(D101:H101))</x:f>
      </x:c>
      <x:c r="J101" s="23" t="str">
        <x:f>IF(I101="","",I101/5)</x:f>
      </x:c>
      <x:c r="K101" s="22" t="str">
        <x:f>IF(J101="","",IF(J101&gt;=8,"Critical",IF(J101&gt;=6,"High",IF(J101&gt;=4,"Moderate","Low"))))</x:f>
      </x:c>
      <x:c r="L101" s="22"/>
      <x:c r="M101" s="22"/>
      <x:c r="N101" s="22"/>
      <x:c r="O101" s="24"/>
      <x:c r="P101" s="22"/>
      <x:c r="Q101" s="22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 t="str">
        <x:f>IF(COUNT(D102:H102)&lt;5,"",SUM(D102:H102))</x:f>
      </x:c>
      <x:c r="J102" s="23" t="str">
        <x:f>IF(I102="","",I102/5)</x:f>
      </x:c>
      <x:c r="K102" s="22" t="str">
        <x:f>IF(J102="","",IF(J102&gt;=8,"Critical",IF(J102&gt;=6,"High",IF(J102&gt;=4,"Moderate","Low"))))</x:f>
      </x:c>
      <x:c r="L102" s="22"/>
      <x:c r="M102" s="22"/>
      <x:c r="N102" s="22"/>
      <x:c r="O102" s="24"/>
      <x:c r="P102" s="22"/>
      <x:c r="Q102" s="22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 t="str">
        <x:f>IF(COUNT(D103:H103)&lt;5,"",SUM(D103:H103))</x:f>
      </x:c>
      <x:c r="J103" s="23" t="str">
        <x:f>IF(I103="","",I103/5)</x:f>
      </x:c>
      <x:c r="K103" s="22" t="str">
        <x:f>IF(J103="","",IF(J103&gt;=8,"Critical",IF(J103&gt;=6,"High",IF(J103&gt;=4,"Moderate","Low"))))</x:f>
      </x:c>
      <x:c r="L103" s="22"/>
      <x:c r="M103" s="22"/>
      <x:c r="N103" s="22"/>
      <x:c r="O103" s="24"/>
      <x:c r="P103" s="22"/>
      <x:c r="Q103" s="22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 t="str">
        <x:f>IF(COUNT(D104:H104)&lt;5,"",SUM(D104:H104))</x:f>
      </x:c>
      <x:c r="J104" s="23" t="str">
        <x:f>IF(I104="","",I104/5)</x:f>
      </x:c>
      <x:c r="K104" s="22" t="str">
        <x:f>IF(J104="","",IF(J104&gt;=8,"Critical",IF(J104&gt;=6,"High",IF(J104&gt;=4,"Moderate","Low"))))</x:f>
      </x:c>
      <x:c r="L104" s="22"/>
      <x:c r="M104" s="22"/>
      <x:c r="N104" s="22"/>
      <x:c r="O104" s="24"/>
      <x:c r="P104" s="22"/>
      <x:c r="Q104" s="22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 t="str">
        <x:f>IF(COUNT(D105:H105)&lt;5,"",SUM(D105:H105))</x:f>
      </x:c>
      <x:c r="J105" s="23" t="str">
        <x:f>IF(I105="","",I105/5)</x:f>
      </x:c>
      <x:c r="K105" s="22" t="str">
        <x:f>IF(J105="","",IF(J105&gt;=8,"Critical",IF(J105&gt;=6,"High",IF(J105&gt;=4,"Moderate","Low"))))</x:f>
      </x:c>
      <x:c r="L105" s="22"/>
      <x:c r="M105" s="22"/>
      <x:c r="N105" s="22"/>
      <x:c r="O105" s="24"/>
      <x:c r="P105" s="22"/>
      <x:c r="Q105" s="22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 t="str">
        <x:f>IF(COUNT(D106:H106)&lt;5,"",SUM(D106:H106))</x:f>
      </x:c>
      <x:c r="J106" s="23" t="str">
        <x:f>IF(I106="","",I106/5)</x:f>
      </x:c>
      <x:c r="K106" s="22" t="str">
        <x:f>IF(J106="","",IF(J106&gt;=8,"Critical",IF(J106&gt;=6,"High",IF(J106&gt;=4,"Moderate","Low"))))</x:f>
      </x:c>
      <x:c r="L106" s="22"/>
      <x:c r="M106" s="22"/>
      <x:c r="N106" s="22"/>
      <x:c r="O106" s="24"/>
      <x:c r="P106" s="22"/>
      <x:c r="Q106" s="22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 t="str">
        <x:f>IF(COUNT(D107:H107)&lt;5,"",SUM(D107:H107))</x:f>
      </x:c>
      <x:c r="J107" s="23" t="str">
        <x:f>IF(I107="","",I107/5)</x:f>
      </x:c>
      <x:c r="K107" s="22" t="str">
        <x:f>IF(J107="","",IF(J107&gt;=8,"Critical",IF(J107&gt;=6,"High",IF(J107&gt;=4,"Moderate","Low"))))</x:f>
      </x:c>
      <x:c r="L107" s="22"/>
      <x:c r="M107" s="22"/>
      <x:c r="N107" s="22"/>
      <x:c r="O107" s="24"/>
      <x:c r="P107" s="22"/>
      <x:c r="Q107" s="22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 t="str">
        <x:f>IF(COUNT(D108:H108)&lt;5,"",SUM(D108:H108))</x:f>
      </x:c>
      <x:c r="J108" s="23" t="str">
        <x:f>IF(I108="","",I108/5)</x:f>
      </x:c>
      <x:c r="K108" s="22" t="str">
        <x:f>IF(J108="","",IF(J108&gt;=8,"Critical",IF(J108&gt;=6,"High",IF(J108&gt;=4,"Moderate","Low"))))</x:f>
      </x:c>
      <x:c r="L108" s="22"/>
      <x:c r="M108" s="22"/>
      <x:c r="N108" s="22"/>
      <x:c r="O108" s="24"/>
      <x:c r="P108" s="22"/>
      <x:c r="Q108" s="22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 t="str">
        <x:f>IF(COUNT(D109:H109)&lt;5,"",SUM(D109:H109))</x:f>
      </x:c>
      <x:c r="J109" s="23" t="str">
        <x:f>IF(I109="","",I109/5)</x:f>
      </x:c>
      <x:c r="K109" s="22" t="str">
        <x:f>IF(J109="","",IF(J109&gt;=8,"Critical",IF(J109&gt;=6,"High",IF(J109&gt;=4,"Moderate","Low"))))</x:f>
      </x:c>
      <x:c r="L109" s="22"/>
      <x:c r="M109" s="22"/>
      <x:c r="N109" s="22"/>
      <x:c r="O109" s="24"/>
      <x:c r="P109" s="22"/>
      <x:c r="Q109" s="22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 t="str">
        <x:f>IF(COUNT(D110:H110)&lt;5,"",SUM(D110:H110))</x:f>
      </x:c>
      <x:c r="J110" s="23" t="str">
        <x:f>IF(I110="","",I110/5)</x:f>
      </x:c>
      <x:c r="K110" s="22" t="str">
        <x:f>IF(J110="","",IF(J110&gt;=8,"Critical",IF(J110&gt;=6,"High",IF(J110&gt;=4,"Moderate","Low"))))</x:f>
      </x:c>
      <x:c r="L110" s="22"/>
      <x:c r="M110" s="22"/>
      <x:c r="N110" s="22"/>
      <x:c r="O110" s="24"/>
      <x:c r="P110" s="22"/>
      <x:c r="Q110" s="22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 t="str">
        <x:f>IF(COUNT(D111:H111)&lt;5,"",SUM(D111:H111))</x:f>
      </x:c>
      <x:c r="J111" s="23" t="str">
        <x:f>IF(I111="","",I111/5)</x:f>
      </x:c>
      <x:c r="K111" s="22" t="str">
        <x:f>IF(J111="","",IF(J111&gt;=8,"Critical",IF(J111&gt;=6,"High",IF(J111&gt;=4,"Moderate","Low"))))</x:f>
      </x:c>
      <x:c r="L111" s="22"/>
      <x:c r="M111" s="22"/>
      <x:c r="N111" s="22"/>
      <x:c r="O111" s="24"/>
      <x:c r="P111" s="22"/>
      <x:c r="Q111" s="22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 t="str">
        <x:f>IF(COUNT(D112:H112)&lt;5,"",SUM(D112:H112))</x:f>
      </x:c>
      <x:c r="J112" s="23" t="str">
        <x:f>IF(I112="","",I112/5)</x:f>
      </x:c>
      <x:c r="K112" s="22" t="str">
        <x:f>IF(J112="","",IF(J112&gt;=8,"Critical",IF(J112&gt;=6,"High",IF(J112&gt;=4,"Moderate","Low"))))</x:f>
      </x:c>
      <x:c r="L112" s="22"/>
      <x:c r="M112" s="22"/>
      <x:c r="N112" s="22"/>
      <x:c r="O112" s="24"/>
      <x:c r="P112" s="22"/>
      <x:c r="Q112" s="22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 t="str">
        <x:f>IF(COUNT(D113:H113)&lt;5,"",SUM(D113:H113))</x:f>
      </x:c>
      <x:c r="J113" s="23" t="str">
        <x:f>IF(I113="","",I113/5)</x:f>
      </x:c>
      <x:c r="K113" s="22" t="str">
        <x:f>IF(J113="","",IF(J113&gt;=8,"Critical",IF(J113&gt;=6,"High",IF(J113&gt;=4,"Moderate","Low"))))</x:f>
      </x:c>
      <x:c r="L113" s="22"/>
      <x:c r="M113" s="22"/>
      <x:c r="N113" s="22"/>
      <x:c r="O113" s="24"/>
      <x:c r="P113" s="22"/>
      <x:c r="Q113" s="22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 t="str">
        <x:f>IF(COUNT(D114:H114)&lt;5,"",SUM(D114:H114))</x:f>
      </x:c>
      <x:c r="J114" s="23" t="str">
        <x:f>IF(I114="","",I114/5)</x:f>
      </x:c>
      <x:c r="K114" s="22" t="str">
        <x:f>IF(J114="","",IF(J114&gt;=8,"Critical",IF(J114&gt;=6,"High",IF(J114&gt;=4,"Moderate","Low"))))</x:f>
      </x:c>
      <x:c r="L114" s="22"/>
      <x:c r="M114" s="22"/>
      <x:c r="N114" s="22"/>
      <x:c r="O114" s="24"/>
      <x:c r="P114" s="22"/>
      <x:c r="Q114" s="22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 t="str">
        <x:f>IF(COUNT(D115:H115)&lt;5,"",SUM(D115:H115))</x:f>
      </x:c>
      <x:c r="J115" s="23" t="str">
        <x:f>IF(I115="","",I115/5)</x:f>
      </x:c>
      <x:c r="K115" s="22" t="str">
        <x:f>IF(J115="","",IF(J115&gt;=8,"Critical",IF(J115&gt;=6,"High",IF(J115&gt;=4,"Moderate","Low"))))</x:f>
      </x:c>
      <x:c r="L115" s="22"/>
      <x:c r="M115" s="22"/>
      <x:c r="N115" s="22"/>
      <x:c r="O115" s="24"/>
      <x:c r="P115" s="22"/>
      <x:c r="Q115" s="22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 t="str">
        <x:f>IF(COUNT(D116:H116)&lt;5,"",SUM(D116:H116))</x:f>
      </x:c>
      <x:c r="J116" s="23" t="str">
        <x:f>IF(I116="","",I116/5)</x:f>
      </x:c>
      <x:c r="K116" s="22" t="str">
        <x:f>IF(J116="","",IF(J116&gt;=8,"Critical",IF(J116&gt;=6,"High",IF(J116&gt;=4,"Moderate","Low"))))</x:f>
      </x:c>
      <x:c r="L116" s="22"/>
      <x:c r="M116" s="22"/>
      <x:c r="N116" s="22"/>
      <x:c r="O116" s="24"/>
      <x:c r="P116" s="22"/>
      <x:c r="Q116" s="22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 t="str">
        <x:f>IF(COUNT(D117:H117)&lt;5,"",SUM(D117:H117))</x:f>
      </x:c>
      <x:c r="J117" s="23" t="str">
        <x:f>IF(I117="","",I117/5)</x:f>
      </x:c>
      <x:c r="K117" s="22" t="str">
        <x:f>IF(J117="","",IF(J117&gt;=8,"Critical",IF(J117&gt;=6,"High",IF(J117&gt;=4,"Moderate","Low"))))</x:f>
      </x:c>
      <x:c r="L117" s="22"/>
      <x:c r="M117" s="22"/>
      <x:c r="N117" s="22"/>
      <x:c r="O117" s="24"/>
      <x:c r="P117" s="22"/>
      <x:c r="Q117" s="22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 t="str">
        <x:f>IF(COUNT(D118:H118)&lt;5,"",SUM(D118:H118))</x:f>
      </x:c>
      <x:c r="J118" s="23" t="str">
        <x:f>IF(I118="","",I118/5)</x:f>
      </x:c>
      <x:c r="K118" s="22" t="str">
        <x:f>IF(J118="","",IF(J118&gt;=8,"Critical",IF(J118&gt;=6,"High",IF(J118&gt;=4,"Moderate","Low"))))</x:f>
      </x:c>
      <x:c r="L118" s="22"/>
      <x:c r="M118" s="22"/>
      <x:c r="N118" s="22"/>
      <x:c r="O118" s="24"/>
      <x:c r="P118" s="22"/>
      <x:c r="Q118" s="22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 t="str">
        <x:f>IF(COUNT(D119:H119)&lt;5,"",SUM(D119:H119))</x:f>
      </x:c>
      <x:c r="J119" s="23" t="str">
        <x:f>IF(I119="","",I119/5)</x:f>
      </x:c>
      <x:c r="K119" s="22" t="str">
        <x:f>IF(J119="","",IF(J119&gt;=8,"Critical",IF(J119&gt;=6,"High",IF(J119&gt;=4,"Moderate","Low"))))</x:f>
      </x:c>
      <x:c r="L119" s="22"/>
      <x:c r="M119" s="22"/>
      <x:c r="N119" s="22"/>
      <x:c r="O119" s="24"/>
      <x:c r="P119" s="22"/>
      <x:c r="Q119" s="22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 t="str">
        <x:f>IF(COUNT(D120:H120)&lt;5,"",SUM(D120:H120))</x:f>
      </x:c>
      <x:c r="J120" s="23" t="str">
        <x:f>IF(I120="","",I120/5)</x:f>
      </x:c>
      <x:c r="K120" s="22" t="str">
        <x:f>IF(J120="","",IF(J120&gt;=8,"Critical",IF(J120&gt;=6,"High",IF(J120&gt;=4,"Moderate","Low"))))</x:f>
      </x:c>
      <x:c r="L120" s="22"/>
      <x:c r="M120" s="22"/>
      <x:c r="N120" s="22"/>
      <x:c r="O120" s="24"/>
      <x:c r="P120" s="22"/>
      <x:c r="Q120" s="22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 t="str">
        <x:f>IF(COUNT(D121:H121)&lt;5,"",SUM(D121:H121))</x:f>
      </x:c>
      <x:c r="J121" s="23" t="str">
        <x:f>IF(I121="","",I121/5)</x:f>
      </x:c>
      <x:c r="K121" s="22" t="str">
        <x:f>IF(J121="","",IF(J121&gt;=8,"Critical",IF(J121&gt;=6,"High",IF(J121&gt;=4,"Moderate","Low"))))</x:f>
      </x:c>
      <x:c r="L121" s="22"/>
      <x:c r="M121" s="22"/>
      <x:c r="N121" s="22"/>
      <x:c r="O121" s="24"/>
      <x:c r="P121" s="22"/>
      <x:c r="Q121" s="22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 t="str">
        <x:f>IF(COUNT(D122:H122)&lt;5,"",SUM(D122:H122))</x:f>
      </x:c>
      <x:c r="J122" s="23" t="str">
        <x:f>IF(I122="","",I122/5)</x:f>
      </x:c>
      <x:c r="K122" s="22" t="str">
        <x:f>IF(J122="","",IF(J122&gt;=8,"Critical",IF(J122&gt;=6,"High",IF(J122&gt;=4,"Moderate","Low"))))</x:f>
      </x:c>
      <x:c r="L122" s="22"/>
      <x:c r="M122" s="22"/>
      <x:c r="N122" s="22"/>
      <x:c r="O122" s="24"/>
      <x:c r="P122" s="22"/>
      <x:c r="Q122" s="22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 t="str">
        <x:f>IF(COUNT(D123:H123)&lt;5,"",SUM(D123:H123))</x:f>
      </x:c>
      <x:c r="J123" s="23" t="str">
        <x:f>IF(I123="","",I123/5)</x:f>
      </x:c>
      <x:c r="K123" s="22" t="str">
        <x:f>IF(J123="","",IF(J123&gt;=8,"Critical",IF(J123&gt;=6,"High",IF(J123&gt;=4,"Moderate","Low"))))</x:f>
      </x:c>
      <x:c r="L123" s="22"/>
      <x:c r="M123" s="22"/>
      <x:c r="N123" s="22"/>
      <x:c r="O123" s="24"/>
      <x:c r="P123" s="22"/>
      <x:c r="Q123" s="22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 t="str">
        <x:f>IF(COUNT(D124:H124)&lt;5,"",SUM(D124:H124))</x:f>
      </x:c>
      <x:c r="J124" s="23" t="str">
        <x:f>IF(I124="","",I124/5)</x:f>
      </x:c>
      <x:c r="K124" s="22" t="str">
        <x:f>IF(J124="","",IF(J124&gt;=8,"Critical",IF(J124&gt;=6,"High",IF(J124&gt;=4,"Moderate","Low"))))</x:f>
      </x:c>
      <x:c r="L124" s="22"/>
      <x:c r="M124" s="22"/>
      <x:c r="N124" s="22"/>
      <x:c r="O124" s="24"/>
      <x:c r="P124" s="22"/>
      <x:c r="Q124" s="22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 t="str">
        <x:f>IF(COUNT(D125:H125)&lt;5,"",SUM(D125:H125))</x:f>
      </x:c>
      <x:c r="J125" s="23" t="str">
        <x:f>IF(I125="","",I125/5)</x:f>
      </x:c>
      <x:c r="K125" s="22" t="str">
        <x:f>IF(J125="","",IF(J125&gt;=8,"Critical",IF(J125&gt;=6,"High",IF(J125&gt;=4,"Moderate","Low"))))</x:f>
      </x:c>
      <x:c r="L125" s="22"/>
      <x:c r="M125" s="22"/>
      <x:c r="N125" s="22"/>
      <x:c r="O125" s="24"/>
      <x:c r="P125" s="22"/>
      <x:c r="Q125" s="22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 t="str">
        <x:f>IF(COUNT(D126:H126)&lt;5,"",SUM(D126:H126))</x:f>
      </x:c>
      <x:c r="J126" s="23" t="str">
        <x:f>IF(I126="","",I126/5)</x:f>
      </x:c>
      <x:c r="K126" s="22" t="str">
        <x:f>IF(J126="","",IF(J126&gt;=8,"Critical",IF(J126&gt;=6,"High",IF(J126&gt;=4,"Moderate","Low"))))</x:f>
      </x:c>
      <x:c r="L126" s="22"/>
      <x:c r="M126" s="22"/>
      <x:c r="N126" s="22"/>
      <x:c r="O126" s="24"/>
      <x:c r="P126" s="22"/>
      <x:c r="Q126" s="22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 t="str">
        <x:f>IF(COUNT(D127:H127)&lt;5,"",SUM(D127:H127))</x:f>
      </x:c>
      <x:c r="J127" s="23" t="str">
        <x:f>IF(I127="","",I127/5)</x:f>
      </x:c>
      <x:c r="K127" s="22" t="str">
        <x:f>IF(J127="","",IF(J127&gt;=8,"Critical",IF(J127&gt;=6,"High",IF(J127&gt;=4,"Moderate","Low"))))</x:f>
      </x:c>
      <x:c r="L127" s="22"/>
      <x:c r="M127" s="22"/>
      <x:c r="N127" s="22"/>
      <x:c r="O127" s="24"/>
      <x:c r="P127" s="22"/>
      <x:c r="Q127" s="22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 t="str">
        <x:f>IF(COUNT(D128:H128)&lt;5,"",SUM(D128:H128))</x:f>
      </x:c>
      <x:c r="J128" s="23" t="str">
        <x:f>IF(I128="","",I128/5)</x:f>
      </x:c>
      <x:c r="K128" s="22" t="str">
        <x:f>IF(J128="","",IF(J128&gt;=8,"Critical",IF(J128&gt;=6,"High",IF(J128&gt;=4,"Moderate","Low"))))</x:f>
      </x:c>
      <x:c r="L128" s="22"/>
      <x:c r="M128" s="22"/>
      <x:c r="N128" s="22"/>
      <x:c r="O128" s="24"/>
      <x:c r="P128" s="22"/>
      <x:c r="Q128" s="22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 t="str">
        <x:f>IF(COUNT(D129:H129)&lt;5,"",SUM(D129:H129))</x:f>
      </x:c>
      <x:c r="J129" s="23" t="str">
        <x:f>IF(I129="","",I129/5)</x:f>
      </x:c>
      <x:c r="K129" s="22" t="str">
        <x:f>IF(J129="","",IF(J129&gt;=8,"Critical",IF(J129&gt;=6,"High",IF(J129&gt;=4,"Moderate","Low"))))</x:f>
      </x:c>
      <x:c r="L129" s="22"/>
      <x:c r="M129" s="22"/>
      <x:c r="N129" s="22"/>
      <x:c r="O129" s="24"/>
      <x:c r="P129" s="22"/>
      <x:c r="Q129" s="22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 t="str">
        <x:f>IF(COUNT(D130:H130)&lt;5,"",SUM(D130:H130))</x:f>
      </x:c>
      <x:c r="J130" s="23" t="str">
        <x:f>IF(I130="","",I130/5)</x:f>
      </x:c>
      <x:c r="K130" s="22" t="str">
        <x:f>IF(J130="","",IF(J130&gt;=8,"Critical",IF(J130&gt;=6,"High",IF(J130&gt;=4,"Moderate","Low"))))</x:f>
      </x:c>
      <x:c r="L130" s="22"/>
      <x:c r="M130" s="22"/>
      <x:c r="N130" s="22"/>
      <x:c r="O130" s="24"/>
      <x:c r="P130" s="22"/>
      <x:c r="Q130" s="22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 t="str">
        <x:f>IF(COUNT(D131:H131)&lt;5,"",SUM(D131:H131))</x:f>
      </x:c>
      <x:c r="J131" s="23" t="str">
        <x:f>IF(I131="","",I131/5)</x:f>
      </x:c>
      <x:c r="K131" s="22" t="str">
        <x:f>IF(J131="","",IF(J131&gt;=8,"Critical",IF(J131&gt;=6,"High",IF(J131&gt;=4,"Moderate","Low"))))</x:f>
      </x:c>
      <x:c r="L131" s="22"/>
      <x:c r="M131" s="22"/>
      <x:c r="N131" s="22"/>
      <x:c r="O131" s="24"/>
      <x:c r="P131" s="22"/>
      <x:c r="Q131" s="22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 t="str">
        <x:f>IF(COUNT(D132:H132)&lt;5,"",SUM(D132:H132))</x:f>
      </x:c>
      <x:c r="J132" s="23" t="str">
        <x:f>IF(I132="","",I132/5)</x:f>
      </x:c>
      <x:c r="K132" s="22" t="str">
        <x:f>IF(J132="","",IF(J132&gt;=8,"Critical",IF(J132&gt;=6,"High",IF(J132&gt;=4,"Moderate","Low"))))</x:f>
      </x:c>
      <x:c r="L132" s="22"/>
      <x:c r="M132" s="22"/>
      <x:c r="N132" s="22"/>
      <x:c r="O132" s="24"/>
      <x:c r="P132" s="22"/>
      <x:c r="Q132" s="22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 t="str">
        <x:f>IF(COUNT(D133:H133)&lt;5,"",SUM(D133:H133))</x:f>
      </x:c>
      <x:c r="J133" s="23" t="str">
        <x:f>IF(I133="","",I133/5)</x:f>
      </x:c>
      <x:c r="K133" s="22" t="str">
        <x:f>IF(J133="","",IF(J133&gt;=8,"Critical",IF(J133&gt;=6,"High",IF(J133&gt;=4,"Moderate","Low"))))</x:f>
      </x:c>
      <x:c r="L133" s="22"/>
      <x:c r="M133" s="22"/>
      <x:c r="N133" s="22"/>
      <x:c r="O133" s="24"/>
      <x:c r="P133" s="22"/>
      <x:c r="Q133" s="22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 t="str">
        <x:f>IF(COUNT(D134:H134)&lt;5,"",SUM(D134:H134))</x:f>
      </x:c>
      <x:c r="J134" s="23" t="str">
        <x:f>IF(I134="","",I134/5)</x:f>
      </x:c>
      <x:c r="K134" s="22" t="str">
        <x:f>IF(J134="","",IF(J134&gt;=8,"Critical",IF(J134&gt;=6,"High",IF(J134&gt;=4,"Moderate","Low"))))</x:f>
      </x:c>
      <x:c r="L134" s="22"/>
      <x:c r="M134" s="22"/>
      <x:c r="N134" s="22"/>
      <x:c r="O134" s="24"/>
      <x:c r="P134" s="22"/>
      <x:c r="Q134" s="22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 t="str">
        <x:f>IF(COUNT(D135:H135)&lt;5,"",SUM(D135:H135))</x:f>
      </x:c>
      <x:c r="J135" s="23" t="str">
        <x:f>IF(I135="","",I135/5)</x:f>
      </x:c>
      <x:c r="K135" s="22" t="str">
        <x:f>IF(J135="","",IF(J135&gt;=8,"Critical",IF(J135&gt;=6,"High",IF(J135&gt;=4,"Moderate","Low"))))</x:f>
      </x:c>
      <x:c r="L135" s="22"/>
      <x:c r="M135" s="22"/>
      <x:c r="N135" s="22"/>
      <x:c r="O135" s="24"/>
      <x:c r="P135" s="22"/>
      <x:c r="Q135" s="22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 t="str">
        <x:f>IF(COUNT(D136:H136)&lt;5,"",SUM(D136:H136))</x:f>
      </x:c>
      <x:c r="J136" s="23" t="str">
        <x:f>IF(I136="","",I136/5)</x:f>
      </x:c>
      <x:c r="K136" s="22" t="str">
        <x:f>IF(J136="","",IF(J136&gt;=8,"Critical",IF(J136&gt;=6,"High",IF(J136&gt;=4,"Moderate","Low"))))</x:f>
      </x:c>
      <x:c r="L136" s="22"/>
      <x:c r="M136" s="22"/>
      <x:c r="N136" s="22"/>
      <x:c r="O136" s="24"/>
      <x:c r="P136" s="22"/>
      <x:c r="Q136" s="22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 t="str">
        <x:f>IF(COUNT(D137:H137)&lt;5,"",SUM(D137:H137))</x:f>
      </x:c>
      <x:c r="J137" s="23" t="str">
        <x:f>IF(I137="","",I137/5)</x:f>
      </x:c>
      <x:c r="K137" s="22" t="str">
        <x:f>IF(J137="","",IF(J137&gt;=8,"Critical",IF(J137&gt;=6,"High",IF(J137&gt;=4,"Moderate","Low"))))</x:f>
      </x:c>
      <x:c r="L137" s="22"/>
      <x:c r="M137" s="22"/>
      <x:c r="N137" s="22"/>
      <x:c r="O137" s="24"/>
      <x:c r="P137" s="22"/>
      <x:c r="Q137" s="22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 t="str">
        <x:f>IF(COUNT(D138:H138)&lt;5,"",SUM(D138:H138))</x:f>
      </x:c>
      <x:c r="J138" s="23" t="str">
        <x:f>IF(I138="","",I138/5)</x:f>
      </x:c>
      <x:c r="K138" s="22" t="str">
        <x:f>IF(J138="","",IF(J138&gt;=8,"Critical",IF(J138&gt;=6,"High",IF(J138&gt;=4,"Moderate","Low"))))</x:f>
      </x:c>
      <x:c r="L138" s="22"/>
      <x:c r="M138" s="22"/>
      <x:c r="N138" s="22"/>
      <x:c r="O138" s="24"/>
      <x:c r="P138" s="22"/>
      <x:c r="Q138" s="22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 t="str">
        <x:f>IF(COUNT(D139:H139)&lt;5,"",SUM(D139:H139))</x:f>
      </x:c>
      <x:c r="J139" s="23" t="str">
        <x:f>IF(I139="","",I139/5)</x:f>
      </x:c>
      <x:c r="K139" s="22" t="str">
        <x:f>IF(J139="","",IF(J139&gt;=8,"Critical",IF(J139&gt;=6,"High",IF(J139&gt;=4,"Moderate","Low"))))</x:f>
      </x:c>
      <x:c r="L139" s="22"/>
      <x:c r="M139" s="22"/>
      <x:c r="N139" s="22"/>
      <x:c r="O139" s="24"/>
      <x:c r="P139" s="22"/>
      <x:c r="Q139" s="22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 t="str">
        <x:f>IF(COUNT(D140:H140)&lt;5,"",SUM(D140:H140))</x:f>
      </x:c>
      <x:c r="J140" s="23" t="str">
        <x:f>IF(I140="","",I140/5)</x:f>
      </x:c>
      <x:c r="K140" s="22" t="str">
        <x:f>IF(J140="","",IF(J140&gt;=8,"Critical",IF(J140&gt;=6,"High",IF(J140&gt;=4,"Moderate","Low"))))</x:f>
      </x:c>
      <x:c r="L140" s="22"/>
      <x:c r="M140" s="22"/>
      <x:c r="N140" s="22"/>
      <x:c r="O140" s="24"/>
      <x:c r="P140" s="22"/>
      <x:c r="Q140" s="22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 t="str">
        <x:f>IF(COUNT(D141:H141)&lt;5,"",SUM(D141:H141))</x:f>
      </x:c>
      <x:c r="J141" s="23" t="str">
        <x:f>IF(I141="","",I141/5)</x:f>
      </x:c>
      <x:c r="K141" s="22" t="str">
        <x:f>IF(J141="","",IF(J141&gt;=8,"Critical",IF(J141&gt;=6,"High",IF(J141&gt;=4,"Moderate","Low"))))</x:f>
      </x:c>
      <x:c r="L141" s="22"/>
      <x:c r="M141" s="22"/>
      <x:c r="N141" s="22"/>
      <x:c r="O141" s="24"/>
      <x:c r="P141" s="22"/>
      <x:c r="Q141" s="22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 t="str">
        <x:f>IF(COUNT(D142:H142)&lt;5,"",SUM(D142:H142))</x:f>
      </x:c>
      <x:c r="J142" s="23" t="str">
        <x:f>IF(I142="","",I142/5)</x:f>
      </x:c>
      <x:c r="K142" s="22" t="str">
        <x:f>IF(J142="","",IF(J142&gt;=8,"Critical",IF(J142&gt;=6,"High",IF(J142&gt;=4,"Moderate","Low"))))</x:f>
      </x:c>
      <x:c r="L142" s="22"/>
      <x:c r="M142" s="22"/>
      <x:c r="N142" s="22"/>
      <x:c r="O142" s="24"/>
      <x:c r="P142" s="22"/>
      <x:c r="Q142" s="22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 t="str">
        <x:f>IF(COUNT(D143:H143)&lt;5,"",SUM(D143:H143))</x:f>
      </x:c>
      <x:c r="J143" s="23" t="str">
        <x:f>IF(I143="","",I143/5)</x:f>
      </x:c>
      <x:c r="K143" s="22" t="str">
        <x:f>IF(J143="","",IF(J143&gt;=8,"Critical",IF(J143&gt;=6,"High",IF(J143&gt;=4,"Moderate","Low"))))</x:f>
      </x:c>
      <x:c r="L143" s="22"/>
      <x:c r="M143" s="22"/>
      <x:c r="N143" s="22"/>
      <x:c r="O143" s="24"/>
      <x:c r="P143" s="22"/>
      <x:c r="Q143" s="22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 t="str">
        <x:f>IF(COUNT(D144:H144)&lt;5,"",SUM(D144:H144))</x:f>
      </x:c>
      <x:c r="J144" s="23" t="str">
        <x:f>IF(I144="","",I144/5)</x:f>
      </x:c>
      <x:c r="K144" s="22" t="str">
        <x:f>IF(J144="","",IF(J144&gt;=8,"Critical",IF(J144&gt;=6,"High",IF(J144&gt;=4,"Moderate","Low"))))</x:f>
      </x:c>
      <x:c r="L144" s="22"/>
      <x:c r="M144" s="22"/>
      <x:c r="N144" s="22"/>
      <x:c r="O144" s="24"/>
      <x:c r="P144" s="22"/>
      <x:c r="Q144" s="22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 t="str">
        <x:f>IF(COUNT(D145:H145)&lt;5,"",SUM(D145:H145))</x:f>
      </x:c>
      <x:c r="J145" s="23" t="str">
        <x:f>IF(I145="","",I145/5)</x:f>
      </x:c>
      <x:c r="K145" s="22" t="str">
        <x:f>IF(J145="","",IF(J145&gt;=8,"Critical",IF(J145&gt;=6,"High",IF(J145&gt;=4,"Moderate","Low"))))</x:f>
      </x:c>
      <x:c r="L145" s="22"/>
      <x:c r="M145" s="22"/>
      <x:c r="N145" s="22"/>
      <x:c r="O145" s="24"/>
      <x:c r="P145" s="22"/>
      <x:c r="Q145" s="22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 t="str">
        <x:f>IF(COUNT(D146:H146)&lt;5,"",SUM(D146:H146))</x:f>
      </x:c>
      <x:c r="J146" s="23" t="str">
        <x:f>IF(I146="","",I146/5)</x:f>
      </x:c>
      <x:c r="K146" s="22" t="str">
        <x:f>IF(J146="","",IF(J146&gt;=8,"Critical",IF(J146&gt;=6,"High",IF(J146&gt;=4,"Moderate","Low"))))</x:f>
      </x:c>
      <x:c r="L146" s="22"/>
      <x:c r="M146" s="22"/>
      <x:c r="N146" s="22"/>
      <x:c r="O146" s="24"/>
      <x:c r="P146" s="22"/>
      <x:c r="Q146" s="22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 t="str">
        <x:f>IF(COUNT(D147:H147)&lt;5,"",SUM(D147:H147))</x:f>
      </x:c>
      <x:c r="J147" s="23" t="str">
        <x:f>IF(I147="","",I147/5)</x:f>
      </x:c>
      <x:c r="K147" s="22" t="str">
        <x:f>IF(J147="","",IF(J147&gt;=8,"Critical",IF(J147&gt;=6,"High",IF(J147&gt;=4,"Moderate","Low"))))</x:f>
      </x:c>
      <x:c r="L147" s="22"/>
      <x:c r="M147" s="22"/>
      <x:c r="N147" s="22"/>
      <x:c r="O147" s="24"/>
      <x:c r="P147" s="22"/>
      <x:c r="Q147" s="22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 t="str">
        <x:f>IF(COUNT(D148:H148)&lt;5,"",SUM(D148:H148))</x:f>
      </x:c>
      <x:c r="J148" s="23" t="str">
        <x:f>IF(I148="","",I148/5)</x:f>
      </x:c>
      <x:c r="K148" s="22" t="str">
        <x:f>IF(J148="","",IF(J148&gt;=8,"Critical",IF(J148&gt;=6,"High",IF(J148&gt;=4,"Moderate","Low"))))</x:f>
      </x:c>
      <x:c r="L148" s="22"/>
      <x:c r="M148" s="22"/>
      <x:c r="N148" s="22"/>
      <x:c r="O148" s="24"/>
      <x:c r="P148" s="22"/>
      <x:c r="Q148" s="22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 t="str">
        <x:f>IF(COUNT(D149:H149)&lt;5,"",SUM(D149:H149))</x:f>
      </x:c>
      <x:c r="J149" s="23" t="str">
        <x:f>IF(I149="","",I149/5)</x:f>
      </x:c>
      <x:c r="K149" s="22" t="str">
        <x:f>IF(J149="","",IF(J149&gt;=8,"Critical",IF(J149&gt;=6,"High",IF(J149&gt;=4,"Moderate","Low"))))</x:f>
      </x:c>
      <x:c r="L149" s="22"/>
      <x:c r="M149" s="22"/>
      <x:c r="N149" s="22"/>
      <x:c r="O149" s="24"/>
      <x:c r="P149" s="22"/>
      <x:c r="Q149" s="22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 t="str">
        <x:f>IF(COUNT(D150:H150)&lt;5,"",SUM(D150:H150))</x:f>
      </x:c>
      <x:c r="J150" s="23" t="str">
        <x:f>IF(I150="","",I150/5)</x:f>
      </x:c>
      <x:c r="K150" s="22" t="str">
        <x:f>IF(J150="","",IF(J150&gt;=8,"Critical",IF(J150&gt;=6,"High",IF(J150&gt;=4,"Moderate","Low"))))</x:f>
      </x:c>
      <x:c r="L150" s="22"/>
      <x:c r="M150" s="22"/>
      <x:c r="N150" s="22"/>
      <x:c r="O150" s="24"/>
      <x:c r="P150" s="22"/>
      <x:c r="Q150" s="22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 t="str">
        <x:f>IF(COUNT(D151:H151)&lt;5,"",SUM(D151:H151))</x:f>
      </x:c>
      <x:c r="J151" s="23" t="str">
        <x:f>IF(I151="","",I151/5)</x:f>
      </x:c>
      <x:c r="K151" s="22" t="str">
        <x:f>IF(J151="","",IF(J151&gt;=8,"Critical",IF(J151&gt;=6,"High",IF(J151&gt;=4,"Moderate","Low"))))</x:f>
      </x:c>
      <x:c r="L151" s="22"/>
      <x:c r="M151" s="22"/>
      <x:c r="N151" s="22"/>
      <x:c r="O151" s="24"/>
      <x:c r="P151" s="22"/>
      <x:c r="Q151" s="22"/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 t="str">
        <x:f>IF(COUNT(D152:H152)&lt;5,"",SUM(D152:H152))</x:f>
      </x:c>
      <x:c r="J152" s="23" t="str">
        <x:f>IF(I152="","",I152/5)</x:f>
      </x:c>
      <x:c r="K152" s="22" t="str">
        <x:f>IF(J152="","",IF(J152&gt;=8,"Critical",IF(J152&gt;=6,"High",IF(J152&gt;=4,"Moderate","Low"))))</x:f>
      </x:c>
      <x:c r="L152" s="22"/>
      <x:c r="M152" s="22"/>
      <x:c r="N152" s="22"/>
      <x:c r="O152" s="24"/>
      <x:c r="P152" s="22"/>
      <x:c r="Q152" s="22"/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 t="str">
        <x:f>IF(COUNT(D153:H153)&lt;5,"",SUM(D153:H153))</x:f>
      </x:c>
      <x:c r="J153" s="23" t="str">
        <x:f>IF(I153="","",I153/5)</x:f>
      </x:c>
      <x:c r="K153" s="22" t="str">
        <x:f>IF(J153="","",IF(J153&gt;=8,"Critical",IF(J153&gt;=6,"High",IF(J153&gt;=4,"Moderate","Low"))))</x:f>
      </x:c>
      <x:c r="L153" s="22"/>
      <x:c r="M153" s="22"/>
      <x:c r="N153" s="22"/>
      <x:c r="O153" s="24"/>
      <x:c r="P153" s="22"/>
      <x:c r="Q153" s="22"/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 t="str">
        <x:f>IF(COUNT(D154:H154)&lt;5,"",SUM(D154:H154))</x:f>
      </x:c>
      <x:c r="J154" s="23" t="str">
        <x:f>IF(I154="","",I154/5)</x:f>
      </x:c>
      <x:c r="K154" s="22" t="str">
        <x:f>IF(J154="","",IF(J154&gt;=8,"Critical",IF(J154&gt;=6,"High",IF(J154&gt;=4,"Moderate","Low"))))</x:f>
      </x:c>
      <x:c r="L154" s="22"/>
      <x:c r="M154" s="22"/>
      <x:c r="N154" s="22"/>
      <x:c r="O154" s="24"/>
      <x:c r="P154" s="22"/>
      <x:c r="Q154" s="22"/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 t="str">
        <x:f>IF(COUNT(D155:H155)&lt;5,"",SUM(D155:H155))</x:f>
      </x:c>
      <x:c r="J155" s="23" t="str">
        <x:f>IF(I155="","",I155/5)</x:f>
      </x:c>
      <x:c r="K155" s="22" t="str">
        <x:f>IF(J155="","",IF(J155&gt;=8,"Critical",IF(J155&gt;=6,"High",IF(J155&gt;=4,"Moderate","Low"))))</x:f>
      </x:c>
      <x:c r="L155" s="22"/>
      <x:c r="M155" s="22"/>
      <x:c r="N155" s="22"/>
      <x:c r="O155" s="24"/>
      <x:c r="P155" s="22"/>
      <x:c r="Q155" s="22"/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 t="str">
        <x:f>IF(COUNT(D156:H156)&lt;5,"",SUM(D156:H156))</x:f>
      </x:c>
      <x:c r="J156" s="23" t="str">
        <x:f>IF(I156="","",I156/5)</x:f>
      </x:c>
      <x:c r="K156" s="22" t="str">
        <x:f>IF(J156="","",IF(J156&gt;=8,"Critical",IF(J156&gt;=6,"High",IF(J156&gt;=4,"Moderate","Low"))))</x:f>
      </x:c>
      <x:c r="L156" s="22"/>
      <x:c r="M156" s="22"/>
      <x:c r="N156" s="22"/>
      <x:c r="O156" s="24"/>
      <x:c r="P156" s="22"/>
      <x:c r="Q156" s="22"/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 t="str">
        <x:f>IF(COUNT(D157:H157)&lt;5,"",SUM(D157:H157))</x:f>
      </x:c>
      <x:c r="J157" s="23" t="str">
        <x:f>IF(I157="","",I157/5)</x:f>
      </x:c>
      <x:c r="K157" s="22" t="str">
        <x:f>IF(J157="","",IF(J157&gt;=8,"Critical",IF(J157&gt;=6,"High",IF(J157&gt;=4,"Moderate","Low"))))</x:f>
      </x:c>
      <x:c r="L157" s="22"/>
      <x:c r="M157" s="22"/>
      <x:c r="N157" s="22"/>
      <x:c r="O157" s="24"/>
      <x:c r="P157" s="22"/>
      <x:c r="Q157" s="22"/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 t="str">
        <x:f>IF(COUNT(D158:H158)&lt;5,"",SUM(D158:H158))</x:f>
      </x:c>
      <x:c r="J158" s="23" t="str">
        <x:f>IF(I158="","",I158/5)</x:f>
      </x:c>
      <x:c r="K158" s="22" t="str">
        <x:f>IF(J158="","",IF(J158&gt;=8,"Critical",IF(J158&gt;=6,"High",IF(J158&gt;=4,"Moderate","Low"))))</x:f>
      </x:c>
      <x:c r="L158" s="22"/>
      <x:c r="M158" s="22"/>
      <x:c r="N158" s="22"/>
      <x:c r="O158" s="24"/>
      <x:c r="P158" s="22"/>
      <x:c r="Q158" s="22"/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 t="str">
        <x:f>IF(COUNT(D159:H159)&lt;5,"",SUM(D159:H159))</x:f>
      </x:c>
      <x:c r="J159" s="23" t="str">
        <x:f>IF(I159="","",I159/5)</x:f>
      </x:c>
      <x:c r="K159" s="22" t="str">
        <x:f>IF(J159="","",IF(J159&gt;=8,"Critical",IF(J159&gt;=6,"High",IF(J159&gt;=4,"Moderate","Low"))))</x:f>
      </x:c>
      <x:c r="L159" s="22"/>
      <x:c r="M159" s="22"/>
      <x:c r="N159" s="22"/>
      <x:c r="O159" s="24"/>
      <x:c r="P159" s="22"/>
      <x:c r="Q159" s="22"/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 t="str">
        <x:f>IF(COUNT(D160:H160)&lt;5,"",SUM(D160:H160))</x:f>
      </x:c>
      <x:c r="J160" s="23" t="str">
        <x:f>IF(I160="","",I160/5)</x:f>
      </x:c>
      <x:c r="K160" s="22" t="str">
        <x:f>IF(J160="","",IF(J160&gt;=8,"Critical",IF(J160&gt;=6,"High",IF(J160&gt;=4,"Moderate","Low"))))</x:f>
      </x:c>
      <x:c r="L160" s="22"/>
      <x:c r="M160" s="22"/>
      <x:c r="N160" s="22"/>
      <x:c r="O160" s="24"/>
      <x:c r="P160" s="22"/>
      <x:c r="Q160" s="22"/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 t="str">
        <x:f>IF(COUNT(D161:H161)&lt;5,"",SUM(D161:H161))</x:f>
      </x:c>
      <x:c r="J161" s="23" t="str">
        <x:f>IF(I161="","",I161/5)</x:f>
      </x:c>
      <x:c r="K161" s="22" t="str">
        <x:f>IF(J161="","",IF(J161&gt;=8,"Critical",IF(J161&gt;=6,"High",IF(J161&gt;=4,"Moderate","Low"))))</x:f>
      </x:c>
      <x:c r="L161" s="22"/>
      <x:c r="M161" s="22"/>
      <x:c r="N161" s="22"/>
      <x:c r="O161" s="24"/>
      <x:c r="P161" s="22"/>
      <x:c r="Q161" s="22"/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 t="str">
        <x:f>IF(COUNT(D162:H162)&lt;5,"",SUM(D162:H162))</x:f>
      </x:c>
      <x:c r="J162" s="23" t="str">
        <x:f>IF(I162="","",I162/5)</x:f>
      </x:c>
      <x:c r="K162" s="22" t="str">
        <x:f>IF(J162="","",IF(J162&gt;=8,"Critical",IF(J162&gt;=6,"High",IF(J162&gt;=4,"Moderate","Low"))))</x:f>
      </x:c>
      <x:c r="L162" s="22"/>
      <x:c r="M162" s="22"/>
      <x:c r="N162" s="22"/>
      <x:c r="O162" s="24"/>
      <x:c r="P162" s="22"/>
      <x:c r="Q162" s="22"/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 t="str">
        <x:f>IF(COUNT(D163:H163)&lt;5,"",SUM(D163:H163))</x:f>
      </x:c>
      <x:c r="J163" s="23" t="str">
        <x:f>IF(I163="","",I163/5)</x:f>
      </x:c>
      <x:c r="K163" s="22" t="str">
        <x:f>IF(J163="","",IF(J163&gt;=8,"Critical",IF(J163&gt;=6,"High",IF(J163&gt;=4,"Moderate","Low"))))</x:f>
      </x:c>
      <x:c r="L163" s="22"/>
      <x:c r="M163" s="22"/>
      <x:c r="N163" s="22"/>
      <x:c r="O163" s="24"/>
      <x:c r="P163" s="22"/>
      <x:c r="Q163" s="22"/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 t="str">
        <x:f>IF(COUNT(D164:H164)&lt;5,"",SUM(D164:H164))</x:f>
      </x:c>
      <x:c r="J164" s="23" t="str">
        <x:f>IF(I164="","",I164/5)</x:f>
      </x:c>
      <x:c r="K164" s="22" t="str">
        <x:f>IF(J164="","",IF(J164&gt;=8,"Critical",IF(J164&gt;=6,"High",IF(J164&gt;=4,"Moderate","Low"))))</x:f>
      </x:c>
      <x:c r="L164" s="22"/>
      <x:c r="M164" s="22"/>
      <x:c r="N164" s="22"/>
      <x:c r="O164" s="24"/>
      <x:c r="P164" s="22"/>
      <x:c r="Q164" s="22"/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 t="str">
        <x:f>IF(COUNT(D165:H165)&lt;5,"",SUM(D165:H165))</x:f>
      </x:c>
      <x:c r="J165" s="23" t="str">
        <x:f>IF(I165="","",I165/5)</x:f>
      </x:c>
      <x:c r="K165" s="22" t="str">
        <x:f>IF(J165="","",IF(J165&gt;=8,"Critical",IF(J165&gt;=6,"High",IF(J165&gt;=4,"Moderate","Low"))))</x:f>
      </x:c>
      <x:c r="L165" s="22"/>
      <x:c r="M165" s="22"/>
      <x:c r="N165" s="22"/>
      <x:c r="O165" s="24"/>
      <x:c r="P165" s="22"/>
      <x:c r="Q165" s="22"/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 t="str">
        <x:f>IF(COUNT(D166:H166)&lt;5,"",SUM(D166:H166))</x:f>
      </x:c>
      <x:c r="J166" s="23" t="str">
        <x:f>IF(I166="","",I166/5)</x:f>
      </x:c>
      <x:c r="K166" s="22" t="str">
        <x:f>IF(J166="","",IF(J166&gt;=8,"Critical",IF(J166&gt;=6,"High",IF(J166&gt;=4,"Moderate","Low"))))</x:f>
      </x:c>
      <x:c r="L166" s="22"/>
      <x:c r="M166" s="22"/>
      <x:c r="N166" s="22"/>
      <x:c r="O166" s="24"/>
      <x:c r="P166" s="22"/>
      <x:c r="Q166" s="22"/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 t="str">
        <x:f>IF(COUNT(D167:H167)&lt;5,"",SUM(D167:H167))</x:f>
      </x:c>
      <x:c r="J167" s="23" t="str">
        <x:f>IF(I167="","",I167/5)</x:f>
      </x:c>
      <x:c r="K167" s="22" t="str">
        <x:f>IF(J167="","",IF(J167&gt;=8,"Critical",IF(J167&gt;=6,"High",IF(J167&gt;=4,"Moderate","Low"))))</x:f>
      </x:c>
      <x:c r="L167" s="22"/>
      <x:c r="M167" s="22"/>
      <x:c r="N167" s="22"/>
      <x:c r="O167" s="24"/>
      <x:c r="P167" s="22"/>
      <x:c r="Q167" s="22"/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 t="str">
        <x:f>IF(COUNT(D168:H168)&lt;5,"",SUM(D168:H168))</x:f>
      </x:c>
      <x:c r="J168" s="23" t="str">
        <x:f>IF(I168="","",I168/5)</x:f>
      </x:c>
      <x:c r="K168" s="22" t="str">
        <x:f>IF(J168="","",IF(J168&gt;=8,"Critical",IF(J168&gt;=6,"High",IF(J168&gt;=4,"Moderate","Low"))))</x:f>
      </x:c>
      <x:c r="L168" s="22"/>
      <x:c r="M168" s="22"/>
      <x:c r="N168" s="22"/>
      <x:c r="O168" s="24"/>
      <x:c r="P168" s="22"/>
      <x:c r="Q168" s="22"/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 t="str">
        <x:f>IF(COUNT(D169:H169)&lt;5,"",SUM(D169:H169))</x:f>
      </x:c>
      <x:c r="J169" s="23" t="str">
        <x:f>IF(I169="","",I169/5)</x:f>
      </x:c>
      <x:c r="K169" s="22" t="str">
        <x:f>IF(J169="","",IF(J169&gt;=8,"Critical",IF(J169&gt;=6,"High",IF(J169&gt;=4,"Moderate","Low"))))</x:f>
      </x:c>
      <x:c r="L169" s="22"/>
      <x:c r="M169" s="22"/>
      <x:c r="N169" s="22"/>
      <x:c r="O169" s="24"/>
      <x:c r="P169" s="22"/>
      <x:c r="Q169" s="22"/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 t="str">
        <x:f>IF(COUNT(D170:H170)&lt;5,"",SUM(D170:H170))</x:f>
      </x:c>
      <x:c r="J170" s="23" t="str">
        <x:f>IF(I170="","",I170/5)</x:f>
      </x:c>
      <x:c r="K170" s="22" t="str">
        <x:f>IF(J170="","",IF(J170&gt;=8,"Critical",IF(J170&gt;=6,"High",IF(J170&gt;=4,"Moderate","Low"))))</x:f>
      </x:c>
      <x:c r="L170" s="22"/>
      <x:c r="M170" s="22"/>
      <x:c r="N170" s="22"/>
      <x:c r="O170" s="24"/>
      <x:c r="P170" s="22"/>
      <x:c r="Q170" s="22"/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 t="str">
        <x:f>IF(COUNT(D171:H171)&lt;5,"",SUM(D171:H171))</x:f>
      </x:c>
      <x:c r="J171" s="23" t="str">
        <x:f>IF(I171="","",I171/5)</x:f>
      </x:c>
      <x:c r="K171" s="22" t="str">
        <x:f>IF(J171="","",IF(J171&gt;=8,"Critical",IF(J171&gt;=6,"High",IF(J171&gt;=4,"Moderate","Low"))))</x:f>
      </x:c>
      <x:c r="L171" s="22"/>
      <x:c r="M171" s="22"/>
      <x:c r="N171" s="22"/>
      <x:c r="O171" s="24"/>
      <x:c r="P171" s="22"/>
      <x:c r="Q171" s="22"/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 t="str">
        <x:f>IF(COUNT(D172:H172)&lt;5,"",SUM(D172:H172))</x:f>
      </x:c>
      <x:c r="J172" s="23" t="str">
        <x:f>IF(I172="","",I172/5)</x:f>
      </x:c>
      <x:c r="K172" s="22" t="str">
        <x:f>IF(J172="","",IF(J172&gt;=8,"Critical",IF(J172&gt;=6,"High",IF(J172&gt;=4,"Moderate","Low"))))</x:f>
      </x:c>
      <x:c r="L172" s="22"/>
      <x:c r="M172" s="22"/>
      <x:c r="N172" s="22"/>
      <x:c r="O172" s="24"/>
      <x:c r="P172" s="22"/>
      <x:c r="Q172" s="22"/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 t="str">
        <x:f>IF(COUNT(D173:H173)&lt;5,"",SUM(D173:H173))</x:f>
      </x:c>
      <x:c r="J173" s="23" t="str">
        <x:f>IF(I173="","",I173/5)</x:f>
      </x:c>
      <x:c r="K173" s="22" t="str">
        <x:f>IF(J173="","",IF(J173&gt;=8,"Critical",IF(J173&gt;=6,"High",IF(J173&gt;=4,"Moderate","Low"))))</x:f>
      </x:c>
      <x:c r="L173" s="22"/>
      <x:c r="M173" s="22"/>
      <x:c r="N173" s="22"/>
      <x:c r="O173" s="24"/>
      <x:c r="P173" s="22"/>
      <x:c r="Q173" s="22"/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 t="str">
        <x:f>IF(COUNT(D174:H174)&lt;5,"",SUM(D174:H174))</x:f>
      </x:c>
      <x:c r="J174" s="23" t="str">
        <x:f>IF(I174="","",I174/5)</x:f>
      </x:c>
      <x:c r="K174" s="22" t="str">
        <x:f>IF(J174="","",IF(J174&gt;=8,"Critical",IF(J174&gt;=6,"High",IF(J174&gt;=4,"Moderate","Low"))))</x:f>
      </x:c>
      <x:c r="L174" s="22"/>
      <x:c r="M174" s="22"/>
      <x:c r="N174" s="22"/>
      <x:c r="O174" s="24"/>
      <x:c r="P174" s="22"/>
      <x:c r="Q174" s="22"/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 t="str">
        <x:f>IF(COUNT(D175:H175)&lt;5,"",SUM(D175:H175))</x:f>
      </x:c>
      <x:c r="J175" s="23" t="str">
        <x:f>IF(I175="","",I175/5)</x:f>
      </x:c>
      <x:c r="K175" s="22" t="str">
        <x:f>IF(J175="","",IF(J175&gt;=8,"Critical",IF(J175&gt;=6,"High",IF(J175&gt;=4,"Moderate","Low"))))</x:f>
      </x:c>
      <x:c r="L175" s="22"/>
      <x:c r="M175" s="22"/>
      <x:c r="N175" s="22"/>
      <x:c r="O175" s="24"/>
      <x:c r="P175" s="22"/>
      <x:c r="Q175" s="22"/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 t="str">
        <x:f>IF(COUNT(D176:H176)&lt;5,"",SUM(D176:H176))</x:f>
      </x:c>
      <x:c r="J176" s="23" t="str">
        <x:f>IF(I176="","",I176/5)</x:f>
      </x:c>
      <x:c r="K176" s="22" t="str">
        <x:f>IF(J176="","",IF(J176&gt;=8,"Critical",IF(J176&gt;=6,"High",IF(J176&gt;=4,"Moderate","Low"))))</x:f>
      </x:c>
      <x:c r="L176" s="22"/>
      <x:c r="M176" s="22"/>
      <x:c r="N176" s="22"/>
      <x:c r="O176" s="24"/>
      <x:c r="P176" s="22"/>
      <x:c r="Q176" s="22"/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 t="str">
        <x:f>IF(COUNT(D177:H177)&lt;5,"",SUM(D177:H177))</x:f>
      </x:c>
      <x:c r="J177" s="23" t="str">
        <x:f>IF(I177="","",I177/5)</x:f>
      </x:c>
      <x:c r="K177" s="22" t="str">
        <x:f>IF(J177="","",IF(J177&gt;=8,"Critical",IF(J177&gt;=6,"High",IF(J177&gt;=4,"Moderate","Low"))))</x:f>
      </x:c>
      <x:c r="L177" s="22"/>
      <x:c r="M177" s="22"/>
      <x:c r="N177" s="22"/>
      <x:c r="O177" s="24"/>
      <x:c r="P177" s="22"/>
      <x:c r="Q177" s="22"/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 t="str">
        <x:f>IF(COUNT(D178:H178)&lt;5,"",SUM(D178:H178))</x:f>
      </x:c>
      <x:c r="J178" s="23" t="str">
        <x:f>IF(I178="","",I178/5)</x:f>
      </x:c>
      <x:c r="K178" s="22" t="str">
        <x:f>IF(J178="","",IF(J178&gt;=8,"Critical",IF(J178&gt;=6,"High",IF(J178&gt;=4,"Moderate","Low"))))</x:f>
      </x:c>
      <x:c r="L178" s="22"/>
      <x:c r="M178" s="22"/>
      <x:c r="N178" s="22"/>
      <x:c r="O178" s="24"/>
      <x:c r="P178" s="22"/>
      <x:c r="Q178" s="22"/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 t="str">
        <x:f>IF(COUNT(D179:H179)&lt;5,"",SUM(D179:H179))</x:f>
      </x:c>
      <x:c r="J179" s="23" t="str">
        <x:f>IF(I179="","",I179/5)</x:f>
      </x:c>
      <x:c r="K179" s="22" t="str">
        <x:f>IF(J179="","",IF(J179&gt;=8,"Critical",IF(J179&gt;=6,"High",IF(J179&gt;=4,"Moderate","Low"))))</x:f>
      </x:c>
      <x:c r="L179" s="22"/>
      <x:c r="M179" s="22"/>
      <x:c r="N179" s="22"/>
      <x:c r="O179" s="24"/>
      <x:c r="P179" s="22"/>
      <x:c r="Q179" s="22"/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 t="str">
        <x:f>IF(COUNT(D180:H180)&lt;5,"",SUM(D180:H180))</x:f>
      </x:c>
      <x:c r="J180" s="23" t="str">
        <x:f>IF(I180="","",I180/5)</x:f>
      </x:c>
      <x:c r="K180" s="22" t="str">
        <x:f>IF(J180="","",IF(J180&gt;=8,"Critical",IF(J180&gt;=6,"High",IF(J180&gt;=4,"Moderate","Low"))))</x:f>
      </x:c>
      <x:c r="L180" s="22"/>
      <x:c r="M180" s="22"/>
      <x:c r="N180" s="22"/>
      <x:c r="O180" s="24"/>
      <x:c r="P180" s="22"/>
      <x:c r="Q180" s="22"/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 t="str">
        <x:f>IF(COUNT(D181:H181)&lt;5,"",SUM(D181:H181))</x:f>
      </x:c>
      <x:c r="J181" s="23" t="str">
        <x:f>IF(I181="","",I181/5)</x:f>
      </x:c>
      <x:c r="K181" s="22" t="str">
        <x:f>IF(J181="","",IF(J181&gt;=8,"Critical",IF(J181&gt;=6,"High",IF(J181&gt;=4,"Moderate","Low"))))</x:f>
      </x:c>
      <x:c r="L181" s="22"/>
      <x:c r="M181" s="22"/>
      <x:c r="N181" s="22"/>
      <x:c r="O181" s="24"/>
      <x:c r="P181" s="22"/>
      <x:c r="Q181" s="22"/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 t="str">
        <x:f>IF(COUNT(D182:H182)&lt;5,"",SUM(D182:H182))</x:f>
      </x:c>
      <x:c r="J182" s="23" t="str">
        <x:f>IF(I182="","",I182/5)</x:f>
      </x:c>
      <x:c r="K182" s="22" t="str">
        <x:f>IF(J182="","",IF(J182&gt;=8,"Critical",IF(J182&gt;=6,"High",IF(J182&gt;=4,"Moderate","Low"))))</x:f>
      </x:c>
      <x:c r="L182" s="22"/>
      <x:c r="M182" s="22"/>
      <x:c r="N182" s="22"/>
      <x:c r="O182" s="24"/>
      <x:c r="P182" s="22"/>
      <x:c r="Q182" s="22"/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 t="str">
        <x:f>IF(COUNT(D183:H183)&lt;5,"",SUM(D183:H183))</x:f>
      </x:c>
      <x:c r="J183" s="23" t="str">
        <x:f>IF(I183="","",I183/5)</x:f>
      </x:c>
      <x:c r="K183" s="22" t="str">
        <x:f>IF(J183="","",IF(J183&gt;=8,"Critical",IF(J183&gt;=6,"High",IF(J183&gt;=4,"Moderate","Low"))))</x:f>
      </x:c>
      <x:c r="L183" s="22"/>
      <x:c r="M183" s="22"/>
      <x:c r="N183" s="22"/>
      <x:c r="O183" s="24"/>
      <x:c r="P183" s="22"/>
      <x:c r="Q183" s="22"/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 t="str">
        <x:f>IF(COUNT(D184:H184)&lt;5,"",SUM(D184:H184))</x:f>
      </x:c>
      <x:c r="J184" s="23" t="str">
        <x:f>IF(I184="","",I184/5)</x:f>
      </x:c>
      <x:c r="K184" s="22" t="str">
        <x:f>IF(J184="","",IF(J184&gt;=8,"Critical",IF(J184&gt;=6,"High",IF(J184&gt;=4,"Moderate","Low"))))</x:f>
      </x:c>
      <x:c r="L184" s="22"/>
      <x:c r="M184" s="22"/>
      <x:c r="N184" s="22"/>
      <x:c r="O184" s="24"/>
      <x:c r="P184" s="22"/>
      <x:c r="Q184" s="22"/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 t="str">
        <x:f>IF(COUNT(D185:H185)&lt;5,"",SUM(D185:H185))</x:f>
      </x:c>
      <x:c r="J185" s="23" t="str">
        <x:f>IF(I185="","",I185/5)</x:f>
      </x:c>
      <x:c r="K185" s="22" t="str">
        <x:f>IF(J185="","",IF(J185&gt;=8,"Critical",IF(J185&gt;=6,"High",IF(J185&gt;=4,"Moderate","Low"))))</x:f>
      </x:c>
      <x:c r="L185" s="22"/>
      <x:c r="M185" s="22"/>
      <x:c r="N185" s="22"/>
      <x:c r="O185" s="24"/>
      <x:c r="P185" s="22"/>
      <x:c r="Q185" s="22"/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 t="str">
        <x:f>IF(COUNT(D186:H186)&lt;5,"",SUM(D186:H186))</x:f>
      </x:c>
      <x:c r="J186" s="23" t="str">
        <x:f>IF(I186="","",I186/5)</x:f>
      </x:c>
      <x:c r="K186" s="22" t="str">
        <x:f>IF(J186="","",IF(J186&gt;=8,"Critical",IF(J186&gt;=6,"High",IF(J186&gt;=4,"Moderate","Low"))))</x:f>
      </x:c>
      <x:c r="L186" s="22"/>
      <x:c r="M186" s="22"/>
      <x:c r="N186" s="22"/>
      <x:c r="O186" s="24"/>
      <x:c r="P186" s="22"/>
      <x:c r="Q186" s="22"/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 t="str">
        <x:f>IF(COUNT(D187:H187)&lt;5,"",SUM(D187:H187))</x:f>
      </x:c>
      <x:c r="J187" s="23" t="str">
        <x:f>IF(I187="","",I187/5)</x:f>
      </x:c>
      <x:c r="K187" s="22" t="str">
        <x:f>IF(J187="","",IF(J187&gt;=8,"Critical",IF(J187&gt;=6,"High",IF(J187&gt;=4,"Moderate","Low"))))</x:f>
      </x:c>
      <x:c r="L187" s="22"/>
      <x:c r="M187" s="22"/>
      <x:c r="N187" s="22"/>
      <x:c r="O187" s="24"/>
      <x:c r="P187" s="22"/>
      <x:c r="Q187" s="22"/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 t="str">
        <x:f>IF(COUNT(D188:H188)&lt;5,"",SUM(D188:H188))</x:f>
      </x:c>
      <x:c r="J188" s="23" t="str">
        <x:f>IF(I188="","",I188/5)</x:f>
      </x:c>
      <x:c r="K188" s="22" t="str">
        <x:f>IF(J188="","",IF(J188&gt;=8,"Critical",IF(J188&gt;=6,"High",IF(J188&gt;=4,"Moderate","Low"))))</x:f>
      </x:c>
      <x:c r="L188" s="22"/>
      <x:c r="M188" s="22"/>
      <x:c r="N188" s="22"/>
      <x:c r="O188" s="24"/>
      <x:c r="P188" s="22"/>
      <x:c r="Q188" s="22"/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 t="str">
        <x:f>IF(COUNT(D189:H189)&lt;5,"",SUM(D189:H189))</x:f>
      </x:c>
      <x:c r="J189" s="23" t="str">
        <x:f>IF(I189="","",I189/5)</x:f>
      </x:c>
      <x:c r="K189" s="22" t="str">
        <x:f>IF(J189="","",IF(J189&gt;=8,"Critical",IF(J189&gt;=6,"High",IF(J189&gt;=4,"Moderate","Low"))))</x:f>
      </x:c>
      <x:c r="L189" s="22"/>
      <x:c r="M189" s="22"/>
      <x:c r="N189" s="22"/>
      <x:c r="O189" s="24"/>
      <x:c r="P189" s="22"/>
      <x:c r="Q189" s="22"/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 t="str">
        <x:f>IF(COUNT(D190:H190)&lt;5,"",SUM(D190:H190))</x:f>
      </x:c>
      <x:c r="J190" s="23" t="str">
        <x:f>IF(I190="","",I190/5)</x:f>
      </x:c>
      <x:c r="K190" s="22" t="str">
        <x:f>IF(J190="","",IF(J190&gt;=8,"Critical",IF(J190&gt;=6,"High",IF(J190&gt;=4,"Moderate","Low"))))</x:f>
      </x:c>
      <x:c r="L190" s="22"/>
      <x:c r="M190" s="22"/>
      <x:c r="N190" s="22"/>
      <x:c r="O190" s="24"/>
      <x:c r="P190" s="22"/>
      <x:c r="Q190" s="22"/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 t="str">
        <x:f>IF(COUNT(D191:H191)&lt;5,"",SUM(D191:H191))</x:f>
      </x:c>
      <x:c r="J191" s="23" t="str">
        <x:f>IF(I191="","",I191/5)</x:f>
      </x:c>
      <x:c r="K191" s="22" t="str">
        <x:f>IF(J191="","",IF(J191&gt;=8,"Critical",IF(J191&gt;=6,"High",IF(J191&gt;=4,"Moderate","Low"))))</x:f>
      </x:c>
      <x:c r="L191" s="22"/>
      <x:c r="M191" s="22"/>
      <x:c r="N191" s="22"/>
      <x:c r="O191" s="24"/>
      <x:c r="P191" s="22"/>
      <x:c r="Q191" s="22"/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 t="str">
        <x:f>IF(COUNT(D192:H192)&lt;5,"",SUM(D192:H192))</x:f>
      </x:c>
      <x:c r="J192" s="23" t="str">
        <x:f>IF(I192="","",I192/5)</x:f>
      </x:c>
      <x:c r="K192" s="22" t="str">
        <x:f>IF(J192="","",IF(J192&gt;=8,"Critical",IF(J192&gt;=6,"High",IF(J192&gt;=4,"Moderate","Low"))))</x:f>
      </x:c>
      <x:c r="L192" s="22"/>
      <x:c r="M192" s="22"/>
      <x:c r="N192" s="22"/>
      <x:c r="O192" s="24"/>
      <x:c r="P192" s="22"/>
      <x:c r="Q192" s="22"/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 t="str">
        <x:f>IF(COUNT(D193:H193)&lt;5,"",SUM(D193:H193))</x:f>
      </x:c>
      <x:c r="J193" s="23" t="str">
        <x:f>IF(I193="","",I193/5)</x:f>
      </x:c>
      <x:c r="K193" s="22" t="str">
        <x:f>IF(J193="","",IF(J193&gt;=8,"Critical",IF(J193&gt;=6,"High",IF(J193&gt;=4,"Moderate","Low"))))</x:f>
      </x:c>
      <x:c r="L193" s="22"/>
      <x:c r="M193" s="22"/>
      <x:c r="N193" s="22"/>
      <x:c r="O193" s="24"/>
      <x:c r="P193" s="22"/>
      <x:c r="Q193" s="22"/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 t="str">
        <x:f>IF(COUNT(D194:H194)&lt;5,"",SUM(D194:H194))</x:f>
      </x:c>
      <x:c r="J194" s="23" t="str">
        <x:f>IF(I194="","",I194/5)</x:f>
      </x:c>
      <x:c r="K194" s="22" t="str">
        <x:f>IF(J194="","",IF(J194&gt;=8,"Critical",IF(J194&gt;=6,"High",IF(J194&gt;=4,"Moderate","Low"))))</x:f>
      </x:c>
      <x:c r="L194" s="22"/>
      <x:c r="M194" s="22"/>
      <x:c r="N194" s="22"/>
      <x:c r="O194" s="24"/>
      <x:c r="P194" s="22"/>
      <x:c r="Q194" s="22"/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 t="str">
        <x:f>IF(COUNT(D195:H195)&lt;5,"",SUM(D195:H195))</x:f>
      </x:c>
      <x:c r="J195" s="23" t="str">
        <x:f>IF(I195="","",I195/5)</x:f>
      </x:c>
      <x:c r="K195" s="22" t="str">
        <x:f>IF(J195="","",IF(J195&gt;=8,"Critical",IF(J195&gt;=6,"High",IF(J195&gt;=4,"Moderate","Low"))))</x:f>
      </x:c>
      <x:c r="L195" s="22"/>
      <x:c r="M195" s="22"/>
      <x:c r="N195" s="22"/>
      <x:c r="O195" s="24"/>
      <x:c r="P195" s="22"/>
      <x:c r="Q195" s="22"/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 t="str">
        <x:f>IF(COUNT(D196:H196)&lt;5,"",SUM(D196:H196))</x:f>
      </x:c>
      <x:c r="J196" s="23" t="str">
        <x:f>IF(I196="","",I196/5)</x:f>
      </x:c>
      <x:c r="K196" s="22" t="str">
        <x:f>IF(J196="","",IF(J196&gt;=8,"Critical",IF(J196&gt;=6,"High",IF(J196&gt;=4,"Moderate","Low"))))</x:f>
      </x:c>
      <x:c r="L196" s="22"/>
      <x:c r="M196" s="22"/>
      <x:c r="N196" s="22"/>
      <x:c r="O196" s="24"/>
      <x:c r="P196" s="22"/>
      <x:c r="Q196" s="22"/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 t="str">
        <x:f>IF(COUNT(D197:H197)&lt;5,"",SUM(D197:H197))</x:f>
      </x:c>
      <x:c r="J197" s="23" t="str">
        <x:f>IF(I197="","",I197/5)</x:f>
      </x:c>
      <x:c r="K197" s="22" t="str">
        <x:f>IF(J197="","",IF(J197&gt;=8,"Critical",IF(J197&gt;=6,"High",IF(J197&gt;=4,"Moderate","Low"))))</x:f>
      </x:c>
      <x:c r="L197" s="22"/>
      <x:c r="M197" s="22"/>
      <x:c r="N197" s="22"/>
      <x:c r="O197" s="24"/>
      <x:c r="P197" s="22"/>
      <x:c r="Q197" s="22"/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 t="str">
        <x:f>IF(COUNT(D198:H198)&lt;5,"",SUM(D198:H198))</x:f>
      </x:c>
      <x:c r="J198" s="23" t="str">
        <x:f>IF(I198="","",I198/5)</x:f>
      </x:c>
      <x:c r="K198" s="22" t="str">
        <x:f>IF(J198="","",IF(J198&gt;=8,"Critical",IF(J198&gt;=6,"High",IF(J198&gt;=4,"Moderate","Low"))))</x:f>
      </x:c>
      <x:c r="L198" s="22"/>
      <x:c r="M198" s="22"/>
      <x:c r="N198" s="22"/>
      <x:c r="O198" s="24"/>
      <x:c r="P198" s="22"/>
      <x:c r="Q198" s="22"/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 t="str">
        <x:f>IF(COUNT(D199:H199)&lt;5,"",SUM(D199:H199))</x:f>
      </x:c>
      <x:c r="J199" s="23" t="str">
        <x:f>IF(I199="","",I199/5)</x:f>
      </x:c>
      <x:c r="K199" s="22" t="str">
        <x:f>IF(J199="","",IF(J199&gt;=8,"Critical",IF(J199&gt;=6,"High",IF(J199&gt;=4,"Moderate","Low"))))</x:f>
      </x:c>
      <x:c r="L199" s="22"/>
      <x:c r="M199" s="22"/>
      <x:c r="N199" s="22"/>
      <x:c r="O199" s="24"/>
      <x:c r="P199" s="22"/>
      <x:c r="Q199" s="22"/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 t="str">
        <x:f>IF(COUNT(D200:H200)&lt;5,"",SUM(D200:H200))</x:f>
      </x:c>
      <x:c r="J200" s="23" t="str">
        <x:f>IF(I200="","",I200/5)</x:f>
      </x:c>
      <x:c r="K200" s="22" t="str">
        <x:f>IF(J200="","",IF(J200&gt;=8,"Critical",IF(J200&gt;=6,"High",IF(J200&gt;=4,"Moderate","Low"))))</x:f>
      </x:c>
      <x:c r="L200" s="22"/>
      <x:c r="M200" s="22"/>
      <x:c r="N200" s="22"/>
      <x:c r="O200" s="24"/>
      <x:c r="P200" s="22"/>
      <x:c r="Q200" s="22"/>
    </x:row>
    <x:row r="201">
      <x:c r="A201" s="22"/>
      <x:c r="B201" s="22"/>
      <x:c r="C201" s="22"/>
      <x:c r="D201" s="22"/>
      <x:c r="E201" s="22"/>
      <x:c r="F201" s="22"/>
      <x:c r="G201" s="22"/>
      <x:c r="H201" s="22"/>
      <x:c r="I201" s="22" t="str">
        <x:f>IF(COUNT(D201:H201)&lt;5,"",SUM(D201:H201))</x:f>
      </x:c>
      <x:c r="J201" s="23" t="str">
        <x:f>IF(I201="","",I201/5)</x:f>
      </x:c>
      <x:c r="K201" s="22" t="str">
        <x:f>IF(J201="","",IF(J201&gt;=8,"Critical",IF(J201&gt;=6,"High",IF(J201&gt;=4,"Moderate","Low"))))</x:f>
      </x:c>
      <x:c r="L201" s="22"/>
      <x:c r="M201" s="22"/>
      <x:c r="N201" s="22"/>
      <x:c r="O201" s="24"/>
      <x:c r="P201" s="22"/>
      <x:c r="Q201" s="22"/>
    </x:row>
    <x:row r="202">
      <x:c r="A202" s="22"/>
      <x:c r="B202" s="22"/>
      <x:c r="C202" s="22"/>
      <x:c r="D202" s="22"/>
      <x:c r="E202" s="22"/>
      <x:c r="F202" s="22"/>
      <x:c r="G202" s="22"/>
      <x:c r="H202" s="22"/>
      <x:c r="I202" s="22" t="str">
        <x:f>IF(COUNT(D202:H202)&lt;5,"",SUM(D202:H202))</x:f>
      </x:c>
      <x:c r="J202" s="23" t="str">
        <x:f>IF(I202="","",I202/5)</x:f>
      </x:c>
      <x:c r="K202" s="22" t="str">
        <x:f>IF(J202="","",IF(J202&gt;=8,"Critical",IF(J202&gt;=6,"High",IF(J202&gt;=4,"Moderate","Low"))))</x:f>
      </x:c>
      <x:c r="L202" s="22"/>
      <x:c r="M202" s="22"/>
      <x:c r="N202" s="22"/>
      <x:c r="O202" s="24"/>
      <x:c r="P202" s="22"/>
      <x:c r="Q202" s="22"/>
    </x:row>
    <x:row r="203">
      <x:c r="A203" s="22"/>
      <x:c r="B203" s="22"/>
      <x:c r="C203" s="22"/>
      <x:c r="D203" s="22"/>
      <x:c r="E203" s="22"/>
      <x:c r="F203" s="22"/>
      <x:c r="G203" s="22"/>
      <x:c r="H203" s="22"/>
      <x:c r="I203" s="22" t="str">
        <x:f>IF(COUNT(D203:H203)&lt;5,"",SUM(D203:H203))</x:f>
      </x:c>
      <x:c r="J203" s="23" t="str">
        <x:f>IF(I203="","",I203/5)</x:f>
      </x:c>
      <x:c r="K203" s="22" t="str">
        <x:f>IF(J203="","",IF(J203&gt;=8,"Critical",IF(J203&gt;=6,"High",IF(J203&gt;=4,"Moderate","Low"))))</x:f>
      </x:c>
      <x:c r="L203" s="22"/>
      <x:c r="M203" s="22"/>
      <x:c r="N203" s="22"/>
      <x:c r="O203" s="24"/>
      <x:c r="P203" s="22"/>
      <x:c r="Q203" s="22"/>
    </x:row>
    <x:row r="204">
      <x:c r="A204" s="22"/>
      <x:c r="B204" s="22"/>
      <x:c r="C204" s="22"/>
      <x:c r="D204" s="22"/>
      <x:c r="E204" s="22"/>
      <x:c r="F204" s="22"/>
      <x:c r="G204" s="22"/>
      <x:c r="H204" s="22"/>
      <x:c r="I204" s="22" t="str">
        <x:f>IF(COUNT(D204:H204)&lt;5,"",SUM(D204:H204))</x:f>
      </x:c>
      <x:c r="J204" s="23" t="str">
        <x:f>IF(I204="","",I204/5)</x:f>
      </x:c>
      <x:c r="K204" s="22" t="str">
        <x:f>IF(J204="","",IF(J204&gt;=8,"Critical",IF(J204&gt;=6,"High",IF(J204&gt;=4,"Moderate","Low"))))</x:f>
      </x:c>
      <x:c r="L204" s="22"/>
      <x:c r="M204" s="22"/>
      <x:c r="N204" s="22"/>
      <x:c r="O204" s="24"/>
      <x:c r="P204" s="22"/>
      <x:c r="Q204" s="22"/>
    </x:row>
    <x:row r="205">
      <x:c r="A205" s="22"/>
      <x:c r="B205" s="22"/>
      <x:c r="C205" s="22"/>
      <x:c r="D205" s="22"/>
      <x:c r="E205" s="22"/>
      <x:c r="F205" s="22"/>
      <x:c r="G205" s="22"/>
      <x:c r="H205" s="22"/>
      <x:c r="I205" s="22" t="str">
        <x:f>IF(COUNT(D205:H205)&lt;5,"",SUM(D205:H205))</x:f>
      </x:c>
      <x:c r="J205" s="23" t="str">
        <x:f>IF(I205="","",I205/5)</x:f>
      </x:c>
      <x:c r="K205" s="22" t="str">
        <x:f>IF(J205="","",IF(J205&gt;=8,"Critical",IF(J205&gt;=6,"High",IF(J205&gt;=4,"Moderate","Low"))))</x:f>
      </x:c>
      <x:c r="L205" s="22"/>
      <x:c r="M205" s="22"/>
      <x:c r="N205" s="22"/>
      <x:c r="O205" s="24"/>
      <x:c r="P205" s="22"/>
      <x:c r="Q205" s="22"/>
    </x:row>
    <x:row r="206">
      <x:c r="A206" s="22"/>
      <x:c r="B206" s="22"/>
      <x:c r="C206" s="22"/>
      <x:c r="D206" s="22"/>
      <x:c r="E206" s="22"/>
      <x:c r="F206" s="22"/>
      <x:c r="G206" s="22"/>
      <x:c r="H206" s="22"/>
      <x:c r="I206" s="22" t="str">
        <x:f>IF(COUNT(D206:H206)&lt;5,"",SUM(D206:H206))</x:f>
      </x:c>
      <x:c r="J206" s="23" t="str">
        <x:f>IF(I206="","",I206/5)</x:f>
      </x:c>
      <x:c r="K206" s="22" t="str">
        <x:f>IF(J206="","",IF(J206&gt;=8,"Critical",IF(J206&gt;=6,"High",IF(J206&gt;=4,"Moderate","Low"))))</x:f>
      </x:c>
      <x:c r="L206" s="22"/>
      <x:c r="M206" s="22"/>
      <x:c r="N206" s="22"/>
      <x:c r="O206" s="24"/>
      <x:c r="P206" s="22"/>
      <x:c r="Q206" s="22"/>
    </x:row>
    <x:row r="207">
      <x:c r="A207" s="22"/>
      <x:c r="B207" s="22"/>
      <x:c r="C207" s="22"/>
      <x:c r="D207" s="22"/>
      <x:c r="E207" s="22"/>
      <x:c r="F207" s="22"/>
      <x:c r="G207" s="22"/>
      <x:c r="H207" s="22"/>
      <x:c r="I207" s="22" t="str">
        <x:f>IF(COUNT(D207:H207)&lt;5,"",SUM(D207:H207))</x:f>
      </x:c>
      <x:c r="J207" s="23" t="str">
        <x:f>IF(I207="","",I207/5)</x:f>
      </x:c>
      <x:c r="K207" s="22" t="str">
        <x:f>IF(J207="","",IF(J207&gt;=8,"Critical",IF(J207&gt;=6,"High",IF(J207&gt;=4,"Moderate","Low"))))</x:f>
      </x:c>
      <x:c r="L207" s="22"/>
      <x:c r="M207" s="22"/>
      <x:c r="N207" s="22"/>
      <x:c r="O207" s="24"/>
      <x:c r="P207" s="22"/>
      <x:c r="Q207" s="22"/>
    </x:row>
    <x:row r="208">
      <x:c r="A208" s="22"/>
      <x:c r="B208" s="22"/>
      <x:c r="C208" s="22"/>
      <x:c r="D208" s="22"/>
      <x:c r="E208" s="22"/>
      <x:c r="F208" s="22"/>
      <x:c r="G208" s="22"/>
      <x:c r="H208" s="22"/>
      <x:c r="I208" s="22" t="str">
        <x:f>IF(COUNT(D208:H208)&lt;5,"",SUM(D208:H208))</x:f>
      </x:c>
      <x:c r="J208" s="23" t="str">
        <x:f>IF(I208="","",I208/5)</x:f>
      </x:c>
      <x:c r="K208" s="22" t="str">
        <x:f>IF(J208="","",IF(J208&gt;=8,"Critical",IF(J208&gt;=6,"High",IF(J208&gt;=4,"Moderate","Low"))))</x:f>
      </x:c>
      <x:c r="L208" s="22"/>
      <x:c r="M208" s="22"/>
      <x:c r="N208" s="22"/>
      <x:c r="O208" s="24"/>
      <x:c r="P208" s="22"/>
      <x:c r="Q208" s="22"/>
    </x:row>
    <x:row r="209">
      <x:c r="A209" s="22"/>
      <x:c r="B209" s="22"/>
      <x:c r="C209" s="22"/>
      <x:c r="D209" s="22"/>
      <x:c r="E209" s="22"/>
      <x:c r="F209" s="22"/>
      <x:c r="G209" s="22"/>
      <x:c r="H209" s="22"/>
      <x:c r="I209" s="22" t="str">
        <x:f>IF(COUNT(D209:H209)&lt;5,"",SUM(D209:H209))</x:f>
      </x:c>
      <x:c r="J209" s="23" t="str">
        <x:f>IF(I209="","",I209/5)</x:f>
      </x:c>
      <x:c r="K209" s="22" t="str">
        <x:f>IF(J209="","",IF(J209&gt;=8,"Critical",IF(J209&gt;=6,"High",IF(J209&gt;=4,"Moderate","Low"))))</x:f>
      </x:c>
      <x:c r="L209" s="22"/>
      <x:c r="M209" s="22"/>
      <x:c r="N209" s="22"/>
      <x:c r="O209" s="24"/>
      <x:c r="P209" s="22"/>
      <x:c r="Q209" s="22"/>
    </x:row>
    <x:row r="210">
      <x:c r="A210" s="22"/>
      <x:c r="B210" s="22"/>
      <x:c r="C210" s="22"/>
      <x:c r="D210" s="22"/>
      <x:c r="E210" s="22"/>
      <x:c r="F210" s="22"/>
      <x:c r="G210" s="22"/>
      <x:c r="H210" s="22"/>
      <x:c r="I210" s="22" t="str">
        <x:f>IF(COUNT(D210:H210)&lt;5,"",SUM(D210:H210))</x:f>
      </x:c>
      <x:c r="J210" s="23" t="str">
        <x:f>IF(I210="","",I210/5)</x:f>
      </x:c>
      <x:c r="K210" s="22" t="str">
        <x:f>IF(J210="","",IF(J210&gt;=8,"Critical",IF(J210&gt;=6,"High",IF(J210&gt;=4,"Moderate","Low"))))</x:f>
      </x:c>
      <x:c r="L210" s="22"/>
      <x:c r="M210" s="22"/>
      <x:c r="N210" s="22"/>
      <x:c r="O210" s="24"/>
      <x:c r="P210" s="22"/>
      <x:c r="Q210" s="22"/>
    </x:row>
    <x:row r="211">
      <x:c r="A211" s="22"/>
      <x:c r="B211" s="22"/>
      <x:c r="C211" s="22"/>
      <x:c r="D211" s="22"/>
      <x:c r="E211" s="22"/>
      <x:c r="F211" s="22"/>
      <x:c r="G211" s="22"/>
      <x:c r="H211" s="22"/>
      <x:c r="I211" s="22" t="str">
        <x:f>IF(COUNT(D211:H211)&lt;5,"",SUM(D211:H211))</x:f>
      </x:c>
      <x:c r="J211" s="23" t="str">
        <x:f>IF(I211="","",I211/5)</x:f>
      </x:c>
      <x:c r="K211" s="22" t="str">
        <x:f>IF(J211="","",IF(J211&gt;=8,"Critical",IF(J211&gt;=6,"High",IF(J211&gt;=4,"Moderate","Low"))))</x:f>
      </x:c>
      <x:c r="L211" s="22"/>
      <x:c r="M211" s="22"/>
      <x:c r="N211" s="22"/>
      <x:c r="O211" s="24"/>
      <x:c r="P211" s="22"/>
      <x:c r="Q211" s="22"/>
    </x:row>
    <x:row r="212">
      <x:c r="A212" s="22"/>
      <x:c r="B212" s="22"/>
      <x:c r="C212" s="22"/>
      <x:c r="D212" s="22"/>
      <x:c r="E212" s="22"/>
      <x:c r="F212" s="22"/>
      <x:c r="G212" s="22"/>
      <x:c r="H212" s="22"/>
      <x:c r="I212" s="22" t="str">
        <x:f>IF(COUNT(D212:H212)&lt;5,"",SUM(D212:H212))</x:f>
      </x:c>
      <x:c r="J212" s="23" t="str">
        <x:f>IF(I212="","",I212/5)</x:f>
      </x:c>
      <x:c r="K212" s="22" t="str">
        <x:f>IF(J212="","",IF(J212&gt;=8,"Critical",IF(J212&gt;=6,"High",IF(J212&gt;=4,"Moderate","Low"))))</x:f>
      </x:c>
      <x:c r="L212" s="22"/>
      <x:c r="M212" s="22"/>
      <x:c r="N212" s="22"/>
      <x:c r="O212" s="24"/>
      <x:c r="P212" s="22"/>
      <x:c r="Q212" s="22"/>
    </x:row>
    <x:row r="213">
      <x:c r="A213" s="22"/>
      <x:c r="B213" s="22"/>
      <x:c r="C213" s="22"/>
      <x:c r="D213" s="22"/>
      <x:c r="E213" s="22"/>
      <x:c r="F213" s="22"/>
      <x:c r="G213" s="22"/>
      <x:c r="H213" s="22"/>
      <x:c r="I213" s="22" t="str">
        <x:f>IF(COUNT(D213:H213)&lt;5,"",SUM(D213:H213))</x:f>
      </x:c>
      <x:c r="J213" s="23" t="str">
        <x:f>IF(I213="","",I213/5)</x:f>
      </x:c>
      <x:c r="K213" s="22" t="str">
        <x:f>IF(J213="","",IF(J213&gt;=8,"Critical",IF(J213&gt;=6,"High",IF(J213&gt;=4,"Moderate","Low"))))</x:f>
      </x:c>
      <x:c r="L213" s="22"/>
      <x:c r="M213" s="22"/>
      <x:c r="N213" s="22"/>
      <x:c r="O213" s="24"/>
      <x:c r="P213" s="22"/>
      <x:c r="Q213" s="22"/>
    </x:row>
    <x:row r="214">
      <x:c r="A214" s="22"/>
      <x:c r="B214" s="22"/>
      <x:c r="C214" s="22"/>
      <x:c r="D214" s="22"/>
      <x:c r="E214" s="22"/>
      <x:c r="F214" s="22"/>
      <x:c r="G214" s="22"/>
      <x:c r="H214" s="22"/>
      <x:c r="I214" s="22" t="str">
        <x:f>IF(COUNT(D214:H214)&lt;5,"",SUM(D214:H214))</x:f>
      </x:c>
      <x:c r="J214" s="23" t="str">
        <x:f>IF(I214="","",I214/5)</x:f>
      </x:c>
      <x:c r="K214" s="22" t="str">
        <x:f>IF(J214="","",IF(J214&gt;=8,"Critical",IF(J214&gt;=6,"High",IF(J214&gt;=4,"Moderate","Low"))))</x:f>
      </x:c>
      <x:c r="L214" s="22"/>
      <x:c r="M214" s="22"/>
      <x:c r="N214" s="22"/>
      <x:c r="O214" s="24"/>
      <x:c r="P214" s="22"/>
      <x:c r="Q214" s="22"/>
    </x:row>
    <x:row r="215">
      <x:c r="A215" s="22"/>
      <x:c r="B215" s="22"/>
      <x:c r="C215" s="22"/>
      <x:c r="D215" s="22"/>
      <x:c r="E215" s="22"/>
      <x:c r="F215" s="22"/>
      <x:c r="G215" s="22"/>
      <x:c r="H215" s="22"/>
      <x:c r="I215" s="22" t="str">
        <x:f>IF(COUNT(D215:H215)&lt;5,"",SUM(D215:H215))</x:f>
      </x:c>
      <x:c r="J215" s="23" t="str">
        <x:f>IF(I215="","",I215/5)</x:f>
      </x:c>
      <x:c r="K215" s="22" t="str">
        <x:f>IF(J215="","",IF(J215&gt;=8,"Critical",IF(J215&gt;=6,"High",IF(J215&gt;=4,"Moderate","Low"))))</x:f>
      </x:c>
      <x:c r="L215" s="22"/>
      <x:c r="M215" s="22"/>
      <x:c r="N215" s="22"/>
      <x:c r="O215" s="24"/>
      <x:c r="P215" s="22"/>
      <x:c r="Q215" s="22"/>
    </x:row>
    <x:row r="216">
      <x:c r="A216" s="22"/>
      <x:c r="B216" s="22"/>
      <x:c r="C216" s="22"/>
      <x:c r="D216" s="22"/>
      <x:c r="E216" s="22"/>
      <x:c r="F216" s="22"/>
      <x:c r="G216" s="22"/>
      <x:c r="H216" s="22"/>
      <x:c r="I216" s="22" t="str">
        <x:f>IF(COUNT(D216:H216)&lt;5,"",SUM(D216:H216))</x:f>
      </x:c>
      <x:c r="J216" s="23" t="str">
        <x:f>IF(I216="","",I216/5)</x:f>
      </x:c>
      <x:c r="K216" s="22" t="str">
        <x:f>IF(J216="","",IF(J216&gt;=8,"Critical",IF(J216&gt;=6,"High",IF(J216&gt;=4,"Moderate","Low"))))</x:f>
      </x:c>
      <x:c r="L216" s="22"/>
      <x:c r="M216" s="22"/>
      <x:c r="N216" s="22"/>
      <x:c r="O216" s="24"/>
      <x:c r="P216" s="22"/>
      <x:c r="Q216" s="22"/>
    </x:row>
    <x:row r="217">
      <x:c r="A217" s="22"/>
      <x:c r="B217" s="22"/>
      <x:c r="C217" s="22"/>
      <x:c r="D217" s="22"/>
      <x:c r="E217" s="22"/>
      <x:c r="F217" s="22"/>
      <x:c r="G217" s="22"/>
      <x:c r="H217" s="22"/>
      <x:c r="I217" s="22" t="str">
        <x:f>IF(COUNT(D217:H217)&lt;5,"",SUM(D217:H217))</x:f>
      </x:c>
      <x:c r="J217" s="23" t="str">
        <x:f>IF(I217="","",I217/5)</x:f>
      </x:c>
      <x:c r="K217" s="22" t="str">
        <x:f>IF(J217="","",IF(J217&gt;=8,"Critical",IF(J217&gt;=6,"High",IF(J217&gt;=4,"Moderate","Low"))))</x:f>
      </x:c>
      <x:c r="L217" s="22"/>
      <x:c r="M217" s="22"/>
      <x:c r="N217" s="22"/>
      <x:c r="O217" s="24"/>
      <x:c r="P217" s="22"/>
      <x:c r="Q217" s="22"/>
    </x:row>
    <x:row r="218">
      <x:c r="A218" s="22"/>
      <x:c r="B218" s="22"/>
      <x:c r="C218" s="22"/>
      <x:c r="D218" s="22"/>
      <x:c r="E218" s="22"/>
      <x:c r="F218" s="22"/>
      <x:c r="G218" s="22"/>
      <x:c r="H218" s="22"/>
      <x:c r="I218" s="22" t="str">
        <x:f>IF(COUNT(D218:H218)&lt;5,"",SUM(D218:H218))</x:f>
      </x:c>
      <x:c r="J218" s="23" t="str">
        <x:f>IF(I218="","",I218/5)</x:f>
      </x:c>
      <x:c r="K218" s="22" t="str">
        <x:f>IF(J218="","",IF(J218&gt;=8,"Critical",IF(J218&gt;=6,"High",IF(J218&gt;=4,"Moderate","Low"))))</x:f>
      </x:c>
      <x:c r="L218" s="22"/>
      <x:c r="M218" s="22"/>
      <x:c r="N218" s="22"/>
      <x:c r="O218" s="24"/>
      <x:c r="P218" s="22"/>
      <x:c r="Q218" s="22"/>
    </x:row>
    <x:row r="219">
      <x:c r="A219" s="22"/>
      <x:c r="B219" s="22"/>
      <x:c r="C219" s="22"/>
      <x:c r="D219" s="22"/>
      <x:c r="E219" s="22"/>
      <x:c r="F219" s="22"/>
      <x:c r="G219" s="22"/>
      <x:c r="H219" s="22"/>
      <x:c r="I219" s="22" t="str">
        <x:f>IF(COUNT(D219:H219)&lt;5,"",SUM(D219:H219))</x:f>
      </x:c>
      <x:c r="J219" s="23" t="str">
        <x:f>IF(I219="","",I219/5)</x:f>
      </x:c>
      <x:c r="K219" s="22" t="str">
        <x:f>IF(J219="","",IF(J219&gt;=8,"Critical",IF(J219&gt;=6,"High",IF(J219&gt;=4,"Moderate","Low"))))</x:f>
      </x:c>
      <x:c r="L219" s="22"/>
      <x:c r="M219" s="22"/>
      <x:c r="N219" s="22"/>
      <x:c r="O219" s="24"/>
      <x:c r="P219" s="22"/>
      <x:c r="Q219" s="22"/>
    </x:row>
    <x:row r="220">
      <x:c r="A220" s="22"/>
      <x:c r="B220" s="22"/>
      <x:c r="C220" s="22"/>
      <x:c r="D220" s="22"/>
      <x:c r="E220" s="22"/>
      <x:c r="F220" s="22"/>
      <x:c r="G220" s="22"/>
      <x:c r="H220" s="22"/>
      <x:c r="I220" s="22" t="str">
        <x:f>IF(COUNT(D220:H220)&lt;5,"",SUM(D220:H220))</x:f>
      </x:c>
      <x:c r="J220" s="23" t="str">
        <x:f>IF(I220="","",I220/5)</x:f>
      </x:c>
      <x:c r="K220" s="22" t="str">
        <x:f>IF(J220="","",IF(J220&gt;=8,"Critical",IF(J220&gt;=6,"High",IF(J220&gt;=4,"Moderate","Low"))))</x:f>
      </x:c>
      <x:c r="L220" s="22"/>
      <x:c r="M220" s="22"/>
      <x:c r="N220" s="22"/>
      <x:c r="O220" s="24"/>
      <x:c r="P220" s="22"/>
      <x:c r="Q220" s="22"/>
    </x:row>
    <x:row r="221">
      <x:c r="A221" s="22"/>
      <x:c r="B221" s="22"/>
      <x:c r="C221" s="22"/>
      <x:c r="D221" s="22"/>
      <x:c r="E221" s="22"/>
      <x:c r="F221" s="22"/>
      <x:c r="G221" s="22"/>
      <x:c r="H221" s="22"/>
      <x:c r="I221" s="22" t="str">
        <x:f>IF(COUNT(D221:H221)&lt;5,"",SUM(D221:H221))</x:f>
      </x:c>
      <x:c r="J221" s="23" t="str">
        <x:f>IF(I221="","",I221/5)</x:f>
      </x:c>
      <x:c r="K221" s="22" t="str">
        <x:f>IF(J221="","",IF(J221&gt;=8,"Critical",IF(J221&gt;=6,"High",IF(J221&gt;=4,"Moderate","Low"))))</x:f>
      </x:c>
      <x:c r="L221" s="22"/>
      <x:c r="M221" s="22"/>
      <x:c r="N221" s="22"/>
      <x:c r="O221" s="24"/>
      <x:c r="P221" s="22"/>
      <x:c r="Q221" s="22"/>
    </x:row>
    <x:row r="222">
      <x:c r="A222" s="22"/>
      <x:c r="B222" s="22"/>
      <x:c r="C222" s="22"/>
      <x:c r="D222" s="22"/>
      <x:c r="E222" s="22"/>
      <x:c r="F222" s="22"/>
      <x:c r="G222" s="22"/>
      <x:c r="H222" s="22"/>
      <x:c r="I222" s="22" t="str">
        <x:f>IF(COUNT(D222:H222)&lt;5,"",SUM(D222:H222))</x:f>
      </x:c>
      <x:c r="J222" s="23" t="str">
        <x:f>IF(I222="","",I222/5)</x:f>
      </x:c>
      <x:c r="K222" s="22" t="str">
        <x:f>IF(J222="","",IF(J222&gt;=8,"Critical",IF(J222&gt;=6,"High",IF(J222&gt;=4,"Moderate","Low"))))</x:f>
      </x:c>
      <x:c r="L222" s="22"/>
      <x:c r="M222" s="22"/>
      <x:c r="N222" s="22"/>
      <x:c r="O222" s="24"/>
      <x:c r="P222" s="22"/>
      <x:c r="Q222" s="22"/>
    </x:row>
    <x:row r="223">
      <x:c r="A223" s="22"/>
      <x:c r="B223" s="22"/>
      <x:c r="C223" s="22"/>
      <x:c r="D223" s="22"/>
      <x:c r="E223" s="22"/>
      <x:c r="F223" s="22"/>
      <x:c r="G223" s="22"/>
      <x:c r="H223" s="22"/>
      <x:c r="I223" s="22" t="str">
        <x:f>IF(COUNT(D223:H223)&lt;5,"",SUM(D223:H223))</x:f>
      </x:c>
      <x:c r="J223" s="23" t="str">
        <x:f>IF(I223="","",I223/5)</x:f>
      </x:c>
      <x:c r="K223" s="22" t="str">
        <x:f>IF(J223="","",IF(J223&gt;=8,"Critical",IF(J223&gt;=6,"High",IF(J223&gt;=4,"Moderate","Low"))))</x:f>
      </x:c>
      <x:c r="L223" s="22"/>
      <x:c r="M223" s="22"/>
      <x:c r="N223" s="22"/>
      <x:c r="O223" s="24"/>
      <x:c r="P223" s="22"/>
      <x:c r="Q223" s="22"/>
    </x:row>
    <x:row r="224">
      <x:c r="A224" s="22"/>
      <x:c r="B224" s="22"/>
      <x:c r="C224" s="22"/>
      <x:c r="D224" s="22"/>
      <x:c r="E224" s="22"/>
      <x:c r="F224" s="22"/>
      <x:c r="G224" s="22"/>
      <x:c r="H224" s="22"/>
      <x:c r="I224" s="22" t="str">
        <x:f>IF(COUNT(D224:H224)&lt;5,"",SUM(D224:H224))</x:f>
      </x:c>
      <x:c r="J224" s="23" t="str">
        <x:f>IF(I224="","",I224/5)</x:f>
      </x:c>
      <x:c r="K224" s="22" t="str">
        <x:f>IF(J224="","",IF(J224&gt;=8,"Critical",IF(J224&gt;=6,"High",IF(J224&gt;=4,"Moderate","Low"))))</x:f>
      </x:c>
      <x:c r="L224" s="22"/>
      <x:c r="M224" s="22"/>
      <x:c r="N224" s="22"/>
      <x:c r="O224" s="24"/>
      <x:c r="P224" s="22"/>
      <x:c r="Q224" s="22"/>
    </x:row>
    <x:row r="225">
      <x:c r="A225" s="22"/>
      <x:c r="B225" s="22"/>
      <x:c r="C225" s="22"/>
      <x:c r="D225" s="22"/>
      <x:c r="E225" s="22"/>
      <x:c r="F225" s="22"/>
      <x:c r="G225" s="22"/>
      <x:c r="H225" s="22"/>
      <x:c r="I225" s="22" t="str">
        <x:f>IF(COUNT(D225:H225)&lt;5,"",SUM(D225:H225))</x:f>
      </x:c>
      <x:c r="J225" s="23" t="str">
        <x:f>IF(I225="","",I225/5)</x:f>
      </x:c>
      <x:c r="K225" s="22" t="str">
        <x:f>IF(J225="","",IF(J225&gt;=8,"Critical",IF(J225&gt;=6,"High",IF(J225&gt;=4,"Moderate","Low"))))</x:f>
      </x:c>
      <x:c r="L225" s="22"/>
      <x:c r="M225" s="22"/>
      <x:c r="N225" s="22"/>
      <x:c r="O225" s="24"/>
      <x:c r="P225" s="22"/>
      <x:c r="Q225" s="22"/>
    </x:row>
    <x:row r="226">
      <x:c r="A226" s="22"/>
      <x:c r="B226" s="22"/>
      <x:c r="C226" s="22"/>
      <x:c r="D226" s="22"/>
      <x:c r="E226" s="22"/>
      <x:c r="F226" s="22"/>
      <x:c r="G226" s="22"/>
      <x:c r="H226" s="22"/>
      <x:c r="I226" s="22" t="str">
        <x:f>IF(COUNT(D226:H226)&lt;5,"",SUM(D226:H226))</x:f>
      </x:c>
      <x:c r="J226" s="23" t="str">
        <x:f>IF(I226="","",I226/5)</x:f>
      </x:c>
      <x:c r="K226" s="22" t="str">
        <x:f>IF(J226="","",IF(J226&gt;=8,"Critical",IF(J226&gt;=6,"High",IF(J226&gt;=4,"Moderate","Low"))))</x:f>
      </x:c>
      <x:c r="L226" s="22"/>
      <x:c r="M226" s="22"/>
      <x:c r="N226" s="22"/>
      <x:c r="O226" s="24"/>
      <x:c r="P226" s="22"/>
      <x:c r="Q226" s="22"/>
    </x:row>
    <x:row r="227">
      <x:c r="A227" s="22"/>
      <x:c r="B227" s="22"/>
      <x:c r="C227" s="22"/>
      <x:c r="D227" s="22"/>
      <x:c r="E227" s="22"/>
      <x:c r="F227" s="22"/>
      <x:c r="G227" s="22"/>
      <x:c r="H227" s="22"/>
      <x:c r="I227" s="22" t="str">
        <x:f>IF(COUNT(D227:H227)&lt;5,"",SUM(D227:H227))</x:f>
      </x:c>
      <x:c r="J227" s="23" t="str">
        <x:f>IF(I227="","",I227/5)</x:f>
      </x:c>
      <x:c r="K227" s="22" t="str">
        <x:f>IF(J227="","",IF(J227&gt;=8,"Critical",IF(J227&gt;=6,"High",IF(J227&gt;=4,"Moderate","Low"))))</x:f>
      </x:c>
      <x:c r="L227" s="22"/>
      <x:c r="M227" s="22"/>
      <x:c r="N227" s="22"/>
      <x:c r="O227" s="24"/>
      <x:c r="P227" s="22"/>
      <x:c r="Q227" s="22"/>
    </x:row>
    <x:row r="228">
      <x:c r="A228" s="22"/>
      <x:c r="B228" s="22"/>
      <x:c r="C228" s="22"/>
      <x:c r="D228" s="22"/>
      <x:c r="E228" s="22"/>
      <x:c r="F228" s="22"/>
      <x:c r="G228" s="22"/>
      <x:c r="H228" s="22"/>
      <x:c r="I228" s="22" t="str">
        <x:f>IF(COUNT(D228:H228)&lt;5,"",SUM(D228:H228))</x:f>
      </x:c>
      <x:c r="J228" s="23" t="str">
        <x:f>IF(I228="","",I228/5)</x:f>
      </x:c>
      <x:c r="K228" s="22" t="str">
        <x:f>IF(J228="","",IF(J228&gt;=8,"Critical",IF(J228&gt;=6,"High",IF(J228&gt;=4,"Moderate","Low"))))</x:f>
      </x:c>
      <x:c r="L228" s="22"/>
      <x:c r="M228" s="22"/>
      <x:c r="N228" s="22"/>
      <x:c r="O228" s="24"/>
      <x:c r="P228" s="22"/>
      <x:c r="Q228" s="22"/>
    </x:row>
    <x:row r="229">
      <x:c r="A229" s="22"/>
      <x:c r="B229" s="22"/>
      <x:c r="C229" s="22"/>
      <x:c r="D229" s="22"/>
      <x:c r="E229" s="22"/>
      <x:c r="F229" s="22"/>
      <x:c r="G229" s="22"/>
      <x:c r="H229" s="22"/>
      <x:c r="I229" s="22" t="str">
        <x:f>IF(COUNT(D229:H229)&lt;5,"",SUM(D229:H229))</x:f>
      </x:c>
      <x:c r="J229" s="23" t="str">
        <x:f>IF(I229="","",I229/5)</x:f>
      </x:c>
      <x:c r="K229" s="22" t="str">
        <x:f>IF(J229="","",IF(J229&gt;=8,"Critical",IF(J229&gt;=6,"High",IF(J229&gt;=4,"Moderate","Low"))))</x:f>
      </x:c>
      <x:c r="L229" s="22"/>
      <x:c r="M229" s="22"/>
      <x:c r="N229" s="22"/>
      <x:c r="O229" s="24"/>
      <x:c r="P229" s="22"/>
      <x:c r="Q229" s="22"/>
    </x:row>
    <x:row r="230">
      <x:c r="A230" s="22"/>
      <x:c r="B230" s="22"/>
      <x:c r="C230" s="22"/>
      <x:c r="D230" s="22"/>
      <x:c r="E230" s="22"/>
      <x:c r="F230" s="22"/>
      <x:c r="G230" s="22"/>
      <x:c r="H230" s="22"/>
      <x:c r="I230" s="22" t="str">
        <x:f>IF(COUNT(D230:H230)&lt;5,"",SUM(D230:H230))</x:f>
      </x:c>
      <x:c r="J230" s="23" t="str">
        <x:f>IF(I230="","",I230/5)</x:f>
      </x:c>
      <x:c r="K230" s="22" t="str">
        <x:f>IF(J230="","",IF(J230&gt;=8,"Critical",IF(J230&gt;=6,"High",IF(J230&gt;=4,"Moderate","Low"))))</x:f>
      </x:c>
      <x:c r="L230" s="22"/>
      <x:c r="M230" s="22"/>
      <x:c r="N230" s="22"/>
      <x:c r="O230" s="24"/>
      <x:c r="P230" s="22"/>
      <x:c r="Q230" s="22"/>
    </x:row>
    <x:row r="231">
      <x:c r="A231" s="22"/>
      <x:c r="B231" s="22"/>
      <x:c r="C231" s="22"/>
      <x:c r="D231" s="22"/>
      <x:c r="E231" s="22"/>
      <x:c r="F231" s="22"/>
      <x:c r="G231" s="22"/>
      <x:c r="H231" s="22"/>
      <x:c r="I231" s="22" t="str">
        <x:f>IF(COUNT(D231:H231)&lt;5,"",SUM(D231:H231))</x:f>
      </x:c>
      <x:c r="J231" s="23" t="str">
        <x:f>IF(I231="","",I231/5)</x:f>
      </x:c>
      <x:c r="K231" s="22" t="str">
        <x:f>IF(J231="","",IF(J231&gt;=8,"Critical",IF(J231&gt;=6,"High",IF(J231&gt;=4,"Moderate","Low"))))</x:f>
      </x:c>
      <x:c r="L231" s="22"/>
      <x:c r="M231" s="22"/>
      <x:c r="N231" s="22"/>
      <x:c r="O231" s="24"/>
      <x:c r="P231" s="22"/>
      <x:c r="Q231" s="22"/>
    </x:row>
    <x:row r="232">
      <x:c r="A232" s="22"/>
      <x:c r="B232" s="22"/>
      <x:c r="C232" s="22"/>
      <x:c r="D232" s="22"/>
      <x:c r="E232" s="22"/>
      <x:c r="F232" s="22"/>
      <x:c r="G232" s="22"/>
      <x:c r="H232" s="22"/>
      <x:c r="I232" s="22" t="str">
        <x:f>IF(COUNT(D232:H232)&lt;5,"",SUM(D232:H232))</x:f>
      </x:c>
      <x:c r="J232" s="23" t="str">
        <x:f>IF(I232="","",I232/5)</x:f>
      </x:c>
      <x:c r="K232" s="22" t="str">
        <x:f>IF(J232="","",IF(J232&gt;=8,"Critical",IF(J232&gt;=6,"High",IF(J232&gt;=4,"Moderate","Low"))))</x:f>
      </x:c>
      <x:c r="L232" s="22"/>
      <x:c r="M232" s="22"/>
      <x:c r="N232" s="22"/>
      <x:c r="O232" s="24"/>
      <x:c r="P232" s="22"/>
      <x:c r="Q232" s="22"/>
    </x:row>
    <x:row r="233">
      <x:c r="A233" s="22"/>
      <x:c r="B233" s="22"/>
      <x:c r="C233" s="22"/>
      <x:c r="D233" s="22"/>
      <x:c r="E233" s="22"/>
      <x:c r="F233" s="22"/>
      <x:c r="G233" s="22"/>
      <x:c r="H233" s="22"/>
      <x:c r="I233" s="22" t="str">
        <x:f>IF(COUNT(D233:H233)&lt;5,"",SUM(D233:H233))</x:f>
      </x:c>
      <x:c r="J233" s="23" t="str">
        <x:f>IF(I233="","",I233/5)</x:f>
      </x:c>
      <x:c r="K233" s="22" t="str">
        <x:f>IF(J233="","",IF(J233&gt;=8,"Critical",IF(J233&gt;=6,"High",IF(J233&gt;=4,"Moderate","Low"))))</x:f>
      </x:c>
      <x:c r="L233" s="22"/>
      <x:c r="M233" s="22"/>
      <x:c r="N233" s="22"/>
      <x:c r="O233" s="24"/>
      <x:c r="P233" s="22"/>
      <x:c r="Q233" s="22"/>
    </x:row>
    <x:row r="234">
      <x:c r="A234" s="22"/>
      <x:c r="B234" s="22"/>
      <x:c r="C234" s="22"/>
      <x:c r="D234" s="22"/>
      <x:c r="E234" s="22"/>
      <x:c r="F234" s="22"/>
      <x:c r="G234" s="22"/>
      <x:c r="H234" s="22"/>
      <x:c r="I234" s="22" t="str">
        <x:f>IF(COUNT(D234:H234)&lt;5,"",SUM(D234:H234))</x:f>
      </x:c>
      <x:c r="J234" s="23" t="str">
        <x:f>IF(I234="","",I234/5)</x:f>
      </x:c>
      <x:c r="K234" s="22" t="str">
        <x:f>IF(J234="","",IF(J234&gt;=8,"Critical",IF(J234&gt;=6,"High",IF(J234&gt;=4,"Moderate","Low"))))</x:f>
      </x:c>
      <x:c r="L234" s="22"/>
      <x:c r="M234" s="22"/>
      <x:c r="N234" s="22"/>
      <x:c r="O234" s="24"/>
      <x:c r="P234" s="22"/>
      <x:c r="Q234" s="22"/>
    </x:row>
    <x:row r="235">
      <x:c r="A235" s="22"/>
      <x:c r="B235" s="22"/>
      <x:c r="C235" s="22"/>
      <x:c r="D235" s="22"/>
      <x:c r="E235" s="22"/>
      <x:c r="F235" s="22"/>
      <x:c r="G235" s="22"/>
      <x:c r="H235" s="22"/>
      <x:c r="I235" s="22" t="str">
        <x:f>IF(COUNT(D235:H235)&lt;5,"",SUM(D235:H235))</x:f>
      </x:c>
      <x:c r="J235" s="23" t="str">
        <x:f>IF(I235="","",I235/5)</x:f>
      </x:c>
      <x:c r="K235" s="22" t="str">
        <x:f>IF(J235="","",IF(J235&gt;=8,"Critical",IF(J235&gt;=6,"High",IF(J235&gt;=4,"Moderate","Low"))))</x:f>
      </x:c>
      <x:c r="L235" s="22"/>
      <x:c r="M235" s="22"/>
      <x:c r="N235" s="22"/>
      <x:c r="O235" s="24"/>
      <x:c r="P235" s="22"/>
      <x:c r="Q235" s="22"/>
    </x:row>
    <x:row r="236">
      <x:c r="A236" s="22"/>
      <x:c r="B236" s="22"/>
      <x:c r="C236" s="22"/>
      <x:c r="D236" s="22"/>
      <x:c r="E236" s="22"/>
      <x:c r="F236" s="22"/>
      <x:c r="G236" s="22"/>
      <x:c r="H236" s="22"/>
      <x:c r="I236" s="22" t="str">
        <x:f>IF(COUNT(D236:H236)&lt;5,"",SUM(D236:H236))</x:f>
      </x:c>
      <x:c r="J236" s="23" t="str">
        <x:f>IF(I236="","",I236/5)</x:f>
      </x:c>
      <x:c r="K236" s="22" t="str">
        <x:f>IF(J236="","",IF(J236&gt;=8,"Critical",IF(J236&gt;=6,"High",IF(J236&gt;=4,"Moderate","Low"))))</x:f>
      </x:c>
      <x:c r="L236" s="22"/>
      <x:c r="M236" s="22"/>
      <x:c r="N236" s="22"/>
      <x:c r="O236" s="24"/>
      <x:c r="P236" s="22"/>
      <x:c r="Q236" s="22"/>
    </x:row>
    <x:row r="237">
      <x:c r="A237" s="22"/>
      <x:c r="B237" s="22"/>
      <x:c r="C237" s="22"/>
      <x:c r="D237" s="22"/>
      <x:c r="E237" s="22"/>
      <x:c r="F237" s="22"/>
      <x:c r="G237" s="22"/>
      <x:c r="H237" s="22"/>
      <x:c r="I237" s="22" t="str">
        <x:f>IF(COUNT(D237:H237)&lt;5,"",SUM(D237:H237))</x:f>
      </x:c>
      <x:c r="J237" s="23" t="str">
        <x:f>IF(I237="","",I237/5)</x:f>
      </x:c>
      <x:c r="K237" s="22" t="str">
        <x:f>IF(J237="","",IF(J237&gt;=8,"Critical",IF(J237&gt;=6,"High",IF(J237&gt;=4,"Moderate","Low"))))</x:f>
      </x:c>
      <x:c r="L237" s="22"/>
      <x:c r="M237" s="22"/>
      <x:c r="N237" s="22"/>
      <x:c r="O237" s="24"/>
      <x:c r="P237" s="22"/>
      <x:c r="Q237" s="22"/>
    </x:row>
    <x:row r="238">
      <x:c r="A238" s="22"/>
      <x:c r="B238" s="22"/>
      <x:c r="C238" s="22"/>
      <x:c r="D238" s="22"/>
      <x:c r="E238" s="22"/>
      <x:c r="F238" s="22"/>
      <x:c r="G238" s="22"/>
      <x:c r="H238" s="22"/>
      <x:c r="I238" s="22" t="str">
        <x:f>IF(COUNT(D238:H238)&lt;5,"",SUM(D238:H238))</x:f>
      </x:c>
      <x:c r="J238" s="23" t="str">
        <x:f>IF(I238="","",I238/5)</x:f>
      </x:c>
      <x:c r="K238" s="22" t="str">
        <x:f>IF(J238="","",IF(J238&gt;=8,"Critical",IF(J238&gt;=6,"High",IF(J238&gt;=4,"Moderate","Low"))))</x:f>
      </x:c>
      <x:c r="L238" s="22"/>
      <x:c r="M238" s="22"/>
      <x:c r="N238" s="22"/>
      <x:c r="O238" s="24"/>
      <x:c r="P238" s="22"/>
      <x:c r="Q238" s="22"/>
    </x:row>
    <x:row r="239">
      <x:c r="A239" s="22"/>
      <x:c r="B239" s="22"/>
      <x:c r="C239" s="22"/>
      <x:c r="D239" s="22"/>
      <x:c r="E239" s="22"/>
      <x:c r="F239" s="22"/>
      <x:c r="G239" s="22"/>
      <x:c r="H239" s="22"/>
      <x:c r="I239" s="22" t="str">
        <x:f>IF(COUNT(D239:H239)&lt;5,"",SUM(D239:H239))</x:f>
      </x:c>
      <x:c r="J239" s="23" t="str">
        <x:f>IF(I239="","",I239/5)</x:f>
      </x:c>
      <x:c r="K239" s="22" t="str">
        <x:f>IF(J239="","",IF(J239&gt;=8,"Critical",IF(J239&gt;=6,"High",IF(J239&gt;=4,"Moderate","Low"))))</x:f>
      </x:c>
      <x:c r="L239" s="22"/>
      <x:c r="M239" s="22"/>
      <x:c r="N239" s="22"/>
      <x:c r="O239" s="24"/>
      <x:c r="P239" s="22"/>
      <x:c r="Q239" s="22"/>
    </x:row>
    <x:row r="240">
      <x:c r="A240" s="22"/>
      <x:c r="B240" s="22"/>
      <x:c r="C240" s="22"/>
      <x:c r="D240" s="22"/>
      <x:c r="E240" s="22"/>
      <x:c r="F240" s="22"/>
      <x:c r="G240" s="22"/>
      <x:c r="H240" s="22"/>
      <x:c r="I240" s="22" t="str">
        <x:f>IF(COUNT(D240:H240)&lt;5,"",SUM(D240:H240))</x:f>
      </x:c>
      <x:c r="J240" s="23" t="str">
        <x:f>IF(I240="","",I240/5)</x:f>
      </x:c>
      <x:c r="K240" s="22" t="str">
        <x:f>IF(J240="","",IF(J240&gt;=8,"Critical",IF(J240&gt;=6,"High",IF(J240&gt;=4,"Moderate","Low"))))</x:f>
      </x:c>
      <x:c r="L240" s="22"/>
      <x:c r="M240" s="22"/>
      <x:c r="N240" s="22"/>
      <x:c r="O240" s="24"/>
      <x:c r="P240" s="22"/>
      <x:c r="Q240" s="22"/>
    </x:row>
    <x:row r="241">
      <x:c r="A241" s="22"/>
      <x:c r="B241" s="22"/>
      <x:c r="C241" s="22"/>
      <x:c r="D241" s="22"/>
      <x:c r="E241" s="22"/>
      <x:c r="F241" s="22"/>
      <x:c r="G241" s="22"/>
      <x:c r="H241" s="22"/>
      <x:c r="I241" s="22" t="str">
        <x:f>IF(COUNT(D241:H241)&lt;5,"",SUM(D241:H241))</x:f>
      </x:c>
      <x:c r="J241" s="23" t="str">
        <x:f>IF(I241="","",I241/5)</x:f>
      </x:c>
      <x:c r="K241" s="22" t="str">
        <x:f>IF(J241="","",IF(J241&gt;=8,"Critical",IF(J241&gt;=6,"High",IF(J241&gt;=4,"Moderate","Low"))))</x:f>
      </x:c>
      <x:c r="L241" s="22"/>
      <x:c r="M241" s="22"/>
      <x:c r="N241" s="22"/>
      <x:c r="O241" s="24"/>
      <x:c r="P241" s="22"/>
      <x:c r="Q241" s="22"/>
    </x:row>
    <x:row r="242">
      <x:c r="A242" s="22"/>
      <x:c r="B242" s="22"/>
      <x:c r="C242" s="22"/>
      <x:c r="D242" s="22"/>
      <x:c r="E242" s="22"/>
      <x:c r="F242" s="22"/>
      <x:c r="G242" s="22"/>
      <x:c r="H242" s="22"/>
      <x:c r="I242" s="22" t="str">
        <x:f>IF(COUNT(D242:H242)&lt;5,"",SUM(D242:H242))</x:f>
      </x:c>
      <x:c r="J242" s="23" t="str">
        <x:f>IF(I242="","",I242/5)</x:f>
      </x:c>
      <x:c r="K242" s="22" t="str">
        <x:f>IF(J242="","",IF(J242&gt;=8,"Critical",IF(J242&gt;=6,"High",IF(J242&gt;=4,"Moderate","Low"))))</x:f>
      </x:c>
      <x:c r="L242" s="22"/>
      <x:c r="M242" s="22"/>
      <x:c r="N242" s="22"/>
      <x:c r="O242" s="24"/>
      <x:c r="P242" s="22"/>
      <x:c r="Q242" s="22"/>
    </x:row>
    <x:row r="243">
      <x:c r="A243" s="22"/>
      <x:c r="B243" s="22"/>
      <x:c r="C243" s="22"/>
      <x:c r="D243" s="22"/>
      <x:c r="E243" s="22"/>
      <x:c r="F243" s="22"/>
      <x:c r="G243" s="22"/>
      <x:c r="H243" s="22"/>
      <x:c r="I243" s="22" t="str">
        <x:f>IF(COUNT(D243:H243)&lt;5,"",SUM(D243:H243))</x:f>
      </x:c>
      <x:c r="J243" s="23" t="str">
        <x:f>IF(I243="","",I243/5)</x:f>
      </x:c>
      <x:c r="K243" s="22" t="str">
        <x:f>IF(J243="","",IF(J243&gt;=8,"Critical",IF(J243&gt;=6,"High",IF(J243&gt;=4,"Moderate","Low"))))</x:f>
      </x:c>
      <x:c r="L243" s="22"/>
      <x:c r="M243" s="22"/>
      <x:c r="N243" s="22"/>
      <x:c r="O243" s="24"/>
      <x:c r="P243" s="22"/>
      <x:c r="Q243" s="22"/>
    </x:row>
    <x:row r="244">
      <x:c r="A244" s="22"/>
      <x:c r="B244" s="22"/>
      <x:c r="C244" s="22"/>
      <x:c r="D244" s="22"/>
      <x:c r="E244" s="22"/>
      <x:c r="F244" s="22"/>
      <x:c r="G244" s="22"/>
      <x:c r="H244" s="22"/>
      <x:c r="I244" s="22" t="str">
        <x:f>IF(COUNT(D244:H244)&lt;5,"",SUM(D244:H244))</x:f>
      </x:c>
      <x:c r="J244" s="23" t="str">
        <x:f>IF(I244="","",I244/5)</x:f>
      </x:c>
      <x:c r="K244" s="22" t="str">
        <x:f>IF(J244="","",IF(J244&gt;=8,"Critical",IF(J244&gt;=6,"High",IF(J244&gt;=4,"Moderate","Low"))))</x:f>
      </x:c>
      <x:c r="L244" s="22"/>
      <x:c r="M244" s="22"/>
      <x:c r="N244" s="22"/>
      <x:c r="O244" s="24"/>
      <x:c r="P244" s="22"/>
      <x:c r="Q244" s="22"/>
    </x:row>
    <x:row r="245">
      <x:c r="A245" s="22"/>
      <x:c r="B245" s="22"/>
      <x:c r="C245" s="22"/>
      <x:c r="D245" s="22"/>
      <x:c r="E245" s="22"/>
      <x:c r="F245" s="22"/>
      <x:c r="G245" s="22"/>
      <x:c r="H245" s="22"/>
      <x:c r="I245" s="22" t="str">
        <x:f>IF(COUNT(D245:H245)&lt;5,"",SUM(D245:H245))</x:f>
      </x:c>
      <x:c r="J245" s="23" t="str">
        <x:f>IF(I245="","",I245/5)</x:f>
      </x:c>
      <x:c r="K245" s="22" t="str">
        <x:f>IF(J245="","",IF(J245&gt;=8,"Critical",IF(J245&gt;=6,"High",IF(J245&gt;=4,"Moderate","Low"))))</x:f>
      </x:c>
      <x:c r="L245" s="22"/>
      <x:c r="M245" s="22"/>
      <x:c r="N245" s="22"/>
      <x:c r="O245" s="24"/>
      <x:c r="P245" s="22"/>
      <x:c r="Q245" s="22"/>
    </x:row>
    <x:row r="246">
      <x:c r="A246" s="22"/>
      <x:c r="B246" s="22"/>
      <x:c r="C246" s="22"/>
      <x:c r="D246" s="22"/>
      <x:c r="E246" s="22"/>
      <x:c r="F246" s="22"/>
      <x:c r="G246" s="22"/>
      <x:c r="H246" s="22"/>
      <x:c r="I246" s="22" t="str">
        <x:f>IF(COUNT(D246:H246)&lt;5,"",SUM(D246:H246))</x:f>
      </x:c>
      <x:c r="J246" s="23" t="str">
        <x:f>IF(I246="","",I246/5)</x:f>
      </x:c>
      <x:c r="K246" s="22" t="str">
        <x:f>IF(J246="","",IF(J246&gt;=8,"Critical",IF(J246&gt;=6,"High",IF(J246&gt;=4,"Moderate","Low"))))</x:f>
      </x:c>
      <x:c r="L246" s="22"/>
      <x:c r="M246" s="22"/>
      <x:c r="N246" s="22"/>
      <x:c r="O246" s="24"/>
      <x:c r="P246" s="22"/>
      <x:c r="Q246" s="22"/>
    </x:row>
    <x:row r="247">
      <x:c r="A247" s="22"/>
      <x:c r="B247" s="22"/>
      <x:c r="C247" s="22"/>
      <x:c r="D247" s="22"/>
      <x:c r="E247" s="22"/>
      <x:c r="F247" s="22"/>
      <x:c r="G247" s="22"/>
      <x:c r="H247" s="22"/>
      <x:c r="I247" s="22" t="str">
        <x:f>IF(COUNT(D247:H247)&lt;5,"",SUM(D247:H247))</x:f>
      </x:c>
      <x:c r="J247" s="23" t="str">
        <x:f>IF(I247="","",I247/5)</x:f>
      </x:c>
      <x:c r="K247" s="22" t="str">
        <x:f>IF(J247="","",IF(J247&gt;=8,"Critical",IF(J247&gt;=6,"High",IF(J247&gt;=4,"Moderate","Low"))))</x:f>
      </x:c>
      <x:c r="L247" s="22"/>
      <x:c r="M247" s="22"/>
      <x:c r="N247" s="22"/>
      <x:c r="O247" s="24"/>
      <x:c r="P247" s="22"/>
      <x:c r="Q247" s="22"/>
    </x:row>
    <x:row r="248">
      <x:c r="A248" s="22"/>
      <x:c r="B248" s="22"/>
      <x:c r="C248" s="22"/>
      <x:c r="D248" s="22"/>
      <x:c r="E248" s="22"/>
      <x:c r="F248" s="22"/>
      <x:c r="G248" s="22"/>
      <x:c r="H248" s="22"/>
      <x:c r="I248" s="22" t="str">
        <x:f>IF(COUNT(D248:H248)&lt;5,"",SUM(D248:H248))</x:f>
      </x:c>
      <x:c r="J248" s="23" t="str">
        <x:f>IF(I248="","",I248/5)</x:f>
      </x:c>
      <x:c r="K248" s="22" t="str">
        <x:f>IF(J248="","",IF(J248&gt;=8,"Critical",IF(J248&gt;=6,"High",IF(J248&gt;=4,"Moderate","Low"))))</x:f>
      </x:c>
      <x:c r="L248" s="22"/>
      <x:c r="M248" s="22"/>
      <x:c r="N248" s="22"/>
      <x:c r="O248" s="24"/>
      <x:c r="P248" s="22"/>
      <x:c r="Q248" s="22"/>
    </x:row>
    <x:row r="249">
      <x:c r="A249" s="22"/>
      <x:c r="B249" s="22"/>
      <x:c r="C249" s="22"/>
      <x:c r="D249" s="22"/>
      <x:c r="E249" s="22"/>
      <x:c r="F249" s="22"/>
      <x:c r="G249" s="22"/>
      <x:c r="H249" s="22"/>
      <x:c r="I249" s="22" t="str">
        <x:f>IF(COUNT(D249:H249)&lt;5,"",SUM(D249:H249))</x:f>
      </x:c>
      <x:c r="J249" s="23" t="str">
        <x:f>IF(I249="","",I249/5)</x:f>
      </x:c>
      <x:c r="K249" s="22" t="str">
        <x:f>IF(J249="","",IF(J249&gt;=8,"Critical",IF(J249&gt;=6,"High",IF(J249&gt;=4,"Moderate","Low"))))</x:f>
      </x:c>
      <x:c r="L249" s="22"/>
      <x:c r="M249" s="22"/>
      <x:c r="N249" s="22"/>
      <x:c r="O249" s="24"/>
      <x:c r="P249" s="22"/>
      <x:c r="Q249" s="22"/>
    </x:row>
    <x:row r="250">
      <x:c r="A250" s="22"/>
      <x:c r="B250" s="22"/>
      <x:c r="C250" s="22"/>
      <x:c r="D250" s="22"/>
      <x:c r="E250" s="22"/>
      <x:c r="F250" s="22"/>
      <x:c r="G250" s="22"/>
      <x:c r="H250" s="22"/>
      <x:c r="I250" s="22" t="str">
        <x:f>IF(COUNT(D250:H250)&lt;5,"",SUM(D250:H250))</x:f>
      </x:c>
      <x:c r="J250" s="23" t="str">
        <x:f>IF(I250="","",I250/5)</x:f>
      </x:c>
      <x:c r="K250" s="22" t="str">
        <x:f>IF(J250="","",IF(J250&gt;=8,"Critical",IF(J250&gt;=6,"High",IF(J250&gt;=4,"Moderate","Low"))))</x:f>
      </x:c>
      <x:c r="L250" s="22"/>
      <x:c r="M250" s="22"/>
      <x:c r="N250" s="22"/>
      <x:c r="O250" s="24"/>
      <x:c r="P250" s="22"/>
      <x:c r="Q250" s="22"/>
    </x:row>
    <x:row r="251">
      <x:c r="A251" s="22"/>
      <x:c r="B251" s="22"/>
      <x:c r="C251" s="22"/>
      <x:c r="D251" s="22"/>
      <x:c r="E251" s="22"/>
      <x:c r="F251" s="22"/>
      <x:c r="G251" s="22"/>
      <x:c r="H251" s="22"/>
      <x:c r="I251" s="22" t="str">
        <x:f>IF(COUNT(D251:H251)&lt;5,"",SUM(D251:H251))</x:f>
      </x:c>
      <x:c r="J251" s="23" t="str">
        <x:f>IF(I251="","",I251/5)</x:f>
      </x:c>
      <x:c r="K251" s="22" t="str">
        <x:f>IF(J251="","",IF(J251&gt;=8,"Critical",IF(J251&gt;=6,"High",IF(J251&gt;=4,"Moderate","Low"))))</x:f>
      </x:c>
      <x:c r="L251" s="22"/>
      <x:c r="M251" s="22"/>
      <x:c r="N251" s="22"/>
      <x:c r="O251" s="24"/>
      <x:c r="P251" s="22"/>
      <x:c r="Q251" s="22"/>
    </x:row>
    <x:row r="252">
      <x:c r="A252" s="22"/>
      <x:c r="B252" s="22"/>
      <x:c r="C252" s="22"/>
      <x:c r="D252" s="22"/>
      <x:c r="E252" s="22"/>
      <x:c r="F252" s="22"/>
      <x:c r="G252" s="22"/>
      <x:c r="H252" s="22"/>
      <x:c r="I252" s="22" t="str">
        <x:f>IF(COUNT(D252:H252)&lt;5,"",SUM(D252:H252))</x:f>
      </x:c>
      <x:c r="J252" s="23" t="str">
        <x:f>IF(I252="","",I252/5)</x:f>
      </x:c>
      <x:c r="K252" s="22" t="str">
        <x:f>IF(J252="","",IF(J252&gt;=8,"Critical",IF(J252&gt;=6,"High",IF(J252&gt;=4,"Moderate","Low"))))</x:f>
      </x:c>
      <x:c r="L252" s="22"/>
      <x:c r="M252" s="22"/>
      <x:c r="N252" s="22"/>
      <x:c r="O252" s="24"/>
      <x:c r="P252" s="22"/>
      <x:c r="Q252" s="22"/>
    </x:row>
    <x:row r="253">
      <x:c r="A253" s="22"/>
      <x:c r="B253" s="22"/>
      <x:c r="C253" s="22"/>
      <x:c r="D253" s="22"/>
      <x:c r="E253" s="22"/>
      <x:c r="F253" s="22"/>
      <x:c r="G253" s="22"/>
      <x:c r="H253" s="22"/>
      <x:c r="I253" s="22" t="str">
        <x:f>IF(COUNT(D253:H253)&lt;5,"",SUM(D253:H253))</x:f>
      </x:c>
      <x:c r="J253" s="23" t="str">
        <x:f>IF(I253="","",I253/5)</x:f>
      </x:c>
      <x:c r="K253" s="22" t="str">
        <x:f>IF(J253="","",IF(J253&gt;=8,"Critical",IF(J253&gt;=6,"High",IF(J253&gt;=4,"Moderate","Low"))))</x:f>
      </x:c>
      <x:c r="L253" s="22"/>
      <x:c r="M253" s="22"/>
      <x:c r="N253" s="22"/>
      <x:c r="O253" s="24"/>
      <x:c r="P253" s="22"/>
      <x:c r="Q253" s="22"/>
    </x:row>
    <x:row r="254">
      <x:c r="A254" s="22"/>
      <x:c r="B254" s="22"/>
      <x:c r="C254" s="22"/>
      <x:c r="D254" s="22"/>
      <x:c r="E254" s="22"/>
      <x:c r="F254" s="22"/>
      <x:c r="G254" s="22"/>
      <x:c r="H254" s="22"/>
      <x:c r="I254" s="22" t="str">
        <x:f>IF(COUNT(D254:H254)&lt;5,"",SUM(D254:H254))</x:f>
      </x:c>
      <x:c r="J254" s="23" t="str">
        <x:f>IF(I254="","",I254/5)</x:f>
      </x:c>
      <x:c r="K254" s="22" t="str">
        <x:f>IF(J254="","",IF(J254&gt;=8,"Critical",IF(J254&gt;=6,"High",IF(J254&gt;=4,"Moderate","Low"))))</x:f>
      </x:c>
      <x:c r="L254" s="22"/>
      <x:c r="M254" s="22"/>
      <x:c r="N254" s="22"/>
      <x:c r="O254" s="24"/>
      <x:c r="P254" s="22"/>
      <x:c r="Q254" s="22"/>
    </x:row>
    <x:row r="255">
      <x:c r="A255" s="22"/>
      <x:c r="B255" s="22"/>
      <x:c r="C255" s="22"/>
      <x:c r="D255" s="22"/>
      <x:c r="E255" s="22"/>
      <x:c r="F255" s="22"/>
      <x:c r="G255" s="22"/>
      <x:c r="H255" s="22"/>
      <x:c r="I255" s="22" t="str">
        <x:f>IF(COUNT(D255:H255)&lt;5,"",SUM(D255:H255))</x:f>
      </x:c>
      <x:c r="J255" s="23" t="str">
        <x:f>IF(I255="","",I255/5)</x:f>
      </x:c>
      <x:c r="K255" s="22" t="str">
        <x:f>IF(J255="","",IF(J255&gt;=8,"Critical",IF(J255&gt;=6,"High",IF(J255&gt;=4,"Moderate","Low"))))</x:f>
      </x:c>
      <x:c r="L255" s="22"/>
      <x:c r="M255" s="22"/>
      <x:c r="N255" s="22"/>
      <x:c r="O255" s="24"/>
      <x:c r="P255" s="22"/>
      <x:c r="Q255" s="22"/>
    </x:row>
    <x:row r="256">
      <x:c r="A256" s="22"/>
      <x:c r="B256" s="22"/>
      <x:c r="C256" s="22"/>
      <x:c r="D256" s="22"/>
      <x:c r="E256" s="22"/>
      <x:c r="F256" s="22"/>
      <x:c r="G256" s="22"/>
      <x:c r="H256" s="22"/>
      <x:c r="I256" s="22" t="str">
        <x:f>IF(COUNT(D256:H256)&lt;5,"",SUM(D256:H256))</x:f>
      </x:c>
      <x:c r="J256" s="23" t="str">
        <x:f>IF(I256="","",I256/5)</x:f>
      </x:c>
      <x:c r="K256" s="22" t="str">
        <x:f>IF(J256="","",IF(J256&gt;=8,"Critical",IF(J256&gt;=6,"High",IF(J256&gt;=4,"Moderate","Low"))))</x:f>
      </x:c>
      <x:c r="L256" s="22"/>
      <x:c r="M256" s="22"/>
      <x:c r="N256" s="22"/>
      <x:c r="O256" s="24"/>
      <x:c r="P256" s="22"/>
      <x:c r="Q256" s="22"/>
    </x:row>
    <x:row r="257">
      <x:c r="A257" s="22"/>
      <x:c r="B257" s="22"/>
      <x:c r="C257" s="22"/>
      <x:c r="D257" s="22"/>
      <x:c r="E257" s="22"/>
      <x:c r="F257" s="22"/>
      <x:c r="G257" s="22"/>
      <x:c r="H257" s="22"/>
      <x:c r="I257" s="22" t="str">
        <x:f>IF(COUNT(D257:H257)&lt;5,"",SUM(D257:H257))</x:f>
      </x:c>
      <x:c r="J257" s="23" t="str">
        <x:f>IF(I257="","",I257/5)</x:f>
      </x:c>
      <x:c r="K257" s="22" t="str">
        <x:f>IF(J257="","",IF(J257&gt;=8,"Critical",IF(J257&gt;=6,"High",IF(J257&gt;=4,"Moderate","Low"))))</x:f>
      </x:c>
      <x:c r="L257" s="22"/>
      <x:c r="M257" s="22"/>
      <x:c r="N257" s="22"/>
      <x:c r="O257" s="24"/>
      <x:c r="P257" s="22"/>
      <x:c r="Q257" s="22"/>
    </x:row>
    <x:row r="258">
      <x:c r="A258" s="22"/>
      <x:c r="B258" s="22"/>
      <x:c r="C258" s="22"/>
      <x:c r="D258" s="22"/>
      <x:c r="E258" s="22"/>
      <x:c r="F258" s="22"/>
      <x:c r="G258" s="22"/>
      <x:c r="H258" s="22"/>
      <x:c r="I258" s="22" t="str">
        <x:f>IF(COUNT(D258:H258)&lt;5,"",SUM(D258:H258))</x:f>
      </x:c>
      <x:c r="J258" s="23" t="str">
        <x:f>IF(I258="","",I258/5)</x:f>
      </x:c>
      <x:c r="K258" s="22" t="str">
        <x:f>IF(J258="","",IF(J258&gt;=8,"Critical",IF(J258&gt;=6,"High",IF(J258&gt;=4,"Moderate","Low"))))</x:f>
      </x:c>
      <x:c r="L258" s="22"/>
      <x:c r="M258" s="22"/>
      <x:c r="N258" s="22"/>
      <x:c r="O258" s="24"/>
      <x:c r="P258" s="22"/>
      <x:c r="Q258" s="22"/>
    </x:row>
    <x:row r="259">
      <x:c r="A259" s="22"/>
      <x:c r="B259" s="22"/>
      <x:c r="C259" s="22"/>
      <x:c r="D259" s="22"/>
      <x:c r="E259" s="22"/>
      <x:c r="F259" s="22"/>
      <x:c r="G259" s="22"/>
      <x:c r="H259" s="22"/>
      <x:c r="I259" s="22" t="str">
        <x:f>IF(COUNT(D259:H259)&lt;5,"",SUM(D259:H259))</x:f>
      </x:c>
      <x:c r="J259" s="23" t="str">
        <x:f>IF(I259="","",I259/5)</x:f>
      </x:c>
      <x:c r="K259" s="22" t="str">
        <x:f>IF(J259="","",IF(J259&gt;=8,"Critical",IF(J259&gt;=6,"High",IF(J259&gt;=4,"Moderate","Low"))))</x:f>
      </x:c>
      <x:c r="L259" s="22"/>
      <x:c r="M259" s="22"/>
      <x:c r="N259" s="22"/>
      <x:c r="O259" s="24"/>
      <x:c r="P259" s="22"/>
      <x:c r="Q259" s="22"/>
    </x:row>
    <x:row r="260">
      <x:c r="A260" s="22"/>
      <x:c r="B260" s="22"/>
      <x:c r="C260" s="22"/>
      <x:c r="D260" s="22"/>
      <x:c r="E260" s="22"/>
      <x:c r="F260" s="22"/>
      <x:c r="G260" s="22"/>
      <x:c r="H260" s="22"/>
      <x:c r="I260" s="22" t="str">
        <x:f>IF(COUNT(D260:H260)&lt;5,"",SUM(D260:H260))</x:f>
      </x:c>
      <x:c r="J260" s="23" t="str">
        <x:f>IF(I260="","",I260/5)</x:f>
      </x:c>
      <x:c r="K260" s="22" t="str">
        <x:f>IF(J260="","",IF(J260&gt;=8,"Critical",IF(J260&gt;=6,"High",IF(J260&gt;=4,"Moderate","Low"))))</x:f>
      </x:c>
      <x:c r="L260" s="22"/>
      <x:c r="M260" s="22"/>
      <x:c r="N260" s="22"/>
      <x:c r="O260" s="24"/>
      <x:c r="P260" s="22"/>
      <x:c r="Q260" s="22"/>
    </x:row>
    <x:row r="261">
      <x:c r="A261" s="22"/>
      <x:c r="B261" s="22"/>
      <x:c r="C261" s="22"/>
      <x:c r="D261" s="22"/>
      <x:c r="E261" s="22"/>
      <x:c r="F261" s="22"/>
      <x:c r="G261" s="22"/>
      <x:c r="H261" s="22"/>
      <x:c r="I261" s="22" t="str">
        <x:f>IF(COUNT(D261:H261)&lt;5,"",SUM(D261:H261))</x:f>
      </x:c>
      <x:c r="J261" s="23" t="str">
        <x:f>IF(I261="","",I261/5)</x:f>
      </x:c>
      <x:c r="K261" s="22" t="str">
        <x:f>IF(J261="","",IF(J261&gt;=8,"Critical",IF(J261&gt;=6,"High",IF(J261&gt;=4,"Moderate","Low"))))</x:f>
      </x:c>
      <x:c r="L261" s="22"/>
      <x:c r="M261" s="22"/>
      <x:c r="N261" s="22"/>
      <x:c r="O261" s="24"/>
      <x:c r="P261" s="22"/>
      <x:c r="Q261" s="22"/>
    </x:row>
    <x:row r="262">
      <x:c r="A262" s="22"/>
      <x:c r="B262" s="22"/>
      <x:c r="C262" s="22"/>
      <x:c r="D262" s="22"/>
      <x:c r="E262" s="22"/>
      <x:c r="F262" s="22"/>
      <x:c r="G262" s="22"/>
      <x:c r="H262" s="22"/>
      <x:c r="I262" s="22" t="str">
        <x:f>IF(COUNT(D262:H262)&lt;5,"",SUM(D262:H262))</x:f>
      </x:c>
      <x:c r="J262" s="23" t="str">
        <x:f>IF(I262="","",I262/5)</x:f>
      </x:c>
      <x:c r="K262" s="22" t="str">
        <x:f>IF(J262="","",IF(J262&gt;=8,"Critical",IF(J262&gt;=6,"High",IF(J262&gt;=4,"Moderate","Low"))))</x:f>
      </x:c>
      <x:c r="L262" s="22"/>
      <x:c r="M262" s="22"/>
      <x:c r="N262" s="22"/>
      <x:c r="O262" s="24"/>
      <x:c r="P262" s="22"/>
      <x:c r="Q262" s="22"/>
    </x:row>
    <x:row r="263">
      <x:c r="A263" s="22"/>
      <x:c r="B263" s="22"/>
      <x:c r="C263" s="22"/>
      <x:c r="D263" s="22"/>
      <x:c r="E263" s="22"/>
      <x:c r="F263" s="22"/>
      <x:c r="G263" s="22"/>
      <x:c r="H263" s="22"/>
      <x:c r="I263" s="22" t="str">
        <x:f>IF(COUNT(D263:H263)&lt;5,"",SUM(D263:H263))</x:f>
      </x:c>
      <x:c r="J263" s="23" t="str">
        <x:f>IF(I263="","",I263/5)</x:f>
      </x:c>
      <x:c r="K263" s="22" t="str">
        <x:f>IF(J263="","",IF(J263&gt;=8,"Critical",IF(J263&gt;=6,"High",IF(J263&gt;=4,"Moderate","Low"))))</x:f>
      </x:c>
      <x:c r="L263" s="22"/>
      <x:c r="M263" s="22"/>
      <x:c r="N263" s="22"/>
      <x:c r="O263" s="24"/>
      <x:c r="P263" s="22"/>
      <x:c r="Q263" s="22"/>
    </x:row>
    <x:row r="264">
      <x:c r="A264" s="22"/>
      <x:c r="B264" s="22"/>
      <x:c r="C264" s="22"/>
      <x:c r="D264" s="22"/>
      <x:c r="E264" s="22"/>
      <x:c r="F264" s="22"/>
      <x:c r="G264" s="22"/>
      <x:c r="H264" s="22"/>
      <x:c r="I264" s="22" t="str">
        <x:f>IF(COUNT(D264:H264)&lt;5,"",SUM(D264:H264))</x:f>
      </x:c>
      <x:c r="J264" s="23" t="str">
        <x:f>IF(I264="","",I264/5)</x:f>
      </x:c>
      <x:c r="K264" s="22" t="str">
        <x:f>IF(J264="","",IF(J264&gt;=8,"Critical",IF(J264&gt;=6,"High",IF(J264&gt;=4,"Moderate","Low"))))</x:f>
      </x:c>
      <x:c r="L264" s="22"/>
      <x:c r="M264" s="22"/>
      <x:c r="N264" s="22"/>
      <x:c r="O264" s="24"/>
      <x:c r="P264" s="22"/>
      <x:c r="Q264" s="22"/>
    </x:row>
    <x:row r="265">
      <x:c r="A265" s="22"/>
      <x:c r="B265" s="22"/>
      <x:c r="C265" s="22"/>
      <x:c r="D265" s="22"/>
      <x:c r="E265" s="22"/>
      <x:c r="F265" s="22"/>
      <x:c r="G265" s="22"/>
      <x:c r="H265" s="22"/>
      <x:c r="I265" s="22" t="str">
        <x:f>IF(COUNT(D265:H265)&lt;5,"",SUM(D265:H265))</x:f>
      </x:c>
      <x:c r="J265" s="23" t="str">
        <x:f>IF(I265="","",I265/5)</x:f>
      </x:c>
      <x:c r="K265" s="22" t="str">
        <x:f>IF(J265="","",IF(J265&gt;=8,"Critical",IF(J265&gt;=6,"High",IF(J265&gt;=4,"Moderate","Low"))))</x:f>
      </x:c>
      <x:c r="L265" s="22"/>
      <x:c r="M265" s="22"/>
      <x:c r="N265" s="22"/>
      <x:c r="O265" s="24"/>
      <x:c r="P265" s="22"/>
      <x:c r="Q265" s="22"/>
    </x:row>
    <x:row r="266">
      <x:c r="A266" s="22"/>
      <x:c r="B266" s="22"/>
      <x:c r="C266" s="22"/>
      <x:c r="D266" s="22"/>
      <x:c r="E266" s="22"/>
      <x:c r="F266" s="22"/>
      <x:c r="G266" s="22"/>
      <x:c r="H266" s="22"/>
      <x:c r="I266" s="22" t="str">
        <x:f>IF(COUNT(D266:H266)&lt;5,"",SUM(D266:H266))</x:f>
      </x:c>
      <x:c r="J266" s="23" t="str">
        <x:f>IF(I266="","",I266/5)</x:f>
      </x:c>
      <x:c r="K266" s="22" t="str">
        <x:f>IF(J266="","",IF(J266&gt;=8,"Critical",IF(J266&gt;=6,"High",IF(J266&gt;=4,"Moderate","Low"))))</x:f>
      </x:c>
      <x:c r="L266" s="22"/>
      <x:c r="M266" s="22"/>
      <x:c r="N266" s="22"/>
      <x:c r="O266" s="24"/>
      <x:c r="P266" s="22"/>
      <x:c r="Q266" s="22"/>
    </x:row>
    <x:row r="267">
      <x:c r="A267" s="22"/>
      <x:c r="B267" s="22"/>
      <x:c r="C267" s="22"/>
      <x:c r="D267" s="22"/>
      <x:c r="E267" s="22"/>
      <x:c r="F267" s="22"/>
      <x:c r="G267" s="22"/>
      <x:c r="H267" s="22"/>
      <x:c r="I267" s="22" t="str">
        <x:f>IF(COUNT(D267:H267)&lt;5,"",SUM(D267:H267))</x:f>
      </x:c>
      <x:c r="J267" s="23" t="str">
        <x:f>IF(I267="","",I267/5)</x:f>
      </x:c>
      <x:c r="K267" s="22" t="str">
        <x:f>IF(J267="","",IF(J267&gt;=8,"Critical",IF(J267&gt;=6,"High",IF(J267&gt;=4,"Moderate","Low"))))</x:f>
      </x:c>
      <x:c r="L267" s="22"/>
      <x:c r="M267" s="22"/>
      <x:c r="N267" s="22"/>
      <x:c r="O267" s="24"/>
      <x:c r="P267" s="22"/>
      <x:c r="Q267" s="22"/>
    </x:row>
    <x:row r="268">
      <x:c r="A268" s="22"/>
      <x:c r="B268" s="22"/>
      <x:c r="C268" s="22"/>
      <x:c r="D268" s="22"/>
      <x:c r="E268" s="22"/>
      <x:c r="F268" s="22"/>
      <x:c r="G268" s="22"/>
      <x:c r="H268" s="22"/>
      <x:c r="I268" s="22" t="str">
        <x:f>IF(COUNT(D268:H268)&lt;5,"",SUM(D268:H268))</x:f>
      </x:c>
      <x:c r="J268" s="23" t="str">
        <x:f>IF(I268="","",I268/5)</x:f>
      </x:c>
      <x:c r="K268" s="22" t="str">
        <x:f>IF(J268="","",IF(J268&gt;=8,"Critical",IF(J268&gt;=6,"High",IF(J268&gt;=4,"Moderate","Low"))))</x:f>
      </x:c>
      <x:c r="L268" s="22"/>
      <x:c r="M268" s="22"/>
      <x:c r="N268" s="22"/>
      <x:c r="O268" s="24"/>
      <x:c r="P268" s="22"/>
      <x:c r="Q268" s="22"/>
    </x:row>
    <x:row r="269">
      <x:c r="A269" s="22"/>
      <x:c r="B269" s="22"/>
      <x:c r="C269" s="22"/>
      <x:c r="D269" s="22"/>
      <x:c r="E269" s="22"/>
      <x:c r="F269" s="22"/>
      <x:c r="G269" s="22"/>
      <x:c r="H269" s="22"/>
      <x:c r="I269" s="22" t="str">
        <x:f>IF(COUNT(D269:H269)&lt;5,"",SUM(D269:H269))</x:f>
      </x:c>
      <x:c r="J269" s="23" t="str">
        <x:f>IF(I269="","",I269/5)</x:f>
      </x:c>
      <x:c r="K269" s="22" t="str">
        <x:f>IF(J269="","",IF(J269&gt;=8,"Critical",IF(J269&gt;=6,"High",IF(J269&gt;=4,"Moderate","Low"))))</x:f>
      </x:c>
      <x:c r="L269" s="22"/>
      <x:c r="M269" s="22"/>
      <x:c r="N269" s="22"/>
      <x:c r="O269" s="24"/>
      <x:c r="P269" s="22"/>
      <x:c r="Q269" s="22"/>
    </x:row>
    <x:row r="270">
      <x:c r="A270" s="22"/>
      <x:c r="B270" s="22"/>
      <x:c r="C270" s="22"/>
      <x:c r="D270" s="22"/>
      <x:c r="E270" s="22"/>
      <x:c r="F270" s="22"/>
      <x:c r="G270" s="22"/>
      <x:c r="H270" s="22"/>
      <x:c r="I270" s="22" t="str">
        <x:f>IF(COUNT(D270:H270)&lt;5,"",SUM(D270:H270))</x:f>
      </x:c>
      <x:c r="J270" s="23" t="str">
        <x:f>IF(I270="","",I270/5)</x:f>
      </x:c>
      <x:c r="K270" s="22" t="str">
        <x:f>IF(J270="","",IF(J270&gt;=8,"Critical",IF(J270&gt;=6,"High",IF(J270&gt;=4,"Moderate","Low"))))</x:f>
      </x:c>
      <x:c r="L270" s="22"/>
      <x:c r="M270" s="22"/>
      <x:c r="N270" s="22"/>
      <x:c r="O270" s="24"/>
      <x:c r="P270" s="22"/>
      <x:c r="Q270" s="22"/>
    </x:row>
    <x:row r="271">
      <x:c r="A271" s="22"/>
      <x:c r="B271" s="22"/>
      <x:c r="C271" s="22"/>
      <x:c r="D271" s="22"/>
      <x:c r="E271" s="22"/>
      <x:c r="F271" s="22"/>
      <x:c r="G271" s="22"/>
      <x:c r="H271" s="22"/>
      <x:c r="I271" s="22" t="str">
        <x:f>IF(COUNT(D271:H271)&lt;5,"",SUM(D271:H271))</x:f>
      </x:c>
      <x:c r="J271" s="23" t="str">
        <x:f>IF(I271="","",I271/5)</x:f>
      </x:c>
      <x:c r="K271" s="22" t="str">
        <x:f>IF(J271="","",IF(J271&gt;=8,"Critical",IF(J271&gt;=6,"High",IF(J271&gt;=4,"Moderate","Low"))))</x:f>
      </x:c>
      <x:c r="L271" s="22"/>
      <x:c r="M271" s="22"/>
      <x:c r="N271" s="22"/>
      <x:c r="O271" s="24"/>
      <x:c r="P271" s="22"/>
      <x:c r="Q271" s="22"/>
    </x:row>
    <x:row r="272">
      <x:c r="A272" s="22"/>
      <x:c r="B272" s="22"/>
      <x:c r="C272" s="22"/>
      <x:c r="D272" s="22"/>
      <x:c r="E272" s="22"/>
      <x:c r="F272" s="22"/>
      <x:c r="G272" s="22"/>
      <x:c r="H272" s="22"/>
      <x:c r="I272" s="22" t="str">
        <x:f>IF(COUNT(D272:H272)&lt;5,"",SUM(D272:H272))</x:f>
      </x:c>
      <x:c r="J272" s="23" t="str">
        <x:f>IF(I272="","",I272/5)</x:f>
      </x:c>
      <x:c r="K272" s="22" t="str">
        <x:f>IF(J272="","",IF(J272&gt;=8,"Critical",IF(J272&gt;=6,"High",IF(J272&gt;=4,"Moderate","Low"))))</x:f>
      </x:c>
      <x:c r="L272" s="22"/>
      <x:c r="M272" s="22"/>
      <x:c r="N272" s="22"/>
      <x:c r="O272" s="24"/>
      <x:c r="P272" s="22"/>
      <x:c r="Q272" s="22"/>
    </x:row>
    <x:row r="273">
      <x:c r="A273" s="22"/>
      <x:c r="B273" s="22"/>
      <x:c r="C273" s="22"/>
      <x:c r="D273" s="22"/>
      <x:c r="E273" s="22"/>
      <x:c r="F273" s="22"/>
      <x:c r="G273" s="22"/>
      <x:c r="H273" s="22"/>
      <x:c r="I273" s="22" t="str">
        <x:f>IF(COUNT(D273:H273)&lt;5,"",SUM(D273:H273))</x:f>
      </x:c>
      <x:c r="J273" s="23" t="str">
        <x:f>IF(I273="","",I273/5)</x:f>
      </x:c>
      <x:c r="K273" s="22" t="str">
        <x:f>IF(J273="","",IF(J273&gt;=8,"Critical",IF(J273&gt;=6,"High",IF(J273&gt;=4,"Moderate","Low"))))</x:f>
      </x:c>
      <x:c r="L273" s="22"/>
      <x:c r="M273" s="22"/>
      <x:c r="N273" s="22"/>
      <x:c r="O273" s="24"/>
      <x:c r="P273" s="22"/>
      <x:c r="Q273" s="22"/>
    </x:row>
    <x:row r="274">
      <x:c r="A274" s="22"/>
      <x:c r="B274" s="22"/>
      <x:c r="C274" s="22"/>
      <x:c r="D274" s="22"/>
      <x:c r="E274" s="22"/>
      <x:c r="F274" s="22"/>
      <x:c r="G274" s="22"/>
      <x:c r="H274" s="22"/>
      <x:c r="I274" s="22" t="str">
        <x:f>IF(COUNT(D274:H274)&lt;5,"",SUM(D274:H274))</x:f>
      </x:c>
      <x:c r="J274" s="23" t="str">
        <x:f>IF(I274="","",I274/5)</x:f>
      </x:c>
      <x:c r="K274" s="22" t="str">
        <x:f>IF(J274="","",IF(J274&gt;=8,"Critical",IF(J274&gt;=6,"High",IF(J274&gt;=4,"Moderate","Low"))))</x:f>
      </x:c>
      <x:c r="L274" s="22"/>
      <x:c r="M274" s="22"/>
      <x:c r="N274" s="22"/>
      <x:c r="O274" s="24"/>
      <x:c r="P274" s="22"/>
      <x:c r="Q274" s="22"/>
    </x:row>
    <x:row r="275">
      <x:c r="A275" s="22"/>
      <x:c r="B275" s="22"/>
      <x:c r="C275" s="22"/>
      <x:c r="D275" s="22"/>
      <x:c r="E275" s="22"/>
      <x:c r="F275" s="22"/>
      <x:c r="G275" s="22"/>
      <x:c r="H275" s="22"/>
      <x:c r="I275" s="22" t="str">
        <x:f>IF(COUNT(D275:H275)&lt;5,"",SUM(D275:H275))</x:f>
      </x:c>
      <x:c r="J275" s="23" t="str">
        <x:f>IF(I275="","",I275/5)</x:f>
      </x:c>
      <x:c r="K275" s="22" t="str">
        <x:f>IF(J275="","",IF(J275&gt;=8,"Critical",IF(J275&gt;=6,"High",IF(J275&gt;=4,"Moderate","Low"))))</x:f>
      </x:c>
      <x:c r="L275" s="22"/>
      <x:c r="M275" s="22"/>
      <x:c r="N275" s="22"/>
      <x:c r="O275" s="24"/>
      <x:c r="P275" s="22"/>
      <x:c r="Q275" s="22"/>
    </x:row>
    <x:row r="276">
      <x:c r="A276" s="22"/>
      <x:c r="B276" s="22"/>
      <x:c r="C276" s="22"/>
      <x:c r="D276" s="22"/>
      <x:c r="E276" s="22"/>
      <x:c r="F276" s="22"/>
      <x:c r="G276" s="22"/>
      <x:c r="H276" s="22"/>
      <x:c r="I276" s="22" t="str">
        <x:f>IF(COUNT(D276:H276)&lt;5,"",SUM(D276:H276))</x:f>
      </x:c>
      <x:c r="J276" s="23" t="str">
        <x:f>IF(I276="","",I276/5)</x:f>
      </x:c>
      <x:c r="K276" s="22" t="str">
        <x:f>IF(J276="","",IF(J276&gt;=8,"Critical",IF(J276&gt;=6,"High",IF(J276&gt;=4,"Moderate","Low"))))</x:f>
      </x:c>
      <x:c r="L276" s="22"/>
      <x:c r="M276" s="22"/>
      <x:c r="N276" s="22"/>
      <x:c r="O276" s="24"/>
      <x:c r="P276" s="22"/>
      <x:c r="Q276" s="22"/>
    </x:row>
    <x:row r="277">
      <x:c r="A277" s="22"/>
      <x:c r="B277" s="22"/>
      <x:c r="C277" s="22"/>
      <x:c r="D277" s="22"/>
      <x:c r="E277" s="22"/>
      <x:c r="F277" s="22"/>
      <x:c r="G277" s="22"/>
      <x:c r="H277" s="22"/>
      <x:c r="I277" s="22" t="str">
        <x:f>IF(COUNT(D277:H277)&lt;5,"",SUM(D277:H277))</x:f>
      </x:c>
      <x:c r="J277" s="23" t="str">
        <x:f>IF(I277="","",I277/5)</x:f>
      </x:c>
      <x:c r="K277" s="22" t="str">
        <x:f>IF(J277="","",IF(J277&gt;=8,"Critical",IF(J277&gt;=6,"High",IF(J277&gt;=4,"Moderate","Low"))))</x:f>
      </x:c>
      <x:c r="L277" s="22"/>
      <x:c r="M277" s="22"/>
      <x:c r="N277" s="22"/>
      <x:c r="O277" s="24"/>
      <x:c r="P277" s="22"/>
      <x:c r="Q277" s="22"/>
    </x:row>
    <x:row r="278">
      <x:c r="A278" s="22"/>
      <x:c r="B278" s="22"/>
      <x:c r="C278" s="22"/>
      <x:c r="D278" s="22"/>
      <x:c r="E278" s="22"/>
      <x:c r="F278" s="22"/>
      <x:c r="G278" s="22"/>
      <x:c r="H278" s="22"/>
      <x:c r="I278" s="22" t="str">
        <x:f>IF(COUNT(D278:H278)&lt;5,"",SUM(D278:H278))</x:f>
      </x:c>
      <x:c r="J278" s="23" t="str">
        <x:f>IF(I278="","",I278/5)</x:f>
      </x:c>
      <x:c r="K278" s="22" t="str">
        <x:f>IF(J278="","",IF(J278&gt;=8,"Critical",IF(J278&gt;=6,"High",IF(J278&gt;=4,"Moderate","Low"))))</x:f>
      </x:c>
      <x:c r="L278" s="22"/>
      <x:c r="M278" s="22"/>
      <x:c r="N278" s="22"/>
      <x:c r="O278" s="24"/>
      <x:c r="P278" s="22"/>
      <x:c r="Q278" s="22"/>
    </x:row>
    <x:row r="279">
      <x:c r="A279" s="22"/>
      <x:c r="B279" s="22"/>
      <x:c r="C279" s="22"/>
      <x:c r="D279" s="22"/>
      <x:c r="E279" s="22"/>
      <x:c r="F279" s="22"/>
      <x:c r="G279" s="22"/>
      <x:c r="H279" s="22"/>
      <x:c r="I279" s="22" t="str">
        <x:f>IF(COUNT(D279:H279)&lt;5,"",SUM(D279:H279))</x:f>
      </x:c>
      <x:c r="J279" s="23" t="str">
        <x:f>IF(I279="","",I279/5)</x:f>
      </x:c>
      <x:c r="K279" s="22" t="str">
        <x:f>IF(J279="","",IF(J279&gt;=8,"Critical",IF(J279&gt;=6,"High",IF(J279&gt;=4,"Moderate","Low"))))</x:f>
      </x:c>
      <x:c r="L279" s="22"/>
      <x:c r="M279" s="22"/>
      <x:c r="N279" s="22"/>
      <x:c r="O279" s="24"/>
      <x:c r="P279" s="22"/>
      <x:c r="Q279" s="22"/>
    </x:row>
    <x:row r="280">
      <x:c r="A280" s="22"/>
      <x:c r="B280" s="22"/>
      <x:c r="C280" s="22"/>
      <x:c r="D280" s="22"/>
      <x:c r="E280" s="22"/>
      <x:c r="F280" s="22"/>
      <x:c r="G280" s="22"/>
      <x:c r="H280" s="22"/>
      <x:c r="I280" s="22" t="str">
        <x:f>IF(COUNT(D280:H280)&lt;5,"",SUM(D280:H280))</x:f>
      </x:c>
      <x:c r="J280" s="23" t="str">
        <x:f>IF(I280="","",I280/5)</x:f>
      </x:c>
      <x:c r="K280" s="22" t="str">
        <x:f>IF(J280="","",IF(J280&gt;=8,"Critical",IF(J280&gt;=6,"High",IF(J280&gt;=4,"Moderate","Low"))))</x:f>
      </x:c>
      <x:c r="L280" s="22"/>
      <x:c r="M280" s="22"/>
      <x:c r="N280" s="22"/>
      <x:c r="O280" s="24"/>
      <x:c r="P280" s="22"/>
      <x:c r="Q280" s="22"/>
    </x:row>
    <x:row r="281">
      <x:c r="A281" s="22"/>
      <x:c r="B281" s="22"/>
      <x:c r="C281" s="22"/>
      <x:c r="D281" s="22"/>
      <x:c r="E281" s="22"/>
      <x:c r="F281" s="22"/>
      <x:c r="G281" s="22"/>
      <x:c r="H281" s="22"/>
      <x:c r="I281" s="22" t="str">
        <x:f>IF(COUNT(D281:H281)&lt;5,"",SUM(D281:H281))</x:f>
      </x:c>
      <x:c r="J281" s="23" t="str">
        <x:f>IF(I281="","",I281/5)</x:f>
      </x:c>
      <x:c r="K281" s="22" t="str">
        <x:f>IF(J281="","",IF(J281&gt;=8,"Critical",IF(J281&gt;=6,"High",IF(J281&gt;=4,"Moderate","Low"))))</x:f>
      </x:c>
      <x:c r="L281" s="22"/>
      <x:c r="M281" s="22"/>
      <x:c r="N281" s="22"/>
      <x:c r="O281" s="24"/>
      <x:c r="P281" s="22"/>
      <x:c r="Q281" s="22"/>
    </x:row>
    <x:row r="282">
      <x:c r="A282" s="22"/>
      <x:c r="B282" s="22"/>
      <x:c r="C282" s="22"/>
      <x:c r="D282" s="22"/>
      <x:c r="E282" s="22"/>
      <x:c r="F282" s="22"/>
      <x:c r="G282" s="22"/>
      <x:c r="H282" s="22"/>
      <x:c r="I282" s="22" t="str">
        <x:f>IF(COUNT(D282:H282)&lt;5,"",SUM(D282:H282))</x:f>
      </x:c>
      <x:c r="J282" s="23" t="str">
        <x:f>IF(I282="","",I282/5)</x:f>
      </x:c>
      <x:c r="K282" s="22" t="str">
        <x:f>IF(J282="","",IF(J282&gt;=8,"Critical",IF(J282&gt;=6,"High",IF(J282&gt;=4,"Moderate","Low"))))</x:f>
      </x:c>
      <x:c r="L282" s="22"/>
      <x:c r="M282" s="22"/>
      <x:c r="N282" s="22"/>
      <x:c r="O282" s="24"/>
      <x:c r="P282" s="22"/>
      <x:c r="Q282" s="22"/>
    </x:row>
    <x:row r="283">
      <x:c r="A283" s="22"/>
      <x:c r="B283" s="22"/>
      <x:c r="C283" s="22"/>
      <x:c r="D283" s="22"/>
      <x:c r="E283" s="22"/>
      <x:c r="F283" s="22"/>
      <x:c r="G283" s="22"/>
      <x:c r="H283" s="22"/>
      <x:c r="I283" s="22" t="str">
        <x:f>IF(COUNT(D283:H283)&lt;5,"",SUM(D283:H283))</x:f>
      </x:c>
      <x:c r="J283" s="23" t="str">
        <x:f>IF(I283="","",I283/5)</x:f>
      </x:c>
      <x:c r="K283" s="22" t="str">
        <x:f>IF(J283="","",IF(J283&gt;=8,"Critical",IF(J283&gt;=6,"High",IF(J283&gt;=4,"Moderate","Low"))))</x:f>
      </x:c>
      <x:c r="L283" s="22"/>
      <x:c r="M283" s="22"/>
      <x:c r="N283" s="22"/>
      <x:c r="O283" s="24"/>
      <x:c r="P283" s="22"/>
      <x:c r="Q283" s="22"/>
    </x:row>
    <x:row r="284">
      <x:c r="A284" s="22"/>
      <x:c r="B284" s="22"/>
      <x:c r="C284" s="22"/>
      <x:c r="D284" s="22"/>
      <x:c r="E284" s="22"/>
      <x:c r="F284" s="22"/>
      <x:c r="G284" s="22"/>
      <x:c r="H284" s="22"/>
      <x:c r="I284" s="22" t="str">
        <x:f>IF(COUNT(D284:H284)&lt;5,"",SUM(D284:H284))</x:f>
      </x:c>
      <x:c r="J284" s="23" t="str">
        <x:f>IF(I284="","",I284/5)</x:f>
      </x:c>
      <x:c r="K284" s="22" t="str">
        <x:f>IF(J284="","",IF(J284&gt;=8,"Critical",IF(J284&gt;=6,"High",IF(J284&gt;=4,"Moderate","Low"))))</x:f>
      </x:c>
      <x:c r="L284" s="22"/>
      <x:c r="M284" s="22"/>
      <x:c r="N284" s="22"/>
      <x:c r="O284" s="24"/>
      <x:c r="P284" s="22"/>
      <x:c r="Q284" s="22"/>
    </x:row>
    <x:row r="285">
      <x:c r="A285" s="22"/>
      <x:c r="B285" s="22"/>
      <x:c r="C285" s="22"/>
      <x:c r="D285" s="22"/>
      <x:c r="E285" s="22"/>
      <x:c r="F285" s="22"/>
      <x:c r="G285" s="22"/>
      <x:c r="H285" s="22"/>
      <x:c r="I285" s="22" t="str">
        <x:f>IF(COUNT(D285:H285)&lt;5,"",SUM(D285:H285))</x:f>
      </x:c>
      <x:c r="J285" s="23" t="str">
        <x:f>IF(I285="","",I285/5)</x:f>
      </x:c>
      <x:c r="K285" s="22" t="str">
        <x:f>IF(J285="","",IF(J285&gt;=8,"Critical",IF(J285&gt;=6,"High",IF(J285&gt;=4,"Moderate","Low"))))</x:f>
      </x:c>
      <x:c r="L285" s="22"/>
      <x:c r="M285" s="22"/>
      <x:c r="N285" s="22"/>
      <x:c r="O285" s="24"/>
      <x:c r="P285" s="22"/>
      <x:c r="Q285" s="22"/>
    </x:row>
    <x:row r="286">
      <x:c r="A286" s="22"/>
      <x:c r="B286" s="22"/>
      <x:c r="C286" s="22"/>
      <x:c r="D286" s="22"/>
      <x:c r="E286" s="22"/>
      <x:c r="F286" s="22"/>
      <x:c r="G286" s="22"/>
      <x:c r="H286" s="22"/>
      <x:c r="I286" s="22" t="str">
        <x:f>IF(COUNT(D286:H286)&lt;5,"",SUM(D286:H286))</x:f>
      </x:c>
      <x:c r="J286" s="23" t="str">
        <x:f>IF(I286="","",I286/5)</x:f>
      </x:c>
      <x:c r="K286" s="22" t="str">
        <x:f>IF(J286="","",IF(J286&gt;=8,"Critical",IF(J286&gt;=6,"High",IF(J286&gt;=4,"Moderate","Low"))))</x:f>
      </x:c>
      <x:c r="L286" s="22"/>
      <x:c r="M286" s="22"/>
      <x:c r="N286" s="22"/>
      <x:c r="O286" s="24"/>
      <x:c r="P286" s="22"/>
      <x:c r="Q286" s="22"/>
    </x:row>
    <x:row r="287">
      <x:c r="A287" s="22"/>
      <x:c r="B287" s="22"/>
      <x:c r="C287" s="22"/>
      <x:c r="D287" s="22"/>
      <x:c r="E287" s="22"/>
      <x:c r="F287" s="22"/>
      <x:c r="G287" s="22"/>
      <x:c r="H287" s="22"/>
      <x:c r="I287" s="22" t="str">
        <x:f>IF(COUNT(D287:H287)&lt;5,"",SUM(D287:H287))</x:f>
      </x:c>
      <x:c r="J287" s="23" t="str">
        <x:f>IF(I287="","",I287/5)</x:f>
      </x:c>
      <x:c r="K287" s="22" t="str">
        <x:f>IF(J287="","",IF(J287&gt;=8,"Critical",IF(J287&gt;=6,"High",IF(J287&gt;=4,"Moderate","Low"))))</x:f>
      </x:c>
      <x:c r="L287" s="22"/>
      <x:c r="M287" s="22"/>
      <x:c r="N287" s="22"/>
      <x:c r="O287" s="24"/>
      <x:c r="P287" s="22"/>
      <x:c r="Q287" s="22"/>
    </x:row>
    <x:row r="288">
      <x:c r="A288" s="22"/>
      <x:c r="B288" s="22"/>
      <x:c r="C288" s="22"/>
      <x:c r="D288" s="22"/>
      <x:c r="E288" s="22"/>
      <x:c r="F288" s="22"/>
      <x:c r="G288" s="22"/>
      <x:c r="H288" s="22"/>
      <x:c r="I288" s="22" t="str">
        <x:f>IF(COUNT(D288:H288)&lt;5,"",SUM(D288:H288))</x:f>
      </x:c>
      <x:c r="J288" s="23" t="str">
        <x:f>IF(I288="","",I288/5)</x:f>
      </x:c>
      <x:c r="K288" s="22" t="str">
        <x:f>IF(J288="","",IF(J288&gt;=8,"Critical",IF(J288&gt;=6,"High",IF(J288&gt;=4,"Moderate","Low"))))</x:f>
      </x:c>
      <x:c r="L288" s="22"/>
      <x:c r="M288" s="22"/>
      <x:c r="N288" s="22"/>
      <x:c r="O288" s="24"/>
      <x:c r="P288" s="22"/>
      <x:c r="Q288" s="22"/>
    </x:row>
    <x:row r="289">
      <x:c r="A289" s="22"/>
      <x:c r="B289" s="22"/>
      <x:c r="C289" s="22"/>
      <x:c r="D289" s="22"/>
      <x:c r="E289" s="22"/>
      <x:c r="F289" s="22"/>
      <x:c r="G289" s="22"/>
      <x:c r="H289" s="22"/>
      <x:c r="I289" s="22" t="str">
        <x:f>IF(COUNT(D289:H289)&lt;5,"",SUM(D289:H289))</x:f>
      </x:c>
      <x:c r="J289" s="23" t="str">
        <x:f>IF(I289="","",I289/5)</x:f>
      </x:c>
      <x:c r="K289" s="22" t="str">
        <x:f>IF(J289="","",IF(J289&gt;=8,"Critical",IF(J289&gt;=6,"High",IF(J289&gt;=4,"Moderate","Low"))))</x:f>
      </x:c>
      <x:c r="L289" s="22"/>
      <x:c r="M289" s="22"/>
      <x:c r="N289" s="22"/>
      <x:c r="O289" s="24"/>
      <x:c r="P289" s="22"/>
      <x:c r="Q289" s="22"/>
    </x:row>
    <x:row r="290">
      <x:c r="A290" s="22"/>
      <x:c r="B290" s="22"/>
      <x:c r="C290" s="22"/>
      <x:c r="D290" s="22"/>
      <x:c r="E290" s="22"/>
      <x:c r="F290" s="22"/>
      <x:c r="G290" s="22"/>
      <x:c r="H290" s="22"/>
      <x:c r="I290" s="22" t="str">
        <x:f>IF(COUNT(D290:H290)&lt;5,"",SUM(D290:H290))</x:f>
      </x:c>
      <x:c r="J290" s="23" t="str">
        <x:f>IF(I290="","",I290/5)</x:f>
      </x:c>
      <x:c r="K290" s="22" t="str">
        <x:f>IF(J290="","",IF(J290&gt;=8,"Critical",IF(J290&gt;=6,"High",IF(J290&gt;=4,"Moderate","Low"))))</x:f>
      </x:c>
      <x:c r="L290" s="22"/>
      <x:c r="M290" s="22"/>
      <x:c r="N290" s="22"/>
      <x:c r="O290" s="24"/>
      <x:c r="P290" s="22"/>
      <x:c r="Q290" s="22"/>
    </x:row>
    <x:row r="291">
      <x:c r="A291" s="22"/>
      <x:c r="B291" s="22"/>
      <x:c r="C291" s="22"/>
      <x:c r="D291" s="22"/>
      <x:c r="E291" s="22"/>
      <x:c r="F291" s="22"/>
      <x:c r="G291" s="22"/>
      <x:c r="H291" s="22"/>
      <x:c r="I291" s="22" t="str">
        <x:f>IF(COUNT(D291:H291)&lt;5,"",SUM(D291:H291))</x:f>
      </x:c>
      <x:c r="J291" s="23" t="str">
        <x:f>IF(I291="","",I291/5)</x:f>
      </x:c>
      <x:c r="K291" s="22" t="str">
        <x:f>IF(J291="","",IF(J291&gt;=8,"Critical",IF(J291&gt;=6,"High",IF(J291&gt;=4,"Moderate","Low"))))</x:f>
      </x:c>
      <x:c r="L291" s="22"/>
      <x:c r="M291" s="22"/>
      <x:c r="N291" s="22"/>
      <x:c r="O291" s="24"/>
      <x:c r="P291" s="22"/>
      <x:c r="Q291" s="22"/>
    </x:row>
    <x:row r="292">
      <x:c r="A292" s="22"/>
      <x:c r="B292" s="22"/>
      <x:c r="C292" s="22"/>
      <x:c r="D292" s="22"/>
      <x:c r="E292" s="22"/>
      <x:c r="F292" s="22"/>
      <x:c r="G292" s="22"/>
      <x:c r="H292" s="22"/>
      <x:c r="I292" s="22" t="str">
        <x:f>IF(COUNT(D292:H292)&lt;5,"",SUM(D292:H292))</x:f>
      </x:c>
      <x:c r="J292" s="23" t="str">
        <x:f>IF(I292="","",I292/5)</x:f>
      </x:c>
      <x:c r="K292" s="22" t="str">
        <x:f>IF(J292="","",IF(J292&gt;=8,"Critical",IF(J292&gt;=6,"High",IF(J292&gt;=4,"Moderate","Low"))))</x:f>
      </x:c>
      <x:c r="L292" s="22"/>
      <x:c r="M292" s="22"/>
      <x:c r="N292" s="22"/>
      <x:c r="O292" s="24"/>
      <x:c r="P292" s="22"/>
      <x:c r="Q292" s="22"/>
    </x:row>
    <x:row r="293">
      <x:c r="A293" s="22"/>
      <x:c r="B293" s="22"/>
      <x:c r="C293" s="22"/>
      <x:c r="D293" s="22"/>
      <x:c r="E293" s="22"/>
      <x:c r="F293" s="22"/>
      <x:c r="G293" s="22"/>
      <x:c r="H293" s="22"/>
      <x:c r="I293" s="22" t="str">
        <x:f>IF(COUNT(D293:H293)&lt;5,"",SUM(D293:H293))</x:f>
      </x:c>
      <x:c r="J293" s="23" t="str">
        <x:f>IF(I293="","",I293/5)</x:f>
      </x:c>
      <x:c r="K293" s="22" t="str">
        <x:f>IF(J293="","",IF(J293&gt;=8,"Critical",IF(J293&gt;=6,"High",IF(J293&gt;=4,"Moderate","Low"))))</x:f>
      </x:c>
      <x:c r="L293" s="22"/>
      <x:c r="M293" s="22"/>
      <x:c r="N293" s="22"/>
      <x:c r="O293" s="24"/>
      <x:c r="P293" s="22"/>
      <x:c r="Q293" s="22"/>
    </x:row>
    <x:row r="294">
      <x:c r="A294" s="22"/>
      <x:c r="B294" s="22"/>
      <x:c r="C294" s="22"/>
      <x:c r="D294" s="22"/>
      <x:c r="E294" s="22"/>
      <x:c r="F294" s="22"/>
      <x:c r="G294" s="22"/>
      <x:c r="H294" s="22"/>
      <x:c r="I294" s="22" t="str">
        <x:f>IF(COUNT(D294:H294)&lt;5,"",SUM(D294:H294))</x:f>
      </x:c>
      <x:c r="J294" s="23" t="str">
        <x:f>IF(I294="","",I294/5)</x:f>
      </x:c>
      <x:c r="K294" s="22" t="str">
        <x:f>IF(J294="","",IF(J294&gt;=8,"Critical",IF(J294&gt;=6,"High",IF(J294&gt;=4,"Moderate","Low"))))</x:f>
      </x:c>
      <x:c r="L294" s="22"/>
      <x:c r="M294" s="22"/>
      <x:c r="N294" s="22"/>
      <x:c r="O294" s="24"/>
      <x:c r="P294" s="22"/>
      <x:c r="Q294" s="22"/>
    </x:row>
    <x:row r="295">
      <x:c r="A295" s="22"/>
      <x:c r="B295" s="22"/>
      <x:c r="C295" s="22"/>
      <x:c r="D295" s="22"/>
      <x:c r="E295" s="22"/>
      <x:c r="F295" s="22"/>
      <x:c r="G295" s="22"/>
      <x:c r="H295" s="22"/>
      <x:c r="I295" s="22" t="str">
        <x:f>IF(COUNT(D295:H295)&lt;5,"",SUM(D295:H295))</x:f>
      </x:c>
      <x:c r="J295" s="23" t="str">
        <x:f>IF(I295="","",I295/5)</x:f>
      </x:c>
      <x:c r="K295" s="22" t="str">
        <x:f>IF(J295="","",IF(J295&gt;=8,"Critical",IF(J295&gt;=6,"High",IF(J295&gt;=4,"Moderate","Low"))))</x:f>
      </x:c>
      <x:c r="L295" s="22"/>
      <x:c r="M295" s="22"/>
      <x:c r="N295" s="22"/>
      <x:c r="O295" s="24"/>
      <x:c r="P295" s="22"/>
      <x:c r="Q295" s="22"/>
    </x:row>
    <x:row r="296">
      <x:c r="A296" s="22"/>
      <x:c r="B296" s="22"/>
      <x:c r="C296" s="22"/>
      <x:c r="D296" s="22"/>
      <x:c r="E296" s="22"/>
      <x:c r="F296" s="22"/>
      <x:c r="G296" s="22"/>
      <x:c r="H296" s="22"/>
      <x:c r="I296" s="22" t="str">
        <x:f>IF(COUNT(D296:H296)&lt;5,"",SUM(D296:H296))</x:f>
      </x:c>
      <x:c r="J296" s="23" t="str">
        <x:f>IF(I296="","",I296/5)</x:f>
      </x:c>
      <x:c r="K296" s="22" t="str">
        <x:f>IF(J296="","",IF(J296&gt;=8,"Critical",IF(J296&gt;=6,"High",IF(J296&gt;=4,"Moderate","Low"))))</x:f>
      </x:c>
      <x:c r="L296" s="22"/>
      <x:c r="M296" s="22"/>
      <x:c r="N296" s="22"/>
      <x:c r="O296" s="24"/>
      <x:c r="P296" s="22"/>
      <x:c r="Q296" s="22"/>
    </x:row>
    <x:row r="297">
      <x:c r="A297" s="22"/>
      <x:c r="B297" s="22"/>
      <x:c r="C297" s="22"/>
      <x:c r="D297" s="22"/>
      <x:c r="E297" s="22"/>
      <x:c r="F297" s="22"/>
      <x:c r="G297" s="22"/>
      <x:c r="H297" s="22"/>
      <x:c r="I297" s="22" t="str">
        <x:f>IF(COUNT(D297:H297)&lt;5,"",SUM(D297:H297))</x:f>
      </x:c>
      <x:c r="J297" s="23" t="str">
        <x:f>IF(I297="","",I297/5)</x:f>
      </x:c>
      <x:c r="K297" s="22" t="str">
        <x:f>IF(J297="","",IF(J297&gt;=8,"Critical",IF(J297&gt;=6,"High",IF(J297&gt;=4,"Moderate","Low"))))</x:f>
      </x:c>
      <x:c r="L297" s="22"/>
      <x:c r="M297" s="22"/>
      <x:c r="N297" s="22"/>
      <x:c r="O297" s="24"/>
      <x:c r="P297" s="22"/>
      <x:c r="Q297" s="22"/>
    </x:row>
    <x:row r="298">
      <x:c r="A298" s="22"/>
      <x:c r="B298" s="22"/>
      <x:c r="C298" s="22"/>
      <x:c r="D298" s="22"/>
      <x:c r="E298" s="22"/>
      <x:c r="F298" s="22"/>
      <x:c r="G298" s="22"/>
      <x:c r="H298" s="22"/>
      <x:c r="I298" s="22" t="str">
        <x:f>IF(COUNT(D298:H298)&lt;5,"",SUM(D298:H298))</x:f>
      </x:c>
      <x:c r="J298" s="23" t="str">
        <x:f>IF(I298="","",I298/5)</x:f>
      </x:c>
      <x:c r="K298" s="22" t="str">
        <x:f>IF(J298="","",IF(J298&gt;=8,"Critical",IF(J298&gt;=6,"High",IF(J298&gt;=4,"Moderate","Low"))))</x:f>
      </x:c>
      <x:c r="L298" s="22"/>
      <x:c r="M298" s="22"/>
      <x:c r="N298" s="22"/>
      <x:c r="O298" s="24"/>
      <x:c r="P298" s="22"/>
      <x:c r="Q298" s="22"/>
    </x:row>
    <x:row r="299">
      <x:c r="A299" s="22"/>
      <x:c r="B299" s="22"/>
      <x:c r="C299" s="22"/>
      <x:c r="D299" s="22"/>
      <x:c r="E299" s="22"/>
      <x:c r="F299" s="22"/>
      <x:c r="G299" s="22"/>
      <x:c r="H299" s="22"/>
      <x:c r="I299" s="22" t="str">
        <x:f>IF(COUNT(D299:H299)&lt;5,"",SUM(D299:H299))</x:f>
      </x:c>
      <x:c r="J299" s="23" t="str">
        <x:f>IF(I299="","",I299/5)</x:f>
      </x:c>
      <x:c r="K299" s="22" t="str">
        <x:f>IF(J299="","",IF(J299&gt;=8,"Critical",IF(J299&gt;=6,"High",IF(J299&gt;=4,"Moderate","Low"))))</x:f>
      </x:c>
      <x:c r="L299" s="22"/>
      <x:c r="M299" s="22"/>
      <x:c r="N299" s="22"/>
      <x:c r="O299" s="24"/>
      <x:c r="P299" s="22"/>
      <x:c r="Q299" s="22"/>
    </x:row>
    <x:row r="300">
      <x:c r="A300" s="22"/>
      <x:c r="B300" s="22"/>
      <x:c r="C300" s="22"/>
      <x:c r="D300" s="22"/>
      <x:c r="E300" s="22"/>
      <x:c r="F300" s="22"/>
      <x:c r="G300" s="22"/>
      <x:c r="H300" s="22"/>
      <x:c r="I300" s="22" t="str">
        <x:f>IF(COUNT(D300:H300)&lt;5,"",SUM(D300:H300))</x:f>
      </x:c>
      <x:c r="J300" s="23" t="str">
        <x:f>IF(I300="","",I300/5)</x:f>
      </x:c>
      <x:c r="K300" s="22" t="str">
        <x:f>IF(J300="","",IF(J300&gt;=8,"Critical",IF(J300&gt;=6,"High",IF(J300&gt;=4,"Moderate","Low"))))</x:f>
      </x:c>
      <x:c r="L300" s="22"/>
      <x:c r="M300" s="22"/>
      <x:c r="N300" s="22"/>
      <x:c r="O300" s="24"/>
      <x:c r="P300" s="22"/>
      <x:c r="Q300" s="22"/>
    </x:row>
    <x:row r="301">
      <x:c r="A301" s="22"/>
      <x:c r="B301" s="22"/>
      <x:c r="C301" s="22"/>
      <x:c r="D301" s="22"/>
      <x:c r="E301" s="22"/>
      <x:c r="F301" s="22"/>
      <x:c r="G301" s="22"/>
      <x:c r="H301" s="22"/>
      <x:c r="I301" s="22" t="str">
        <x:f>IF(COUNT(D301:H301)&lt;5,"",SUM(D301:H301))</x:f>
      </x:c>
      <x:c r="J301" s="23" t="str">
        <x:f>IF(I301="","",I301/5)</x:f>
      </x:c>
      <x:c r="K301" s="22" t="str">
        <x:f>IF(J301="","",IF(J301&gt;=8,"Critical",IF(J301&gt;=6,"High",IF(J301&gt;=4,"Moderate","Low"))))</x:f>
      </x:c>
      <x:c r="L301" s="22"/>
      <x:c r="M301" s="22"/>
      <x:c r="N301" s="22"/>
      <x:c r="O301" s="24"/>
      <x:c r="P301" s="22"/>
      <x:c r="Q301" s="22"/>
    </x:row>
    <x:row r="302">
      <x:c r="A302" s="22"/>
      <x:c r="B302" s="22"/>
      <x:c r="C302" s="22"/>
      <x:c r="D302" s="22"/>
      <x:c r="E302" s="22"/>
      <x:c r="F302" s="22"/>
      <x:c r="G302" s="22"/>
      <x:c r="H302" s="22"/>
      <x:c r="I302" s="22" t="str">
        <x:f>IF(COUNT(D302:H302)&lt;5,"",SUM(D302:H302))</x:f>
      </x:c>
      <x:c r="J302" s="23" t="str">
        <x:f>IF(I302="","",I302/5)</x:f>
      </x:c>
      <x:c r="K302" s="22" t="str">
        <x:f>IF(J302="","",IF(J302&gt;=8,"Critical",IF(J302&gt;=6,"High",IF(J302&gt;=4,"Moderate","Low"))))</x:f>
      </x:c>
      <x:c r="L302" s="22"/>
      <x:c r="M302" s="22"/>
      <x:c r="N302" s="22"/>
      <x:c r="O302" s="24"/>
      <x:c r="P302" s="22"/>
      <x:c r="Q302" s="22"/>
    </x:row>
    <x:row r="303">
      <x:c r="A303" s="22"/>
      <x:c r="B303" s="22"/>
      <x:c r="C303" s="22"/>
      <x:c r="D303" s="22"/>
      <x:c r="E303" s="22"/>
      <x:c r="F303" s="22"/>
      <x:c r="G303" s="22"/>
      <x:c r="H303" s="22"/>
      <x:c r="I303" s="22" t="str">
        <x:f>IF(COUNT(D303:H303)&lt;5,"",SUM(D303:H303))</x:f>
      </x:c>
      <x:c r="J303" s="23" t="str">
        <x:f>IF(I303="","",I303/5)</x:f>
      </x:c>
      <x:c r="K303" s="22" t="str">
        <x:f>IF(J303="","",IF(J303&gt;=8,"Critical",IF(J303&gt;=6,"High",IF(J303&gt;=4,"Moderate","Low"))))</x:f>
      </x:c>
      <x:c r="L303" s="22"/>
      <x:c r="M303" s="22"/>
      <x:c r="N303" s="22"/>
      <x:c r="O303" s="24"/>
      <x:c r="P303" s="22"/>
      <x:c r="Q303" s="22"/>
    </x:row>
  </x:sheetData>
  <x:mergeCells>
    <x:mergeCell ref="A1:Q1"/>
  </x:mergeCells>
  <x:conditionalFormatting sqref="J4:J303">
    <x:cfRule type="colorScale" priority="1">
      <x:colorScale>
        <x:cfvo type="min"/>
        <x:cfvo type="percentile" val="50"/>
        <x:cfvo type="max"/>
        <x:color rgb="FFD9EAD3"/>
        <x:color rgb="FFFFD966"/>
        <x:color rgb="FFF4CCCC"/>
      </x:colorScale>
    </x:cfRule>
  </x:conditionalFormatting>
  <x:dataValidations count="6">
    <x:dataValidation type="list" sqref="D4:D303">
      <x:formula1>"1,2,3,4,5,6,7,8,9,10"</x:formula1>
    </x:dataValidation>
    <x:dataValidation type="list" sqref="E4:E303">
      <x:formula1>"1,2,3,4,5,6,7,8,9,10"</x:formula1>
    </x:dataValidation>
    <x:dataValidation type="list" sqref="F4:F303">
      <x:formula1>"1,2,3,4,5,6,7,8,9,10"</x:formula1>
    </x:dataValidation>
    <x:dataValidation type="list" sqref="G4:G303">
      <x:formula1>"1,2,3,4,5,6,7,8,9,10"</x:formula1>
    </x:dataValidation>
    <x:dataValidation type="list" sqref="H4:H303">
      <x:formula1>"1,2,3,4,5,6,7,8,9,10"</x:formula1>
    </x:dataValidation>
    <x:dataValidation type="list" sqref="P4:P303">
      <x:formula1>"Not Started,Planned,In Progress,Blocked,Complete,Accepted"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4" t="str">
        <x:v>DREAD Scoring Guide</x:v>
      </x:c>
      <x:c r="B1" s="4"/>
      <x:c r="C1" s="4"/>
      <x:c r="D1" s="4"/>
      <x:c r="E1" s="4"/>
      <x:c r="F1" s="4"/>
    </x:row>
    <x:row r="3">
      <x:c r="A3" s="12" t="str">
        <x:v>Factor</x:v>
      </x:c>
      <x:c r="B3" s="12" t="str">
        <x:v>1-3 Lower</x:v>
      </x:c>
      <x:c r="C3" s="12" t="str">
        <x:v>4-5 Moderate</x:v>
      </x:c>
      <x:c r="D3" s="12" t="str">
        <x:v>6-7 Significant</x:v>
      </x:c>
      <x:c r="E3" s="12" t="str">
        <x:v>8-9 Severe</x:v>
      </x:c>
      <x:c r="F3" s="12" t="str">
        <x:v>10 Extreme</x:v>
      </x:c>
    </x:row>
    <x:row r="4">
      <x:c r="A4" s="22" t="str">
        <x:v>Damage</x:v>
      </x:c>
      <x:c r="B4" s="22" t="str">
        <x:v>Limited inconvenience</x:v>
      </x:c>
      <x:c r="C4" s="22" t="str">
        <x:v>Minor business effect</x:v>
      </x:c>
      <x:c r="D4" s="22" t="str">
        <x:v>Material operational effect</x:v>
      </x:c>
      <x:c r="E4" s="22" t="str">
        <x:v>Major loss or outage</x:v>
      </x:c>
      <x:c r="F4" s="22" t="str">
        <x:v>Catastrophic impact</x:v>
      </x:c>
    </x:row>
    <x:row r="5">
      <x:c r="A5" s="22" t="str">
        <x:v>Reproducibility</x:v>
      </x:c>
      <x:c r="B5" s="22" t="str">
        <x:v>Rare and unstable</x:v>
      </x:c>
      <x:c r="C5" s="22" t="str">
        <x:v>Requires special conditions</x:v>
      </x:c>
      <x:c r="D5" s="22" t="str">
        <x:v>Repeatable with preparation</x:v>
      </x:c>
      <x:c r="E5" s="22" t="str">
        <x:v>Highly repeatable</x:v>
      </x:c>
      <x:c r="F5" s="22" t="str">
        <x:v>Trivial to repeat</x:v>
      </x:c>
    </x:row>
    <x:row r="6">
      <x:c r="A6" s="22" t="str">
        <x:v>Exploitability</x:v>
      </x:c>
      <x:c r="B6" s="22" t="str">
        <x:v>Expert and special access</x:v>
      </x:c>
      <x:c r="C6" s="22" t="str">
        <x:v>Advanced skill or access</x:v>
      </x:c>
      <x:c r="D6" s="22" t="str">
        <x:v>Common tools and knowledge</x:v>
      </x:c>
      <x:c r="E6" s="22" t="str">
        <x:v>Low skill or automation</x:v>
      </x:c>
      <x:c r="F6" s="22" t="str">
        <x:v>Immediate and trivial</x:v>
      </x:c>
    </x:row>
    <x:row r="7">
      <x:c r="A7" s="22" t="str">
        <x:v>Affected Users</x:v>
      </x:c>
      <x:c r="B7" s="22" t="str">
        <x:v>Very few users</x:v>
      </x:c>
      <x:c r="C7" s="22" t="str">
        <x:v>Small group</x:v>
      </x:c>
      <x:c r="D7" s="22" t="str">
        <x:v>Meaningful segment</x:v>
      </x:c>
      <x:c r="E7" s="22" t="str">
        <x:v>Most users</x:v>
      </x:c>
      <x:c r="F7" s="22" t="str">
        <x:v>All or nearly all users</x:v>
      </x:c>
    </x:row>
    <x:row r="8">
      <x:c r="A8" s="22" t="str">
        <x:v>Discoverability</x:v>
      </x:c>
      <x:c r="B8" s="22" t="str">
        <x:v>Very difficult to identify</x:v>
      </x:c>
      <x:c r="C8" s="22" t="str">
        <x:v>Requires deep analysis</x:v>
      </x:c>
      <x:c r="D8" s="22" t="str">
        <x:v>Can be found through testing</x:v>
      </x:c>
      <x:c r="E8" s="22" t="str">
        <x:v>Easy to identify</x:v>
      </x:c>
      <x:c r="F8" s="22" t="str">
        <x:v>Publicly obvious</x:v>
      </x:c>
    </x:row>
    <x:row r="9">
      <x:c r="A9" s="22"/>
      <x:c r="B9" s="22"/>
      <x:c r="C9" s="22"/>
      <x:c r="D9" s="22"/>
      <x:c r="E9" s="22"/>
      <x:c r="F9" s="22"/>
    </x:row>
    <x:row r="10">
      <x:c r="A10" s="22"/>
      <x:c r="B10" s="22"/>
      <x:c r="C10" s="22"/>
      <x:c r="D10" s="22"/>
      <x:c r="E10" s="22"/>
      <x:c r="F10" s="22"/>
    </x:row>
    <x:row r="11">
      <x:c r="A11" s="12" t="str">
        <x:v>Average Score</x:v>
      </x:c>
      <x:c r="B11" s="12" t="str">
        <x:v>Priority</x:v>
      </x:c>
      <x:c r="C11" s="22"/>
      <x:c r="D11" s="22"/>
      <x:c r="E11" s="22"/>
      <x:c r="F11" s="22"/>
    </x:row>
    <x:row r="12">
      <x:c r="A12" s="22" t="str">
        <x:v>1.0-3.9</x:v>
      </x:c>
      <x:c r="B12" s="22" t="str">
        <x:v>Low</x:v>
      </x:c>
      <x:c r="C12" s="22"/>
      <x:c r="D12" s="22"/>
      <x:c r="E12" s="22"/>
      <x:c r="F12" s="22"/>
    </x:row>
    <x:row r="13">
      <x:c r="A13" s="22" t="str">
        <x:v>4.0-5.9</x:v>
      </x:c>
      <x:c r="B13" s="22" t="str">
        <x:v>Moderate</x:v>
      </x:c>
      <x:c r="C13" s="22"/>
      <x:c r="D13" s="22"/>
      <x:c r="E13" s="22"/>
      <x:c r="F13" s="22"/>
    </x:row>
    <x:row r="14">
      <x:c r="A14" s="22" t="str">
        <x:v>6.0-7.9</x:v>
      </x:c>
      <x:c r="B14" s="22" t="str">
        <x:v>High</x:v>
      </x:c>
      <x:c r="C14" s="22"/>
      <x:c r="D14" s="22"/>
      <x:c r="E14" s="22"/>
      <x:c r="F14" s="22"/>
    </x:row>
    <x:row r="15">
      <x:c r="A15" s="22" t="str">
        <x:v>8.0-10.0</x:v>
      </x:c>
      <x:c r="B15" s="22" t="str">
        <x:v>Critical</x:v>
      </x:c>
      <x:c r="C15" s="22"/>
      <x:c r="D15" s="22"/>
      <x:c r="E15" s="22"/>
      <x:c r="F15" s="22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42" hidden="0" customWidth="1"/>
    <x:col min="4" max="4" width="13" hidden="0" customWidth="1"/>
    <x:col min="5" max="5" width="20" hidden="0" customWidth="1"/>
    <x:col min="6" max="6" width="14" hidden="0" customWidth="1"/>
    <x:col min="7" max="7" width="16" hidden="0" customWidth="1"/>
    <x:col min="8" max="8" width="28" hidden="0" customWidth="1"/>
    <x:col min="9" max="9" width="30" hidden="0" customWidth="1"/>
  </x:cols>
  <x:sheetData>
    <x:row r="1">
      <x:c r="A1" s="4" t="str">
        <x:v>DREAD Treatment Tracker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Action ID</x:v>
      </x:c>
      <x:c r="B3" s="12" t="str">
        <x:v>Risk ID</x:v>
      </x:c>
      <x:c r="C3" s="12" t="str">
        <x:v>Treatment Action</x:v>
      </x:c>
      <x:c r="D3" s="12" t="str">
        <x:v>Priority</x:v>
      </x:c>
      <x:c r="E3" s="12" t="str">
        <x:v>Owner</x:v>
      </x:c>
      <x:c r="F3" s="12" t="str">
        <x:v>Target Date</x:v>
      </x:c>
      <x:c r="G3" s="12" t="str">
        <x:v>Status</x:v>
      </x:c>
      <x:c r="H3" s="12" t="str">
        <x:v>Validation</x:v>
      </x:c>
      <x:c r="I3" s="12" t="str">
        <x:v>Notes</x:v>
      </x:c>
    </x:row>
    <x:row r="4">
      <x:c r="A4" s="22" t="str">
        <x:v>DA-001</x:v>
      </x:c>
      <x:c r="B4" s="22" t="str">
        <x:v>DR-001</x:v>
      </x:c>
      <x:c r="C4" s="22" t="str">
        <x:v>Deploy bot-management controls and breached-password screening</x:v>
      </x:c>
      <x:c r="D4" s="22" t="str">
        <x:v>Critical</x:v>
      </x:c>
      <x:c r="E4" s="22" t="str">
        <x:v>IAM Lead</x:v>
      </x:c>
      <x:c r="F4" s="24" t="n">
        <x:v>46280</x:v>
      </x:c>
      <x:c r="G4" s="22" t="str">
        <x:v>In Progress</x:v>
      </x:c>
      <x:c r="H4" s="22" t="str">
        <x:v>Attack simulation</x:v>
      </x:c>
      <x:c r="I4" s="22" t="str"/>
    </x:row>
    <x:row r="5">
      <x:c r="A5" s="22" t="str">
        <x:v>DA-002</x:v>
      </x:c>
      <x:c r="B5" s="22" t="str">
        <x:v>DR-002</x:v>
      </x:c>
      <x:c r="C5" s="22" t="str">
        <x:v>Implement signed requests and replay prevention</x:v>
      </x:c>
      <x:c r="D5" s="22" t="str">
        <x:v>High</x:v>
      </x:c>
      <x:c r="E5" s="22" t="str">
        <x:v>Integration Lead</x:v>
      </x:c>
      <x:c r="F5" s="24" t="n">
        <x:v>46296</x:v>
      </x:c>
      <x:c r="G5" s="22" t="str">
        <x:v>Planned</x:v>
      </x:c>
      <x:c r="H5" s="22" t="str">
        <x:v>API security test</x:v>
      </x:c>
      <x:c r="I5" s="22" t="str"/>
    </x:row>
    <x:row r="6">
      <x:c r="A6" s="22" t="str">
        <x:v>DA-003</x:v>
      </x:c>
      <x:c r="B6" s="22" t="str">
        <x:v>DR-004</x:v>
      </x:c>
      <x:c r="C6" s="22" t="str">
        <x:v>Conduct application-layer load and abuse testing</x:v>
      </x:c>
      <x:c r="D6" s="22" t="str">
        <x:v>High</x:v>
      </x:c>
      <x:c r="E6" s="22" t="str">
        <x:v>Web Owner</x:v>
      </x:c>
      <x:c r="F6" s="24" t="n">
        <x:v>46295</x:v>
      </x:c>
      <x:c r="G6" s="22" t="str">
        <x:v>Planned</x:v>
      </x:c>
      <x:c r="H6" s="22" t="str">
        <x:v>Test report</x:v>
      </x:c>
      <x:c r="I6" s="22" t="str"/>
    </x:row>
    <x:row r="7">
      <x:c r="A7" s="22" t="str">
        <x:v>DA-004</x:v>
      </x:c>
      <x:c r="B7" s="22" t="str">
        <x:v>DR-005</x:v>
      </x:c>
      <x:c r="C7" s="22" t="str">
        <x:v>Add immutable security-log archive</x:v>
      </x:c>
      <x:c r="D7" s="22" t="str">
        <x:v>High</x:v>
      </x:c>
      <x:c r="E7" s="22" t="str">
        <x:v>SOC Lead</x:v>
      </x:c>
      <x:c r="F7" s="24" t="n">
        <x:v>46310</x:v>
      </x:c>
      <x:c r="G7" s="22" t="str">
        <x:v>Not Started</x:v>
      </x:c>
      <x:c r="H7" s="22" t="str">
        <x:v>Deletion-resistance test</x:v>
      </x:c>
      <x:c r="I7" s="22" t="str"/>
    </x:row>
    <x:row r="8">
      <x:c r="A8" s="22"/>
      <x:c r="B8" s="22"/>
      <x:c r="C8" s="22"/>
      <x:c r="D8" s="22"/>
      <x:c r="E8" s="22"/>
      <x:c r="F8" s="24"/>
      <x:c r="G8" s="22"/>
      <x:c r="H8" s="22"/>
      <x:c r="I8" s="22"/>
    </x:row>
    <x:row r="9">
      <x:c r="A9" s="22"/>
      <x:c r="B9" s="22"/>
      <x:c r="C9" s="22"/>
      <x:c r="D9" s="22"/>
      <x:c r="E9" s="22"/>
      <x:c r="F9" s="24"/>
      <x:c r="G9" s="22"/>
      <x:c r="H9" s="22"/>
      <x:c r="I9" s="22"/>
    </x:row>
    <x:row r="10">
      <x:c r="A10" s="22"/>
      <x:c r="B10" s="22"/>
      <x:c r="C10" s="22"/>
      <x:c r="D10" s="22"/>
      <x:c r="E10" s="22"/>
      <x:c r="F10" s="24"/>
      <x:c r="G10" s="22"/>
      <x:c r="H10" s="22"/>
      <x:c r="I10" s="22"/>
    </x:row>
    <x:row r="11">
      <x:c r="A11" s="22"/>
      <x:c r="B11" s="22"/>
      <x:c r="C11" s="22"/>
      <x:c r="D11" s="22"/>
      <x:c r="E11" s="22"/>
      <x:c r="F11" s="24"/>
      <x:c r="G11" s="22"/>
      <x:c r="H11" s="22"/>
      <x:c r="I11" s="22"/>
    </x:row>
    <x:row r="12">
      <x:c r="A12" s="22"/>
      <x:c r="B12" s="22"/>
      <x:c r="C12" s="22"/>
      <x:c r="D12" s="22"/>
      <x:c r="E12" s="22"/>
      <x:c r="F12" s="24"/>
      <x:c r="G12" s="22"/>
      <x:c r="H12" s="22"/>
      <x:c r="I12" s="22"/>
    </x:row>
    <x:row r="13">
      <x:c r="A13" s="22"/>
      <x:c r="B13" s="22"/>
      <x:c r="C13" s="22"/>
      <x:c r="D13" s="22"/>
      <x:c r="E13" s="22"/>
      <x:c r="F13" s="24"/>
      <x:c r="G13" s="22"/>
      <x:c r="H13" s="22"/>
      <x:c r="I13" s="22"/>
    </x:row>
    <x:row r="14">
      <x:c r="A14" s="22"/>
      <x:c r="B14" s="22"/>
      <x:c r="C14" s="22"/>
      <x:c r="D14" s="22"/>
      <x:c r="E14" s="22"/>
      <x:c r="F14" s="24"/>
      <x:c r="G14" s="22"/>
      <x:c r="H14" s="22"/>
      <x:c r="I14" s="22"/>
    </x:row>
    <x:row r="15">
      <x:c r="A15" s="22"/>
      <x:c r="B15" s="22"/>
      <x:c r="C15" s="22"/>
      <x:c r="D15" s="22"/>
      <x:c r="E15" s="22"/>
      <x:c r="F15" s="24"/>
      <x:c r="G15" s="22"/>
      <x:c r="H15" s="22"/>
      <x:c r="I15" s="22"/>
    </x:row>
    <x:row r="16">
      <x:c r="A16" s="22"/>
      <x:c r="B16" s="22"/>
      <x:c r="C16" s="22"/>
      <x:c r="D16" s="22"/>
      <x:c r="E16" s="22"/>
      <x:c r="F16" s="24"/>
      <x:c r="G16" s="22"/>
      <x:c r="H16" s="22"/>
      <x:c r="I16" s="22"/>
    </x:row>
    <x:row r="17">
      <x:c r="A17" s="22"/>
      <x:c r="B17" s="22"/>
      <x:c r="C17" s="22"/>
      <x:c r="D17" s="22"/>
      <x:c r="E17" s="22"/>
      <x:c r="F17" s="24"/>
      <x:c r="G17" s="22"/>
      <x:c r="H17" s="22"/>
      <x:c r="I17" s="22"/>
    </x:row>
    <x:row r="18">
      <x:c r="A18" s="22"/>
      <x:c r="B18" s="22"/>
      <x:c r="C18" s="22"/>
      <x:c r="D18" s="22"/>
      <x:c r="E18" s="22"/>
      <x:c r="F18" s="24"/>
      <x:c r="G18" s="22"/>
      <x:c r="H18" s="22"/>
      <x:c r="I18" s="22"/>
    </x:row>
    <x:row r="19">
      <x:c r="A19" s="22"/>
      <x:c r="B19" s="22"/>
      <x:c r="C19" s="22"/>
      <x:c r="D19" s="22"/>
      <x:c r="E19" s="22"/>
      <x:c r="F19" s="24"/>
      <x:c r="G19" s="22"/>
      <x:c r="H19" s="22"/>
      <x:c r="I19" s="22"/>
    </x:row>
    <x:row r="20">
      <x:c r="A20" s="22"/>
      <x:c r="B20" s="22"/>
      <x:c r="C20" s="22"/>
      <x:c r="D20" s="22"/>
      <x:c r="E20" s="22"/>
      <x:c r="F20" s="24"/>
      <x:c r="G20" s="22"/>
      <x:c r="H20" s="22"/>
      <x:c r="I20" s="22"/>
    </x:row>
    <x:row r="21">
      <x:c r="A21" s="22"/>
      <x:c r="B21" s="22"/>
      <x:c r="C21" s="22"/>
      <x:c r="D21" s="22"/>
      <x:c r="E21" s="22"/>
      <x:c r="F21" s="24"/>
      <x:c r="G21" s="22"/>
      <x:c r="H21" s="22"/>
      <x:c r="I21" s="22"/>
    </x:row>
    <x:row r="22">
      <x:c r="A22" s="22"/>
      <x:c r="B22" s="22"/>
      <x:c r="C22" s="22"/>
      <x:c r="D22" s="22"/>
      <x:c r="E22" s="22"/>
      <x:c r="F22" s="24"/>
      <x:c r="G22" s="22"/>
      <x:c r="H22" s="22"/>
      <x:c r="I22" s="22"/>
    </x:row>
    <x:row r="23">
      <x:c r="A23" s="22"/>
      <x:c r="B23" s="22"/>
      <x:c r="C23" s="22"/>
      <x:c r="D23" s="22"/>
      <x:c r="E23" s="22"/>
      <x:c r="F23" s="24"/>
      <x:c r="G23" s="22"/>
      <x:c r="H23" s="22"/>
      <x:c r="I23" s="22"/>
    </x:row>
    <x:row r="24">
      <x:c r="A24" s="22"/>
      <x:c r="B24" s="22"/>
      <x:c r="C24" s="22"/>
      <x:c r="D24" s="22"/>
      <x:c r="E24" s="22"/>
      <x:c r="F24" s="24"/>
      <x:c r="G24" s="22"/>
      <x:c r="H24" s="22"/>
      <x:c r="I24" s="22"/>
    </x:row>
    <x:row r="25">
      <x:c r="A25" s="22"/>
      <x:c r="B25" s="22"/>
      <x:c r="C25" s="22"/>
      <x:c r="D25" s="22"/>
      <x:c r="E25" s="22"/>
      <x:c r="F25" s="24"/>
      <x:c r="G25" s="22"/>
      <x:c r="H25" s="22"/>
      <x:c r="I25" s="22"/>
    </x:row>
    <x:row r="26">
      <x:c r="A26" s="22"/>
      <x:c r="B26" s="22"/>
      <x:c r="C26" s="22"/>
      <x:c r="D26" s="22"/>
      <x:c r="E26" s="22"/>
      <x:c r="F26" s="24"/>
      <x:c r="G26" s="22"/>
      <x:c r="H26" s="22"/>
      <x:c r="I26" s="22"/>
    </x:row>
    <x:row r="27">
      <x:c r="A27" s="22"/>
      <x:c r="B27" s="22"/>
      <x:c r="C27" s="22"/>
      <x:c r="D27" s="22"/>
      <x:c r="E27" s="22"/>
      <x:c r="F27" s="24"/>
      <x:c r="G27" s="22"/>
      <x:c r="H27" s="22"/>
      <x:c r="I27" s="22"/>
    </x:row>
    <x:row r="28">
      <x:c r="A28" s="22"/>
      <x:c r="B28" s="22"/>
      <x:c r="C28" s="22"/>
      <x:c r="D28" s="22"/>
      <x:c r="E28" s="22"/>
      <x:c r="F28" s="24"/>
      <x:c r="G28" s="22"/>
      <x:c r="H28" s="22"/>
      <x:c r="I28" s="22"/>
    </x:row>
    <x:row r="29">
      <x:c r="A29" s="22"/>
      <x:c r="B29" s="22"/>
      <x:c r="C29" s="22"/>
      <x:c r="D29" s="22"/>
      <x:c r="E29" s="22"/>
      <x:c r="F29" s="24"/>
      <x:c r="G29" s="22"/>
      <x:c r="H29" s="22"/>
      <x:c r="I29" s="22"/>
    </x:row>
    <x:row r="30">
      <x:c r="A30" s="22"/>
      <x:c r="B30" s="22"/>
      <x:c r="C30" s="22"/>
      <x:c r="D30" s="22"/>
      <x:c r="E30" s="22"/>
      <x:c r="F30" s="24"/>
      <x:c r="G30" s="22"/>
      <x:c r="H30" s="22"/>
      <x:c r="I30" s="22"/>
    </x:row>
    <x:row r="31">
      <x:c r="A31" s="22"/>
      <x:c r="B31" s="22"/>
      <x:c r="C31" s="22"/>
      <x:c r="D31" s="22"/>
      <x:c r="E31" s="22"/>
      <x:c r="F31" s="24"/>
      <x:c r="G31" s="22"/>
      <x:c r="H31" s="22"/>
      <x:c r="I31" s="22"/>
    </x:row>
    <x:row r="32">
      <x:c r="A32" s="22"/>
      <x:c r="B32" s="22"/>
      <x:c r="C32" s="22"/>
      <x:c r="D32" s="22"/>
      <x:c r="E32" s="22"/>
      <x:c r="F32" s="24"/>
      <x:c r="G32" s="22"/>
      <x:c r="H32" s="22"/>
      <x:c r="I32" s="22"/>
    </x:row>
    <x:row r="33">
      <x:c r="A33" s="22"/>
      <x:c r="B33" s="22"/>
      <x:c r="C33" s="22"/>
      <x:c r="D33" s="22"/>
      <x:c r="E33" s="22"/>
      <x:c r="F33" s="24"/>
      <x:c r="G33" s="22"/>
      <x:c r="H33" s="22"/>
      <x:c r="I33" s="22"/>
    </x:row>
    <x:row r="34">
      <x:c r="A34" s="22"/>
      <x:c r="B34" s="22"/>
      <x:c r="C34" s="22"/>
      <x:c r="D34" s="22"/>
      <x:c r="E34" s="22"/>
      <x:c r="F34" s="24"/>
      <x:c r="G34" s="22"/>
      <x:c r="H34" s="22"/>
      <x:c r="I34" s="22"/>
    </x:row>
    <x:row r="35">
      <x:c r="A35" s="22"/>
      <x:c r="B35" s="22"/>
      <x:c r="C35" s="22"/>
      <x:c r="D35" s="22"/>
      <x:c r="E35" s="22"/>
      <x:c r="F35" s="24"/>
      <x:c r="G35" s="22"/>
      <x:c r="H35" s="22"/>
      <x:c r="I35" s="22"/>
    </x:row>
    <x:row r="36">
      <x:c r="A36" s="22"/>
      <x:c r="B36" s="22"/>
      <x:c r="C36" s="22"/>
      <x:c r="D36" s="22"/>
      <x:c r="E36" s="22"/>
      <x:c r="F36" s="24"/>
      <x:c r="G36" s="22"/>
      <x:c r="H36" s="22"/>
      <x:c r="I36" s="22"/>
    </x:row>
    <x:row r="37">
      <x:c r="A37" s="22"/>
      <x:c r="B37" s="22"/>
      <x:c r="C37" s="22"/>
      <x:c r="D37" s="22"/>
      <x:c r="E37" s="22"/>
      <x:c r="F37" s="24"/>
      <x:c r="G37" s="22"/>
      <x:c r="H37" s="22"/>
      <x:c r="I37" s="22"/>
    </x:row>
    <x:row r="38">
      <x:c r="A38" s="22"/>
      <x:c r="B38" s="22"/>
      <x:c r="C38" s="22"/>
      <x:c r="D38" s="22"/>
      <x:c r="E38" s="22"/>
      <x:c r="F38" s="24"/>
      <x:c r="G38" s="22"/>
      <x:c r="H38" s="22"/>
      <x:c r="I38" s="22"/>
    </x:row>
    <x:row r="39">
      <x:c r="A39" s="22"/>
      <x:c r="B39" s="22"/>
      <x:c r="C39" s="22"/>
      <x:c r="D39" s="22"/>
      <x:c r="E39" s="22"/>
      <x:c r="F39" s="24"/>
      <x:c r="G39" s="22"/>
      <x:c r="H39" s="22"/>
      <x:c r="I39" s="22"/>
    </x:row>
    <x:row r="40">
      <x:c r="A40" s="22"/>
      <x:c r="B40" s="22"/>
      <x:c r="C40" s="22"/>
      <x:c r="D40" s="22"/>
      <x:c r="E40" s="22"/>
      <x:c r="F40" s="24"/>
      <x:c r="G40" s="22"/>
      <x:c r="H40" s="22"/>
      <x:c r="I40" s="22"/>
    </x:row>
    <x:row r="41">
      <x:c r="A41" s="22"/>
      <x:c r="B41" s="22"/>
      <x:c r="C41" s="22"/>
      <x:c r="D41" s="22"/>
      <x:c r="E41" s="22"/>
      <x:c r="F41" s="24"/>
      <x:c r="G41" s="22"/>
      <x:c r="H41" s="22"/>
      <x:c r="I41" s="22"/>
    </x:row>
    <x:row r="42">
      <x:c r="A42" s="22"/>
      <x:c r="B42" s="22"/>
      <x:c r="C42" s="22"/>
      <x:c r="D42" s="22"/>
      <x:c r="E42" s="22"/>
      <x:c r="F42" s="24"/>
      <x:c r="G42" s="22"/>
      <x:c r="H42" s="22"/>
      <x:c r="I42" s="22"/>
    </x:row>
    <x:row r="43">
      <x:c r="A43" s="22"/>
      <x:c r="B43" s="22"/>
      <x:c r="C43" s="22"/>
      <x:c r="D43" s="22"/>
      <x:c r="E43" s="22"/>
      <x:c r="F43" s="24"/>
      <x:c r="G43" s="22"/>
      <x:c r="H43" s="22"/>
      <x:c r="I43" s="22"/>
    </x:row>
    <x:row r="44">
      <x:c r="A44" s="22"/>
      <x:c r="B44" s="22"/>
      <x:c r="C44" s="22"/>
      <x:c r="D44" s="22"/>
      <x:c r="E44" s="22"/>
      <x:c r="F44" s="24"/>
      <x:c r="G44" s="22"/>
      <x:c r="H44" s="22"/>
      <x:c r="I44" s="22"/>
    </x:row>
    <x:row r="45">
      <x:c r="A45" s="22"/>
      <x:c r="B45" s="22"/>
      <x:c r="C45" s="22"/>
      <x:c r="D45" s="22"/>
      <x:c r="E45" s="22"/>
      <x:c r="F45" s="24"/>
      <x:c r="G45" s="22"/>
      <x:c r="H45" s="22"/>
      <x:c r="I45" s="22"/>
    </x:row>
    <x:row r="46">
      <x:c r="A46" s="22"/>
      <x:c r="B46" s="22"/>
      <x:c r="C46" s="22"/>
      <x:c r="D46" s="22"/>
      <x:c r="E46" s="22"/>
      <x:c r="F46" s="24"/>
      <x:c r="G46" s="22"/>
      <x:c r="H46" s="22"/>
      <x:c r="I46" s="22"/>
    </x:row>
    <x:row r="47">
      <x:c r="A47" s="22"/>
      <x:c r="B47" s="22"/>
      <x:c r="C47" s="22"/>
      <x:c r="D47" s="22"/>
      <x:c r="E47" s="22"/>
      <x:c r="F47" s="24"/>
      <x:c r="G47" s="22"/>
      <x:c r="H47" s="22"/>
      <x:c r="I47" s="22"/>
    </x:row>
    <x:row r="48">
      <x:c r="A48" s="22"/>
      <x:c r="B48" s="22"/>
      <x:c r="C48" s="22"/>
      <x:c r="D48" s="22"/>
      <x:c r="E48" s="22"/>
      <x:c r="F48" s="24"/>
      <x:c r="G48" s="22"/>
      <x:c r="H48" s="22"/>
      <x:c r="I48" s="22"/>
    </x:row>
    <x:row r="49">
      <x:c r="A49" s="22"/>
      <x:c r="B49" s="22"/>
      <x:c r="C49" s="22"/>
      <x:c r="D49" s="22"/>
      <x:c r="E49" s="22"/>
      <x:c r="F49" s="24"/>
      <x:c r="G49" s="22"/>
      <x:c r="H49" s="22"/>
      <x:c r="I49" s="22"/>
    </x:row>
    <x:row r="50">
      <x:c r="A50" s="22"/>
      <x:c r="B50" s="22"/>
      <x:c r="C50" s="22"/>
      <x:c r="D50" s="22"/>
      <x:c r="E50" s="22"/>
      <x:c r="F50" s="24"/>
      <x:c r="G50" s="22"/>
      <x:c r="H50" s="22"/>
      <x:c r="I50" s="22"/>
    </x:row>
    <x:row r="51">
      <x:c r="A51" s="22"/>
      <x:c r="B51" s="22"/>
      <x:c r="C51" s="22"/>
      <x:c r="D51" s="22"/>
      <x:c r="E51" s="22"/>
      <x:c r="F51" s="24"/>
      <x:c r="G51" s="22"/>
      <x:c r="H51" s="22"/>
      <x:c r="I51" s="22"/>
    </x:row>
    <x:row r="52">
      <x:c r="A52" s="22"/>
      <x:c r="B52" s="22"/>
      <x:c r="C52" s="22"/>
      <x:c r="D52" s="22"/>
      <x:c r="E52" s="22"/>
      <x:c r="F52" s="24"/>
      <x:c r="G52" s="22"/>
      <x:c r="H52" s="22"/>
      <x:c r="I52" s="22"/>
    </x:row>
    <x:row r="53">
      <x:c r="A53" s="22"/>
      <x:c r="B53" s="22"/>
      <x:c r="C53" s="22"/>
      <x:c r="D53" s="22"/>
      <x:c r="E53" s="22"/>
      <x:c r="F53" s="24"/>
      <x:c r="G53" s="22"/>
      <x:c r="H53" s="22"/>
      <x:c r="I53" s="22"/>
    </x:row>
    <x:row r="54">
      <x:c r="A54" s="22"/>
      <x:c r="B54" s="22"/>
      <x:c r="C54" s="22"/>
      <x:c r="D54" s="22"/>
      <x:c r="E54" s="22"/>
      <x:c r="F54" s="24"/>
      <x:c r="G54" s="22"/>
      <x:c r="H54" s="22"/>
      <x:c r="I54" s="22"/>
    </x:row>
    <x:row r="55">
      <x:c r="A55" s="22"/>
      <x:c r="B55" s="22"/>
      <x:c r="C55" s="22"/>
      <x:c r="D55" s="22"/>
      <x:c r="E55" s="22"/>
      <x:c r="F55" s="24"/>
      <x:c r="G55" s="22"/>
      <x:c r="H55" s="22"/>
      <x:c r="I55" s="22"/>
    </x:row>
    <x:row r="56">
      <x:c r="A56" s="22"/>
      <x:c r="B56" s="22"/>
      <x:c r="C56" s="22"/>
      <x:c r="D56" s="22"/>
      <x:c r="E56" s="22"/>
      <x:c r="F56" s="24"/>
      <x:c r="G56" s="22"/>
      <x:c r="H56" s="22"/>
      <x:c r="I56" s="22"/>
    </x:row>
    <x:row r="57">
      <x:c r="A57" s="22"/>
      <x:c r="B57" s="22"/>
      <x:c r="C57" s="22"/>
      <x:c r="D57" s="22"/>
      <x:c r="E57" s="22"/>
      <x:c r="F57" s="24"/>
      <x:c r="G57" s="22"/>
      <x:c r="H57" s="22"/>
      <x:c r="I57" s="22"/>
    </x:row>
    <x:row r="58">
      <x:c r="A58" s="22"/>
      <x:c r="B58" s="22"/>
      <x:c r="C58" s="22"/>
      <x:c r="D58" s="22"/>
      <x:c r="E58" s="22"/>
      <x:c r="F58" s="24"/>
      <x:c r="G58" s="22"/>
      <x:c r="H58" s="22"/>
      <x:c r="I58" s="22"/>
    </x:row>
    <x:row r="59">
      <x:c r="A59" s="22"/>
      <x:c r="B59" s="22"/>
      <x:c r="C59" s="22"/>
      <x:c r="D59" s="22"/>
      <x:c r="E59" s="22"/>
      <x:c r="F59" s="24"/>
      <x:c r="G59" s="22"/>
      <x:c r="H59" s="22"/>
      <x:c r="I59" s="22"/>
    </x:row>
    <x:row r="60">
      <x:c r="A60" s="22"/>
      <x:c r="B60" s="22"/>
      <x:c r="C60" s="22"/>
      <x:c r="D60" s="22"/>
      <x:c r="E60" s="22"/>
      <x:c r="F60" s="24"/>
      <x:c r="G60" s="22"/>
      <x:c r="H60" s="22"/>
      <x:c r="I60" s="22"/>
    </x:row>
    <x:row r="61">
      <x:c r="A61" s="22"/>
      <x:c r="B61" s="22"/>
      <x:c r="C61" s="22"/>
      <x:c r="D61" s="22"/>
      <x:c r="E61" s="22"/>
      <x:c r="F61" s="24"/>
      <x:c r="G61" s="22"/>
      <x:c r="H61" s="22"/>
      <x:c r="I61" s="22"/>
    </x:row>
    <x:row r="62">
      <x:c r="A62" s="22"/>
      <x:c r="B62" s="22"/>
      <x:c r="C62" s="22"/>
      <x:c r="D62" s="22"/>
      <x:c r="E62" s="22"/>
      <x:c r="F62" s="24"/>
      <x:c r="G62" s="22"/>
      <x:c r="H62" s="22"/>
      <x:c r="I62" s="22"/>
    </x:row>
    <x:row r="63">
      <x:c r="A63" s="22"/>
      <x:c r="B63" s="22"/>
      <x:c r="C63" s="22"/>
      <x:c r="D63" s="22"/>
      <x:c r="E63" s="22"/>
      <x:c r="F63" s="24"/>
      <x:c r="G63" s="22"/>
      <x:c r="H63" s="22"/>
      <x:c r="I63" s="22"/>
    </x:row>
    <x:row r="64">
      <x:c r="A64" s="22"/>
      <x:c r="B64" s="22"/>
      <x:c r="C64" s="22"/>
      <x:c r="D64" s="22"/>
      <x:c r="E64" s="22"/>
      <x:c r="F64" s="24"/>
      <x:c r="G64" s="22"/>
      <x:c r="H64" s="22"/>
      <x:c r="I64" s="22"/>
    </x:row>
    <x:row r="65">
      <x:c r="A65" s="22"/>
      <x:c r="B65" s="22"/>
      <x:c r="C65" s="22"/>
      <x:c r="D65" s="22"/>
      <x:c r="E65" s="22"/>
      <x:c r="F65" s="24"/>
      <x:c r="G65" s="22"/>
      <x:c r="H65" s="22"/>
      <x:c r="I65" s="22"/>
    </x:row>
    <x:row r="66">
      <x:c r="A66" s="22"/>
      <x:c r="B66" s="22"/>
      <x:c r="C66" s="22"/>
      <x:c r="D66" s="22"/>
      <x:c r="E66" s="22"/>
      <x:c r="F66" s="24"/>
      <x:c r="G66" s="22"/>
      <x:c r="H66" s="22"/>
      <x:c r="I66" s="22"/>
    </x:row>
    <x:row r="67">
      <x:c r="A67" s="22"/>
      <x:c r="B67" s="22"/>
      <x:c r="C67" s="22"/>
      <x:c r="D67" s="22"/>
      <x:c r="E67" s="22"/>
      <x:c r="F67" s="24"/>
      <x:c r="G67" s="22"/>
      <x:c r="H67" s="22"/>
      <x:c r="I67" s="22"/>
    </x:row>
    <x:row r="68">
      <x:c r="A68" s="22"/>
      <x:c r="B68" s="22"/>
      <x:c r="C68" s="22"/>
      <x:c r="D68" s="22"/>
      <x:c r="E68" s="22"/>
      <x:c r="F68" s="24"/>
      <x:c r="G68" s="22"/>
      <x:c r="H68" s="22"/>
      <x:c r="I68" s="22"/>
    </x:row>
    <x:row r="69">
      <x:c r="A69" s="22"/>
      <x:c r="B69" s="22"/>
      <x:c r="C69" s="22"/>
      <x:c r="D69" s="22"/>
      <x:c r="E69" s="22"/>
      <x:c r="F69" s="24"/>
      <x:c r="G69" s="22"/>
      <x:c r="H69" s="22"/>
      <x:c r="I69" s="22"/>
    </x:row>
    <x:row r="70">
      <x:c r="A70" s="22"/>
      <x:c r="B70" s="22"/>
      <x:c r="C70" s="22"/>
      <x:c r="D70" s="22"/>
      <x:c r="E70" s="22"/>
      <x:c r="F70" s="24"/>
      <x:c r="G70" s="22"/>
      <x:c r="H70" s="22"/>
      <x:c r="I70" s="22"/>
    </x:row>
    <x:row r="71">
      <x:c r="A71" s="22"/>
      <x:c r="B71" s="22"/>
      <x:c r="C71" s="22"/>
      <x:c r="D71" s="22"/>
      <x:c r="E71" s="22"/>
      <x:c r="F71" s="24"/>
      <x:c r="G71" s="22"/>
      <x:c r="H71" s="22"/>
      <x:c r="I71" s="22"/>
    </x:row>
    <x:row r="72">
      <x:c r="A72" s="22"/>
      <x:c r="B72" s="22"/>
      <x:c r="C72" s="22"/>
      <x:c r="D72" s="22"/>
      <x:c r="E72" s="22"/>
      <x:c r="F72" s="24"/>
      <x:c r="G72" s="22"/>
      <x:c r="H72" s="22"/>
      <x:c r="I72" s="22"/>
    </x:row>
    <x:row r="73">
      <x:c r="A73" s="22"/>
      <x:c r="B73" s="22"/>
      <x:c r="C73" s="22"/>
      <x:c r="D73" s="22"/>
      <x:c r="E73" s="22"/>
      <x:c r="F73" s="24"/>
      <x:c r="G73" s="22"/>
      <x:c r="H73" s="22"/>
      <x:c r="I73" s="22"/>
    </x:row>
    <x:row r="74">
      <x:c r="A74" s="22"/>
      <x:c r="B74" s="22"/>
      <x:c r="C74" s="22"/>
      <x:c r="D74" s="22"/>
      <x:c r="E74" s="22"/>
      <x:c r="F74" s="24"/>
      <x:c r="G74" s="22"/>
      <x:c r="H74" s="22"/>
      <x:c r="I74" s="22"/>
    </x:row>
    <x:row r="75">
      <x:c r="A75" s="22"/>
      <x:c r="B75" s="22"/>
      <x:c r="C75" s="22"/>
      <x:c r="D75" s="22"/>
      <x:c r="E75" s="22"/>
      <x:c r="F75" s="24"/>
      <x:c r="G75" s="22"/>
      <x:c r="H75" s="22"/>
      <x:c r="I75" s="22"/>
    </x:row>
    <x:row r="76">
      <x:c r="A76" s="22"/>
      <x:c r="B76" s="22"/>
      <x:c r="C76" s="22"/>
      <x:c r="D76" s="22"/>
      <x:c r="E76" s="22"/>
      <x:c r="F76" s="24"/>
      <x:c r="G76" s="22"/>
      <x:c r="H76" s="22"/>
      <x:c r="I76" s="22"/>
    </x:row>
    <x:row r="77">
      <x:c r="A77" s="22"/>
      <x:c r="B77" s="22"/>
      <x:c r="C77" s="22"/>
      <x:c r="D77" s="22"/>
      <x:c r="E77" s="22"/>
      <x:c r="F77" s="24"/>
      <x:c r="G77" s="22"/>
      <x:c r="H77" s="22"/>
      <x:c r="I77" s="22"/>
    </x:row>
    <x:row r="78">
      <x:c r="A78" s="22"/>
      <x:c r="B78" s="22"/>
      <x:c r="C78" s="22"/>
      <x:c r="D78" s="22"/>
      <x:c r="E78" s="22"/>
      <x:c r="F78" s="24"/>
      <x:c r="G78" s="22"/>
      <x:c r="H78" s="22"/>
      <x:c r="I78" s="22"/>
    </x:row>
    <x:row r="79">
      <x:c r="A79" s="22"/>
      <x:c r="B79" s="22"/>
      <x:c r="C79" s="22"/>
      <x:c r="D79" s="22"/>
      <x:c r="E79" s="22"/>
      <x:c r="F79" s="24"/>
      <x:c r="G79" s="22"/>
      <x:c r="H79" s="22"/>
      <x:c r="I79" s="22"/>
    </x:row>
    <x:row r="80">
      <x:c r="A80" s="22"/>
      <x:c r="B80" s="22"/>
      <x:c r="C80" s="22"/>
      <x:c r="D80" s="22"/>
      <x:c r="E80" s="22"/>
      <x:c r="F80" s="24"/>
      <x:c r="G80" s="22"/>
      <x:c r="H80" s="22"/>
      <x:c r="I80" s="22"/>
    </x:row>
    <x:row r="81">
      <x:c r="A81" s="22"/>
      <x:c r="B81" s="22"/>
      <x:c r="C81" s="22"/>
      <x:c r="D81" s="22"/>
      <x:c r="E81" s="22"/>
      <x:c r="F81" s="24"/>
      <x:c r="G81" s="22"/>
      <x:c r="H81" s="22"/>
      <x:c r="I81" s="22"/>
    </x:row>
    <x:row r="82">
      <x:c r="A82" s="22"/>
      <x:c r="B82" s="22"/>
      <x:c r="C82" s="22"/>
      <x:c r="D82" s="22"/>
      <x:c r="E82" s="22"/>
      <x:c r="F82" s="24"/>
      <x:c r="G82" s="22"/>
      <x:c r="H82" s="22"/>
      <x:c r="I82" s="22"/>
    </x:row>
    <x:row r="83">
      <x:c r="A83" s="22"/>
      <x:c r="B83" s="22"/>
      <x:c r="C83" s="22"/>
      <x:c r="D83" s="22"/>
      <x:c r="E83" s="22"/>
      <x:c r="F83" s="24"/>
      <x:c r="G83" s="22"/>
      <x:c r="H83" s="22"/>
      <x:c r="I83" s="22"/>
    </x:row>
    <x:row r="84">
      <x:c r="A84" s="22"/>
      <x:c r="B84" s="22"/>
      <x:c r="C84" s="22"/>
      <x:c r="D84" s="22"/>
      <x:c r="E84" s="22"/>
      <x:c r="F84" s="24"/>
      <x:c r="G84" s="22"/>
      <x:c r="H84" s="22"/>
      <x:c r="I84" s="22"/>
    </x:row>
    <x:row r="85">
      <x:c r="A85" s="22"/>
      <x:c r="B85" s="22"/>
      <x:c r="C85" s="22"/>
      <x:c r="D85" s="22"/>
      <x:c r="E85" s="22"/>
      <x:c r="F85" s="24"/>
      <x:c r="G85" s="22"/>
      <x:c r="H85" s="22"/>
      <x:c r="I85" s="22"/>
    </x:row>
    <x:row r="86">
      <x:c r="A86" s="22"/>
      <x:c r="B86" s="22"/>
      <x:c r="C86" s="22"/>
      <x:c r="D86" s="22"/>
      <x:c r="E86" s="22"/>
      <x:c r="F86" s="24"/>
      <x:c r="G86" s="22"/>
      <x:c r="H86" s="22"/>
      <x:c r="I86" s="22"/>
    </x:row>
    <x:row r="87">
      <x:c r="A87" s="22"/>
      <x:c r="B87" s="22"/>
      <x:c r="C87" s="22"/>
      <x:c r="D87" s="22"/>
      <x:c r="E87" s="22"/>
      <x:c r="F87" s="24"/>
      <x:c r="G87" s="22"/>
      <x:c r="H87" s="22"/>
      <x:c r="I87" s="22"/>
    </x:row>
    <x:row r="88">
      <x:c r="A88" s="22"/>
      <x:c r="B88" s="22"/>
      <x:c r="C88" s="22"/>
      <x:c r="D88" s="22"/>
      <x:c r="E88" s="22"/>
      <x:c r="F88" s="24"/>
      <x:c r="G88" s="22"/>
      <x:c r="H88" s="22"/>
      <x:c r="I88" s="22"/>
    </x:row>
    <x:row r="89">
      <x:c r="A89" s="22"/>
      <x:c r="B89" s="22"/>
      <x:c r="C89" s="22"/>
      <x:c r="D89" s="22"/>
      <x:c r="E89" s="22"/>
      <x:c r="F89" s="24"/>
      <x:c r="G89" s="22"/>
      <x:c r="H89" s="22"/>
      <x:c r="I89" s="22"/>
    </x:row>
    <x:row r="90">
      <x:c r="A90" s="22"/>
      <x:c r="B90" s="22"/>
      <x:c r="C90" s="22"/>
      <x:c r="D90" s="22"/>
      <x:c r="E90" s="22"/>
      <x:c r="F90" s="24"/>
      <x:c r="G90" s="22"/>
      <x:c r="H90" s="22"/>
      <x:c r="I90" s="22"/>
    </x:row>
    <x:row r="91">
      <x:c r="A91" s="22"/>
      <x:c r="B91" s="22"/>
      <x:c r="C91" s="22"/>
      <x:c r="D91" s="22"/>
      <x:c r="E91" s="22"/>
      <x:c r="F91" s="24"/>
      <x:c r="G91" s="22"/>
      <x:c r="H91" s="22"/>
      <x:c r="I91" s="22"/>
    </x:row>
    <x:row r="92">
      <x:c r="A92" s="22"/>
      <x:c r="B92" s="22"/>
      <x:c r="C92" s="22"/>
      <x:c r="D92" s="22"/>
      <x:c r="E92" s="22"/>
      <x:c r="F92" s="24"/>
      <x:c r="G92" s="22"/>
      <x:c r="H92" s="22"/>
      <x:c r="I92" s="22"/>
    </x:row>
    <x:row r="93">
      <x:c r="A93" s="22"/>
      <x:c r="B93" s="22"/>
      <x:c r="C93" s="22"/>
      <x:c r="D93" s="22"/>
      <x:c r="E93" s="22"/>
      <x:c r="F93" s="24"/>
      <x:c r="G93" s="22"/>
      <x:c r="H93" s="22"/>
      <x:c r="I93" s="22"/>
    </x:row>
    <x:row r="94">
      <x:c r="A94" s="22"/>
      <x:c r="B94" s="22"/>
      <x:c r="C94" s="22"/>
      <x:c r="D94" s="22"/>
      <x:c r="E94" s="22"/>
      <x:c r="F94" s="24"/>
      <x:c r="G94" s="22"/>
      <x:c r="H94" s="22"/>
      <x:c r="I94" s="22"/>
    </x:row>
    <x:row r="95">
      <x:c r="A95" s="22"/>
      <x:c r="B95" s="22"/>
      <x:c r="C95" s="22"/>
      <x:c r="D95" s="22"/>
      <x:c r="E95" s="22"/>
      <x:c r="F95" s="24"/>
      <x:c r="G95" s="22"/>
      <x:c r="H95" s="22"/>
      <x:c r="I95" s="22"/>
    </x:row>
    <x:row r="96">
      <x:c r="A96" s="22"/>
      <x:c r="B96" s="22"/>
      <x:c r="C96" s="22"/>
      <x:c r="D96" s="22"/>
      <x:c r="E96" s="22"/>
      <x:c r="F96" s="24"/>
      <x:c r="G96" s="22"/>
      <x:c r="H96" s="22"/>
      <x:c r="I96" s="22"/>
    </x:row>
    <x:row r="97">
      <x:c r="A97" s="22"/>
      <x:c r="B97" s="22"/>
      <x:c r="C97" s="22"/>
      <x:c r="D97" s="22"/>
      <x:c r="E97" s="22"/>
      <x:c r="F97" s="24"/>
      <x:c r="G97" s="22"/>
      <x:c r="H97" s="22"/>
      <x:c r="I97" s="22"/>
    </x:row>
    <x:row r="98">
      <x:c r="A98" s="22"/>
      <x:c r="B98" s="22"/>
      <x:c r="C98" s="22"/>
      <x:c r="D98" s="22"/>
      <x:c r="E98" s="22"/>
      <x:c r="F98" s="24"/>
      <x:c r="G98" s="22"/>
      <x:c r="H98" s="22"/>
      <x:c r="I98" s="22"/>
    </x:row>
    <x:row r="99">
      <x:c r="A99" s="22"/>
      <x:c r="B99" s="22"/>
      <x:c r="C99" s="22"/>
      <x:c r="D99" s="22"/>
      <x:c r="E99" s="22"/>
      <x:c r="F99" s="24"/>
      <x:c r="G99" s="22"/>
      <x:c r="H99" s="22"/>
      <x:c r="I99" s="22"/>
    </x:row>
    <x:row r="100">
      <x:c r="A100" s="22"/>
      <x:c r="B100" s="22"/>
      <x:c r="C100" s="22"/>
      <x:c r="D100" s="22"/>
      <x:c r="E100" s="22"/>
      <x:c r="F100" s="24"/>
      <x:c r="G100" s="22"/>
      <x:c r="H100" s="22"/>
      <x:c r="I100" s="22"/>
    </x:row>
    <x:row r="101">
      <x:c r="A101" s="22"/>
      <x:c r="B101" s="22"/>
      <x:c r="C101" s="22"/>
      <x:c r="D101" s="22"/>
      <x:c r="E101" s="22"/>
      <x:c r="F101" s="24"/>
      <x:c r="G101" s="22"/>
      <x:c r="H101" s="22"/>
      <x:c r="I101" s="22"/>
    </x:row>
    <x:row r="102">
      <x:c r="A102" s="22"/>
      <x:c r="B102" s="22"/>
      <x:c r="C102" s="22"/>
      <x:c r="D102" s="22"/>
      <x:c r="E102" s="22"/>
      <x:c r="F102" s="24"/>
      <x:c r="G102" s="22"/>
      <x:c r="H102" s="22"/>
      <x:c r="I102" s="22"/>
    </x:row>
    <x:row r="103">
      <x:c r="A103" s="22"/>
      <x:c r="B103" s="22"/>
      <x:c r="C103" s="22"/>
      <x:c r="D103" s="22"/>
      <x:c r="E103" s="22"/>
      <x:c r="F103" s="24"/>
      <x:c r="G103" s="22"/>
      <x:c r="H103" s="22"/>
      <x:c r="I103" s="22"/>
    </x:row>
    <x:row r="104">
      <x:c r="A104" s="22"/>
      <x:c r="B104" s="22"/>
      <x:c r="C104" s="22"/>
      <x:c r="D104" s="22"/>
      <x:c r="E104" s="22"/>
      <x:c r="F104" s="24"/>
      <x:c r="G104" s="22"/>
      <x:c r="H104" s="22"/>
      <x:c r="I104" s="22"/>
    </x:row>
    <x:row r="105">
      <x:c r="A105" s="22"/>
      <x:c r="B105" s="22"/>
      <x:c r="C105" s="22"/>
      <x:c r="D105" s="22"/>
      <x:c r="E105" s="22"/>
      <x:c r="F105" s="24"/>
      <x:c r="G105" s="22"/>
      <x:c r="H105" s="22"/>
      <x:c r="I105" s="22"/>
    </x:row>
    <x:row r="106">
      <x:c r="A106" s="22"/>
      <x:c r="B106" s="22"/>
      <x:c r="C106" s="22"/>
      <x:c r="D106" s="22"/>
      <x:c r="E106" s="22"/>
      <x:c r="F106" s="24"/>
      <x:c r="G106" s="22"/>
      <x:c r="H106" s="22"/>
      <x:c r="I106" s="22"/>
    </x:row>
    <x:row r="107">
      <x:c r="A107" s="22"/>
      <x:c r="B107" s="22"/>
      <x:c r="C107" s="22"/>
      <x:c r="D107" s="22"/>
      <x:c r="E107" s="22"/>
      <x:c r="F107" s="24"/>
      <x:c r="G107" s="22"/>
      <x:c r="H107" s="22"/>
      <x:c r="I107" s="22"/>
    </x:row>
    <x:row r="108">
      <x:c r="A108" s="22"/>
      <x:c r="B108" s="22"/>
      <x:c r="C108" s="22"/>
      <x:c r="D108" s="22"/>
      <x:c r="E108" s="22"/>
      <x:c r="F108" s="24"/>
      <x:c r="G108" s="22"/>
      <x:c r="H108" s="22"/>
      <x:c r="I108" s="22"/>
    </x:row>
    <x:row r="109">
      <x:c r="A109" s="22"/>
      <x:c r="B109" s="22"/>
      <x:c r="C109" s="22"/>
      <x:c r="D109" s="22"/>
      <x:c r="E109" s="22"/>
      <x:c r="F109" s="24"/>
      <x:c r="G109" s="22"/>
      <x:c r="H109" s="22"/>
      <x:c r="I109" s="22"/>
    </x:row>
    <x:row r="110">
      <x:c r="A110" s="22"/>
      <x:c r="B110" s="22"/>
      <x:c r="C110" s="22"/>
      <x:c r="D110" s="22"/>
      <x:c r="E110" s="22"/>
      <x:c r="F110" s="24"/>
      <x:c r="G110" s="22"/>
      <x:c r="H110" s="22"/>
      <x:c r="I110" s="22"/>
    </x:row>
    <x:row r="111">
      <x:c r="A111" s="22"/>
      <x:c r="B111" s="22"/>
      <x:c r="C111" s="22"/>
      <x:c r="D111" s="22"/>
      <x:c r="E111" s="22"/>
      <x:c r="F111" s="24"/>
      <x:c r="G111" s="22"/>
      <x:c r="H111" s="22"/>
      <x:c r="I111" s="22"/>
    </x:row>
    <x:row r="112">
      <x:c r="A112" s="22"/>
      <x:c r="B112" s="22"/>
      <x:c r="C112" s="22"/>
      <x:c r="D112" s="22"/>
      <x:c r="E112" s="22"/>
      <x:c r="F112" s="24"/>
      <x:c r="G112" s="22"/>
      <x:c r="H112" s="22"/>
      <x:c r="I112" s="22"/>
    </x:row>
    <x:row r="113">
      <x:c r="A113" s="22"/>
      <x:c r="B113" s="22"/>
      <x:c r="C113" s="22"/>
      <x:c r="D113" s="22"/>
      <x:c r="E113" s="22"/>
      <x:c r="F113" s="24"/>
      <x:c r="G113" s="22"/>
      <x:c r="H113" s="22"/>
      <x:c r="I113" s="22"/>
    </x:row>
    <x:row r="114">
      <x:c r="A114" s="22"/>
      <x:c r="B114" s="22"/>
      <x:c r="C114" s="22"/>
      <x:c r="D114" s="22"/>
      <x:c r="E114" s="22"/>
      <x:c r="F114" s="24"/>
      <x:c r="G114" s="22"/>
      <x:c r="H114" s="22"/>
      <x:c r="I114" s="22"/>
    </x:row>
    <x:row r="115">
      <x:c r="A115" s="22"/>
      <x:c r="B115" s="22"/>
      <x:c r="C115" s="22"/>
      <x:c r="D115" s="22"/>
      <x:c r="E115" s="22"/>
      <x:c r="F115" s="24"/>
      <x:c r="G115" s="22"/>
      <x:c r="H115" s="22"/>
      <x:c r="I115" s="22"/>
    </x:row>
    <x:row r="116">
      <x:c r="A116" s="22"/>
      <x:c r="B116" s="22"/>
      <x:c r="C116" s="22"/>
      <x:c r="D116" s="22"/>
      <x:c r="E116" s="22"/>
      <x:c r="F116" s="24"/>
      <x:c r="G116" s="22"/>
      <x:c r="H116" s="22"/>
      <x:c r="I116" s="22"/>
    </x:row>
    <x:row r="117">
      <x:c r="A117" s="22"/>
      <x:c r="B117" s="22"/>
      <x:c r="C117" s="22"/>
      <x:c r="D117" s="22"/>
      <x:c r="E117" s="22"/>
      <x:c r="F117" s="24"/>
      <x:c r="G117" s="22"/>
      <x:c r="H117" s="22"/>
      <x:c r="I117" s="22"/>
    </x:row>
    <x:row r="118">
      <x:c r="A118" s="22"/>
      <x:c r="B118" s="22"/>
      <x:c r="C118" s="22"/>
      <x:c r="D118" s="22"/>
      <x:c r="E118" s="22"/>
      <x:c r="F118" s="24"/>
      <x:c r="G118" s="22"/>
      <x:c r="H118" s="22"/>
      <x:c r="I118" s="22"/>
    </x:row>
    <x:row r="119">
      <x:c r="A119" s="22"/>
      <x:c r="B119" s="22"/>
      <x:c r="C119" s="22"/>
      <x:c r="D119" s="22"/>
      <x:c r="E119" s="22"/>
      <x:c r="F119" s="24"/>
      <x:c r="G119" s="22"/>
      <x:c r="H119" s="22"/>
      <x:c r="I119" s="22"/>
    </x:row>
    <x:row r="120">
      <x:c r="A120" s="22"/>
      <x:c r="B120" s="22"/>
      <x:c r="C120" s="22"/>
      <x:c r="D120" s="22"/>
      <x:c r="E120" s="22"/>
      <x:c r="F120" s="24"/>
      <x:c r="G120" s="22"/>
      <x:c r="H120" s="22"/>
      <x:c r="I120" s="22"/>
    </x:row>
    <x:row r="121">
      <x:c r="A121" s="22"/>
      <x:c r="B121" s="22"/>
      <x:c r="C121" s="22"/>
      <x:c r="D121" s="22"/>
      <x:c r="E121" s="22"/>
      <x:c r="F121" s="24"/>
      <x:c r="G121" s="22"/>
      <x:c r="H121" s="22"/>
      <x:c r="I121" s="22"/>
    </x:row>
    <x:row r="122">
      <x:c r="A122" s="22"/>
      <x:c r="B122" s="22"/>
      <x:c r="C122" s="22"/>
      <x:c r="D122" s="22"/>
      <x:c r="E122" s="22"/>
      <x:c r="F122" s="24"/>
      <x:c r="G122" s="22"/>
      <x:c r="H122" s="22"/>
      <x:c r="I122" s="22"/>
    </x:row>
    <x:row r="123">
      <x:c r="A123" s="22"/>
      <x:c r="B123" s="22"/>
      <x:c r="C123" s="22"/>
      <x:c r="D123" s="22"/>
      <x:c r="E123" s="22"/>
      <x:c r="F123" s="24"/>
      <x:c r="G123" s="22"/>
      <x:c r="H123" s="22"/>
      <x:c r="I123" s="22"/>
    </x:row>
    <x:row r="124">
      <x:c r="A124" s="22"/>
      <x:c r="B124" s="22"/>
      <x:c r="C124" s="22"/>
      <x:c r="D124" s="22"/>
      <x:c r="E124" s="22"/>
      <x:c r="F124" s="24"/>
      <x:c r="G124" s="22"/>
      <x:c r="H124" s="22"/>
      <x:c r="I124" s="22"/>
    </x:row>
    <x:row r="125">
      <x:c r="A125" s="22"/>
      <x:c r="B125" s="22"/>
      <x:c r="C125" s="22"/>
      <x:c r="D125" s="22"/>
      <x:c r="E125" s="22"/>
      <x:c r="F125" s="24"/>
      <x:c r="G125" s="22"/>
      <x:c r="H125" s="22"/>
      <x:c r="I125" s="22"/>
    </x:row>
    <x:row r="126">
      <x:c r="A126" s="22"/>
      <x:c r="B126" s="22"/>
      <x:c r="C126" s="22"/>
      <x:c r="D126" s="22"/>
      <x:c r="E126" s="22"/>
      <x:c r="F126" s="24"/>
      <x:c r="G126" s="22"/>
      <x:c r="H126" s="22"/>
      <x:c r="I126" s="22"/>
    </x:row>
    <x:row r="127">
      <x:c r="A127" s="22"/>
      <x:c r="B127" s="22"/>
      <x:c r="C127" s="22"/>
      <x:c r="D127" s="22"/>
      <x:c r="E127" s="22"/>
      <x:c r="F127" s="24"/>
      <x:c r="G127" s="22"/>
      <x:c r="H127" s="22"/>
      <x:c r="I127" s="22"/>
    </x:row>
    <x:row r="128">
      <x:c r="A128" s="22"/>
      <x:c r="B128" s="22"/>
      <x:c r="C128" s="22"/>
      <x:c r="D128" s="22"/>
      <x:c r="E128" s="22"/>
      <x:c r="F128" s="24"/>
      <x:c r="G128" s="22"/>
      <x:c r="H128" s="22"/>
      <x:c r="I128" s="22"/>
    </x:row>
    <x:row r="129">
      <x:c r="A129" s="22"/>
      <x:c r="B129" s="22"/>
      <x:c r="C129" s="22"/>
      <x:c r="D129" s="22"/>
      <x:c r="E129" s="22"/>
      <x:c r="F129" s="24"/>
      <x:c r="G129" s="22"/>
      <x:c r="H129" s="22"/>
      <x:c r="I129" s="22"/>
    </x:row>
    <x:row r="130">
      <x:c r="A130" s="22"/>
      <x:c r="B130" s="22"/>
      <x:c r="C130" s="22"/>
      <x:c r="D130" s="22"/>
      <x:c r="E130" s="22"/>
      <x:c r="F130" s="24"/>
      <x:c r="G130" s="22"/>
      <x:c r="H130" s="22"/>
      <x:c r="I130" s="22"/>
    </x:row>
    <x:row r="131">
      <x:c r="A131" s="22"/>
      <x:c r="B131" s="22"/>
      <x:c r="C131" s="22"/>
      <x:c r="D131" s="22"/>
      <x:c r="E131" s="22"/>
      <x:c r="F131" s="24"/>
      <x:c r="G131" s="22"/>
      <x:c r="H131" s="22"/>
      <x:c r="I131" s="22"/>
    </x:row>
    <x:row r="132">
      <x:c r="A132" s="22"/>
      <x:c r="B132" s="22"/>
      <x:c r="C132" s="22"/>
      <x:c r="D132" s="22"/>
      <x:c r="E132" s="22"/>
      <x:c r="F132" s="24"/>
      <x:c r="G132" s="22"/>
      <x:c r="H132" s="22"/>
      <x:c r="I132" s="22"/>
    </x:row>
    <x:row r="133">
      <x:c r="A133" s="22"/>
      <x:c r="B133" s="22"/>
      <x:c r="C133" s="22"/>
      <x:c r="D133" s="22"/>
      <x:c r="E133" s="22"/>
      <x:c r="F133" s="24"/>
      <x:c r="G133" s="22"/>
      <x:c r="H133" s="22"/>
      <x:c r="I133" s="22"/>
    </x:row>
    <x:row r="134">
      <x:c r="A134" s="22"/>
      <x:c r="B134" s="22"/>
      <x:c r="C134" s="22"/>
      <x:c r="D134" s="22"/>
      <x:c r="E134" s="22"/>
      <x:c r="F134" s="24"/>
      <x:c r="G134" s="22"/>
      <x:c r="H134" s="22"/>
      <x:c r="I134" s="22"/>
    </x:row>
    <x:row r="135">
      <x:c r="A135" s="22"/>
      <x:c r="B135" s="22"/>
      <x:c r="C135" s="22"/>
      <x:c r="D135" s="22"/>
      <x:c r="E135" s="22"/>
      <x:c r="F135" s="24"/>
      <x:c r="G135" s="22"/>
      <x:c r="H135" s="22"/>
      <x:c r="I135" s="22"/>
    </x:row>
    <x:row r="136">
      <x:c r="A136" s="22"/>
      <x:c r="B136" s="22"/>
      <x:c r="C136" s="22"/>
      <x:c r="D136" s="22"/>
      <x:c r="E136" s="22"/>
      <x:c r="F136" s="24"/>
      <x:c r="G136" s="22"/>
      <x:c r="H136" s="22"/>
      <x:c r="I136" s="22"/>
    </x:row>
    <x:row r="137">
      <x:c r="A137" s="22"/>
      <x:c r="B137" s="22"/>
      <x:c r="C137" s="22"/>
      <x:c r="D137" s="22"/>
      <x:c r="E137" s="22"/>
      <x:c r="F137" s="24"/>
      <x:c r="G137" s="22"/>
      <x:c r="H137" s="22"/>
      <x:c r="I137" s="22"/>
    </x:row>
    <x:row r="138">
      <x:c r="A138" s="22"/>
      <x:c r="B138" s="22"/>
      <x:c r="C138" s="22"/>
      <x:c r="D138" s="22"/>
      <x:c r="E138" s="22"/>
      <x:c r="F138" s="24"/>
      <x:c r="G138" s="22"/>
      <x:c r="H138" s="22"/>
      <x:c r="I138" s="22"/>
    </x:row>
    <x:row r="139">
      <x:c r="A139" s="22"/>
      <x:c r="B139" s="22"/>
      <x:c r="C139" s="22"/>
      <x:c r="D139" s="22"/>
      <x:c r="E139" s="22"/>
      <x:c r="F139" s="24"/>
      <x:c r="G139" s="22"/>
      <x:c r="H139" s="22"/>
      <x:c r="I139" s="22"/>
    </x:row>
    <x:row r="140">
      <x:c r="A140" s="22"/>
      <x:c r="B140" s="22"/>
      <x:c r="C140" s="22"/>
      <x:c r="D140" s="22"/>
      <x:c r="E140" s="22"/>
      <x:c r="F140" s="24"/>
      <x:c r="G140" s="22"/>
      <x:c r="H140" s="22"/>
      <x:c r="I140" s="22"/>
    </x:row>
    <x:row r="141">
      <x:c r="A141" s="22"/>
      <x:c r="B141" s="22"/>
      <x:c r="C141" s="22"/>
      <x:c r="D141" s="22"/>
      <x:c r="E141" s="22"/>
      <x:c r="F141" s="24"/>
      <x:c r="G141" s="22"/>
      <x:c r="H141" s="22"/>
      <x:c r="I141" s="22"/>
    </x:row>
    <x:row r="142">
      <x:c r="A142" s="22"/>
      <x:c r="B142" s="22"/>
      <x:c r="C142" s="22"/>
      <x:c r="D142" s="22"/>
      <x:c r="E142" s="22"/>
      <x:c r="F142" s="24"/>
      <x:c r="G142" s="22"/>
      <x:c r="H142" s="22"/>
      <x:c r="I142" s="22"/>
    </x:row>
    <x:row r="143">
      <x:c r="A143" s="22"/>
      <x:c r="B143" s="22"/>
      <x:c r="C143" s="22"/>
      <x:c r="D143" s="22"/>
      <x:c r="E143" s="22"/>
      <x:c r="F143" s="24"/>
      <x:c r="G143" s="22"/>
      <x:c r="H143" s="22"/>
      <x:c r="I143" s="22"/>
    </x:row>
    <x:row r="144">
      <x:c r="A144" s="22"/>
      <x:c r="B144" s="22"/>
      <x:c r="C144" s="22"/>
      <x:c r="D144" s="22"/>
      <x:c r="E144" s="22"/>
      <x:c r="F144" s="24"/>
      <x:c r="G144" s="22"/>
      <x:c r="H144" s="22"/>
      <x:c r="I144" s="22"/>
    </x:row>
    <x:row r="145">
      <x:c r="A145" s="22"/>
      <x:c r="B145" s="22"/>
      <x:c r="C145" s="22"/>
      <x:c r="D145" s="22"/>
      <x:c r="E145" s="22"/>
      <x:c r="F145" s="24"/>
      <x:c r="G145" s="22"/>
      <x:c r="H145" s="22"/>
      <x:c r="I145" s="22"/>
    </x:row>
    <x:row r="146">
      <x:c r="A146" s="22"/>
      <x:c r="B146" s="22"/>
      <x:c r="C146" s="22"/>
      <x:c r="D146" s="22"/>
      <x:c r="E146" s="22"/>
      <x:c r="F146" s="24"/>
      <x:c r="G146" s="22"/>
      <x:c r="H146" s="22"/>
      <x:c r="I146" s="22"/>
    </x:row>
    <x:row r="147">
      <x:c r="A147" s="22"/>
      <x:c r="B147" s="22"/>
      <x:c r="C147" s="22"/>
      <x:c r="D147" s="22"/>
      <x:c r="E147" s="22"/>
      <x:c r="F147" s="24"/>
      <x:c r="G147" s="22"/>
      <x:c r="H147" s="22"/>
      <x:c r="I147" s="22"/>
    </x:row>
    <x:row r="148">
      <x:c r="A148" s="22"/>
      <x:c r="B148" s="22"/>
      <x:c r="C148" s="22"/>
      <x:c r="D148" s="22"/>
      <x:c r="E148" s="22"/>
      <x:c r="F148" s="24"/>
      <x:c r="G148" s="22"/>
      <x:c r="H148" s="22"/>
      <x:c r="I148" s="22"/>
    </x:row>
    <x:row r="149">
      <x:c r="A149" s="22"/>
      <x:c r="B149" s="22"/>
      <x:c r="C149" s="22"/>
      <x:c r="D149" s="22"/>
      <x:c r="E149" s="22"/>
      <x:c r="F149" s="24"/>
      <x:c r="G149" s="22"/>
      <x:c r="H149" s="22"/>
      <x:c r="I149" s="22"/>
    </x:row>
    <x:row r="150">
      <x:c r="A150" s="22"/>
      <x:c r="B150" s="22"/>
      <x:c r="C150" s="22"/>
      <x:c r="D150" s="22"/>
      <x:c r="E150" s="22"/>
      <x:c r="F150" s="24"/>
      <x:c r="G150" s="22"/>
      <x:c r="H150" s="22"/>
      <x:c r="I150" s="22"/>
    </x:row>
    <x:row r="151">
      <x:c r="A151" s="22"/>
      <x:c r="B151" s="22"/>
      <x:c r="C151" s="22"/>
      <x:c r="D151" s="22"/>
      <x:c r="E151" s="22"/>
      <x:c r="F151" s="24"/>
      <x:c r="G151" s="22"/>
      <x:c r="H151" s="22"/>
      <x:c r="I151" s="22"/>
    </x:row>
    <x:row r="152">
      <x:c r="A152" s="22"/>
      <x:c r="B152" s="22"/>
      <x:c r="C152" s="22"/>
      <x:c r="D152" s="22"/>
      <x:c r="E152" s="22"/>
      <x:c r="F152" s="24"/>
      <x:c r="G152" s="22"/>
      <x:c r="H152" s="22"/>
      <x:c r="I152" s="22"/>
    </x:row>
    <x:row r="153">
      <x:c r="A153" s="22"/>
      <x:c r="B153" s="22"/>
      <x:c r="C153" s="22"/>
      <x:c r="D153" s="22"/>
      <x:c r="E153" s="22"/>
      <x:c r="F153" s="24"/>
      <x:c r="G153" s="22"/>
      <x:c r="H153" s="22"/>
      <x:c r="I153" s="22"/>
    </x:row>
    <x:row r="154">
      <x:c r="A154" s="22"/>
      <x:c r="B154" s="22"/>
      <x:c r="C154" s="22"/>
      <x:c r="D154" s="22"/>
      <x:c r="E154" s="22"/>
      <x:c r="F154" s="24"/>
      <x:c r="G154" s="22"/>
      <x:c r="H154" s="22"/>
      <x:c r="I154" s="22"/>
    </x:row>
    <x:row r="155">
      <x:c r="A155" s="22"/>
      <x:c r="B155" s="22"/>
      <x:c r="C155" s="22"/>
      <x:c r="D155" s="22"/>
      <x:c r="E155" s="22"/>
      <x:c r="F155" s="24"/>
      <x:c r="G155" s="22"/>
      <x:c r="H155" s="22"/>
      <x:c r="I155" s="22"/>
    </x:row>
    <x:row r="156">
      <x:c r="A156" s="22"/>
      <x:c r="B156" s="22"/>
      <x:c r="C156" s="22"/>
      <x:c r="D156" s="22"/>
      <x:c r="E156" s="22"/>
      <x:c r="F156" s="24"/>
      <x:c r="G156" s="22"/>
      <x:c r="H156" s="22"/>
      <x:c r="I156" s="22"/>
    </x:row>
    <x:row r="157">
      <x:c r="A157" s="22"/>
      <x:c r="B157" s="22"/>
      <x:c r="C157" s="22"/>
      <x:c r="D157" s="22"/>
      <x:c r="E157" s="22"/>
      <x:c r="F157" s="24"/>
      <x:c r="G157" s="22"/>
      <x:c r="H157" s="22"/>
      <x:c r="I157" s="22"/>
    </x:row>
    <x:row r="158">
      <x:c r="A158" s="22"/>
      <x:c r="B158" s="22"/>
      <x:c r="C158" s="22"/>
      <x:c r="D158" s="22"/>
      <x:c r="E158" s="22"/>
      <x:c r="F158" s="24"/>
      <x:c r="G158" s="22"/>
      <x:c r="H158" s="22"/>
      <x:c r="I158" s="22"/>
    </x:row>
    <x:row r="159">
      <x:c r="A159" s="22"/>
      <x:c r="B159" s="22"/>
      <x:c r="C159" s="22"/>
      <x:c r="D159" s="22"/>
      <x:c r="E159" s="22"/>
      <x:c r="F159" s="24"/>
      <x:c r="G159" s="22"/>
      <x:c r="H159" s="22"/>
      <x:c r="I159" s="22"/>
    </x:row>
    <x:row r="160">
      <x:c r="A160" s="22"/>
      <x:c r="B160" s="22"/>
      <x:c r="C160" s="22"/>
      <x:c r="D160" s="22"/>
      <x:c r="E160" s="22"/>
      <x:c r="F160" s="24"/>
      <x:c r="G160" s="22"/>
      <x:c r="H160" s="22"/>
      <x:c r="I160" s="22"/>
    </x:row>
    <x:row r="161">
      <x:c r="A161" s="22"/>
      <x:c r="B161" s="22"/>
      <x:c r="C161" s="22"/>
      <x:c r="D161" s="22"/>
      <x:c r="E161" s="22"/>
      <x:c r="F161" s="24"/>
      <x:c r="G161" s="22"/>
      <x:c r="H161" s="22"/>
      <x:c r="I161" s="22"/>
    </x:row>
    <x:row r="162">
      <x:c r="A162" s="22"/>
      <x:c r="B162" s="22"/>
      <x:c r="C162" s="22"/>
      <x:c r="D162" s="22"/>
      <x:c r="E162" s="22"/>
      <x:c r="F162" s="24"/>
      <x:c r="G162" s="22"/>
      <x:c r="H162" s="22"/>
      <x:c r="I162" s="22"/>
    </x:row>
    <x:row r="163">
      <x:c r="A163" s="22"/>
      <x:c r="B163" s="22"/>
      <x:c r="C163" s="22"/>
      <x:c r="D163" s="22"/>
      <x:c r="E163" s="22"/>
      <x:c r="F163" s="24"/>
      <x:c r="G163" s="22"/>
      <x:c r="H163" s="22"/>
      <x:c r="I163" s="22"/>
    </x:row>
    <x:row r="164">
      <x:c r="A164" s="22"/>
      <x:c r="B164" s="22"/>
      <x:c r="C164" s="22"/>
      <x:c r="D164" s="22"/>
      <x:c r="E164" s="22"/>
      <x:c r="F164" s="24"/>
      <x:c r="G164" s="22"/>
      <x:c r="H164" s="22"/>
      <x:c r="I164" s="22"/>
    </x:row>
    <x:row r="165">
      <x:c r="A165" s="22"/>
      <x:c r="B165" s="22"/>
      <x:c r="C165" s="22"/>
      <x:c r="D165" s="22"/>
      <x:c r="E165" s="22"/>
      <x:c r="F165" s="24"/>
      <x:c r="G165" s="22"/>
      <x:c r="H165" s="22"/>
      <x:c r="I165" s="22"/>
    </x:row>
    <x:row r="166">
      <x:c r="A166" s="22"/>
      <x:c r="B166" s="22"/>
      <x:c r="C166" s="22"/>
      <x:c r="D166" s="22"/>
      <x:c r="E166" s="22"/>
      <x:c r="F166" s="24"/>
      <x:c r="G166" s="22"/>
      <x:c r="H166" s="22"/>
      <x:c r="I166" s="22"/>
    </x:row>
    <x:row r="167">
      <x:c r="A167" s="22"/>
      <x:c r="B167" s="22"/>
      <x:c r="C167" s="22"/>
      <x:c r="D167" s="22"/>
      <x:c r="E167" s="22"/>
      <x:c r="F167" s="24"/>
      <x:c r="G167" s="22"/>
      <x:c r="H167" s="22"/>
      <x:c r="I167" s="22"/>
    </x:row>
    <x:row r="168">
      <x:c r="A168" s="22"/>
      <x:c r="B168" s="22"/>
      <x:c r="C168" s="22"/>
      <x:c r="D168" s="22"/>
      <x:c r="E168" s="22"/>
      <x:c r="F168" s="24"/>
      <x:c r="G168" s="22"/>
      <x:c r="H168" s="22"/>
      <x:c r="I168" s="22"/>
    </x:row>
    <x:row r="169">
      <x:c r="A169" s="22"/>
      <x:c r="B169" s="22"/>
      <x:c r="C169" s="22"/>
      <x:c r="D169" s="22"/>
      <x:c r="E169" s="22"/>
      <x:c r="F169" s="24"/>
      <x:c r="G169" s="22"/>
      <x:c r="H169" s="22"/>
      <x:c r="I169" s="22"/>
    </x:row>
    <x:row r="170">
      <x:c r="A170" s="22"/>
      <x:c r="B170" s="22"/>
      <x:c r="C170" s="22"/>
      <x:c r="D170" s="22"/>
      <x:c r="E170" s="22"/>
      <x:c r="F170" s="24"/>
      <x:c r="G170" s="22"/>
      <x:c r="H170" s="22"/>
      <x:c r="I170" s="22"/>
    </x:row>
    <x:row r="171">
      <x:c r="A171" s="22"/>
      <x:c r="B171" s="22"/>
      <x:c r="C171" s="22"/>
      <x:c r="D171" s="22"/>
      <x:c r="E171" s="22"/>
      <x:c r="F171" s="24"/>
      <x:c r="G171" s="22"/>
      <x:c r="H171" s="22"/>
      <x:c r="I171" s="22"/>
    </x:row>
    <x:row r="172">
      <x:c r="A172" s="22"/>
      <x:c r="B172" s="22"/>
      <x:c r="C172" s="22"/>
      <x:c r="D172" s="22"/>
      <x:c r="E172" s="22"/>
      <x:c r="F172" s="24"/>
      <x:c r="G172" s="22"/>
      <x:c r="H172" s="22"/>
      <x:c r="I172" s="22"/>
    </x:row>
    <x:row r="173">
      <x:c r="A173" s="22"/>
      <x:c r="B173" s="22"/>
      <x:c r="C173" s="22"/>
      <x:c r="D173" s="22"/>
      <x:c r="E173" s="22"/>
      <x:c r="F173" s="24"/>
      <x:c r="G173" s="22"/>
      <x:c r="H173" s="22"/>
      <x:c r="I173" s="22"/>
    </x:row>
    <x:row r="174">
      <x:c r="A174" s="22"/>
      <x:c r="B174" s="22"/>
      <x:c r="C174" s="22"/>
      <x:c r="D174" s="22"/>
      <x:c r="E174" s="22"/>
      <x:c r="F174" s="24"/>
      <x:c r="G174" s="22"/>
      <x:c r="H174" s="22"/>
      <x:c r="I174" s="22"/>
    </x:row>
    <x:row r="175">
      <x:c r="A175" s="22"/>
      <x:c r="B175" s="22"/>
      <x:c r="C175" s="22"/>
      <x:c r="D175" s="22"/>
      <x:c r="E175" s="22"/>
      <x:c r="F175" s="24"/>
      <x:c r="G175" s="22"/>
      <x:c r="H175" s="22"/>
      <x:c r="I175" s="22"/>
    </x:row>
    <x:row r="176">
      <x:c r="A176" s="22"/>
      <x:c r="B176" s="22"/>
      <x:c r="C176" s="22"/>
      <x:c r="D176" s="22"/>
      <x:c r="E176" s="22"/>
      <x:c r="F176" s="24"/>
      <x:c r="G176" s="22"/>
      <x:c r="H176" s="22"/>
      <x:c r="I176" s="22"/>
    </x:row>
    <x:row r="177">
      <x:c r="A177" s="22"/>
      <x:c r="B177" s="22"/>
      <x:c r="C177" s="22"/>
      <x:c r="D177" s="22"/>
      <x:c r="E177" s="22"/>
      <x:c r="F177" s="24"/>
      <x:c r="G177" s="22"/>
      <x:c r="H177" s="22"/>
      <x:c r="I177" s="22"/>
    </x:row>
    <x:row r="178">
      <x:c r="A178" s="22"/>
      <x:c r="B178" s="22"/>
      <x:c r="C178" s="22"/>
      <x:c r="D178" s="22"/>
      <x:c r="E178" s="22"/>
      <x:c r="F178" s="24"/>
      <x:c r="G178" s="22"/>
      <x:c r="H178" s="22"/>
      <x:c r="I178" s="22"/>
    </x:row>
    <x:row r="179">
      <x:c r="A179" s="22"/>
      <x:c r="B179" s="22"/>
      <x:c r="C179" s="22"/>
      <x:c r="D179" s="22"/>
      <x:c r="E179" s="22"/>
      <x:c r="F179" s="24"/>
      <x:c r="G179" s="22"/>
      <x:c r="H179" s="22"/>
      <x:c r="I179" s="22"/>
    </x:row>
    <x:row r="180">
      <x:c r="A180" s="22"/>
      <x:c r="B180" s="22"/>
      <x:c r="C180" s="22"/>
      <x:c r="D180" s="22"/>
      <x:c r="E180" s="22"/>
      <x:c r="F180" s="24"/>
      <x:c r="G180" s="22"/>
      <x:c r="H180" s="22"/>
      <x:c r="I180" s="22"/>
    </x:row>
    <x:row r="181">
      <x:c r="A181" s="22"/>
      <x:c r="B181" s="22"/>
      <x:c r="C181" s="22"/>
      <x:c r="D181" s="22"/>
      <x:c r="E181" s="22"/>
      <x:c r="F181" s="24"/>
      <x:c r="G181" s="22"/>
      <x:c r="H181" s="22"/>
      <x:c r="I181" s="22"/>
    </x:row>
    <x:row r="182">
      <x:c r="A182" s="22"/>
      <x:c r="B182" s="22"/>
      <x:c r="C182" s="22"/>
      <x:c r="D182" s="22"/>
      <x:c r="E182" s="22"/>
      <x:c r="F182" s="24"/>
      <x:c r="G182" s="22"/>
      <x:c r="H182" s="22"/>
      <x:c r="I182" s="22"/>
    </x:row>
    <x:row r="183">
      <x:c r="A183" s="22"/>
      <x:c r="B183" s="22"/>
      <x:c r="C183" s="22"/>
      <x:c r="D183" s="22"/>
      <x:c r="E183" s="22"/>
      <x:c r="F183" s="24"/>
      <x:c r="G183" s="22"/>
      <x:c r="H183" s="22"/>
      <x:c r="I183" s="22"/>
    </x:row>
    <x:row r="184">
      <x:c r="A184" s="22"/>
      <x:c r="B184" s="22"/>
      <x:c r="C184" s="22"/>
      <x:c r="D184" s="22"/>
      <x:c r="E184" s="22"/>
      <x:c r="F184" s="24"/>
      <x:c r="G184" s="22"/>
      <x:c r="H184" s="22"/>
      <x:c r="I184" s="22"/>
    </x:row>
    <x:row r="185">
      <x:c r="A185" s="22"/>
      <x:c r="B185" s="22"/>
      <x:c r="C185" s="22"/>
      <x:c r="D185" s="22"/>
      <x:c r="E185" s="22"/>
      <x:c r="F185" s="24"/>
      <x:c r="G185" s="22"/>
      <x:c r="H185" s="22"/>
      <x:c r="I185" s="22"/>
    </x:row>
    <x:row r="186">
      <x:c r="A186" s="22"/>
      <x:c r="B186" s="22"/>
      <x:c r="C186" s="22"/>
      <x:c r="D186" s="22"/>
      <x:c r="E186" s="22"/>
      <x:c r="F186" s="24"/>
      <x:c r="G186" s="22"/>
      <x:c r="H186" s="22"/>
      <x:c r="I186" s="22"/>
    </x:row>
    <x:row r="187">
      <x:c r="A187" s="22"/>
      <x:c r="B187" s="22"/>
      <x:c r="C187" s="22"/>
      <x:c r="D187" s="22"/>
      <x:c r="E187" s="22"/>
      <x:c r="F187" s="24"/>
      <x:c r="G187" s="22"/>
      <x:c r="H187" s="22"/>
      <x:c r="I187" s="22"/>
    </x:row>
    <x:row r="188">
      <x:c r="A188" s="22"/>
      <x:c r="B188" s="22"/>
      <x:c r="C188" s="22"/>
      <x:c r="D188" s="22"/>
      <x:c r="E188" s="22"/>
      <x:c r="F188" s="24"/>
      <x:c r="G188" s="22"/>
      <x:c r="H188" s="22"/>
      <x:c r="I188" s="22"/>
    </x:row>
    <x:row r="189">
      <x:c r="A189" s="22"/>
      <x:c r="B189" s="22"/>
      <x:c r="C189" s="22"/>
      <x:c r="D189" s="22"/>
      <x:c r="E189" s="22"/>
      <x:c r="F189" s="24"/>
      <x:c r="G189" s="22"/>
      <x:c r="H189" s="22"/>
      <x:c r="I189" s="22"/>
    </x:row>
    <x:row r="190">
      <x:c r="A190" s="22"/>
      <x:c r="B190" s="22"/>
      <x:c r="C190" s="22"/>
      <x:c r="D190" s="22"/>
      <x:c r="E190" s="22"/>
      <x:c r="F190" s="24"/>
      <x:c r="G190" s="22"/>
      <x:c r="H190" s="22"/>
      <x:c r="I190" s="22"/>
    </x:row>
    <x:row r="191">
      <x:c r="A191" s="22"/>
      <x:c r="B191" s="22"/>
      <x:c r="C191" s="22"/>
      <x:c r="D191" s="22"/>
      <x:c r="E191" s="22"/>
      <x:c r="F191" s="24"/>
      <x:c r="G191" s="22"/>
      <x:c r="H191" s="22"/>
      <x:c r="I191" s="22"/>
    </x:row>
    <x:row r="192">
      <x:c r="A192" s="22"/>
      <x:c r="B192" s="22"/>
      <x:c r="C192" s="22"/>
      <x:c r="D192" s="22"/>
      <x:c r="E192" s="22"/>
      <x:c r="F192" s="24"/>
      <x:c r="G192" s="22"/>
      <x:c r="H192" s="22"/>
      <x:c r="I192" s="22"/>
    </x:row>
    <x:row r="193">
      <x:c r="A193" s="22"/>
      <x:c r="B193" s="22"/>
      <x:c r="C193" s="22"/>
      <x:c r="D193" s="22"/>
      <x:c r="E193" s="22"/>
      <x:c r="F193" s="24"/>
      <x:c r="G193" s="22"/>
      <x:c r="H193" s="22"/>
      <x:c r="I193" s="22"/>
    </x:row>
    <x:row r="194">
      <x:c r="A194" s="22"/>
      <x:c r="B194" s="22"/>
      <x:c r="C194" s="22"/>
      <x:c r="D194" s="22"/>
      <x:c r="E194" s="22"/>
      <x:c r="F194" s="24"/>
      <x:c r="G194" s="22"/>
      <x:c r="H194" s="22"/>
      <x:c r="I194" s="22"/>
    </x:row>
    <x:row r="195">
      <x:c r="A195" s="22"/>
      <x:c r="B195" s="22"/>
      <x:c r="C195" s="22"/>
      <x:c r="D195" s="22"/>
      <x:c r="E195" s="22"/>
      <x:c r="F195" s="24"/>
      <x:c r="G195" s="22"/>
      <x:c r="H195" s="22"/>
      <x:c r="I195" s="22"/>
    </x:row>
    <x:row r="196">
      <x:c r="A196" s="22"/>
      <x:c r="B196" s="22"/>
      <x:c r="C196" s="22"/>
      <x:c r="D196" s="22"/>
      <x:c r="E196" s="22"/>
      <x:c r="F196" s="24"/>
      <x:c r="G196" s="22"/>
      <x:c r="H196" s="22"/>
      <x:c r="I196" s="22"/>
    </x:row>
    <x:row r="197">
      <x:c r="A197" s="22"/>
      <x:c r="B197" s="22"/>
      <x:c r="C197" s="22"/>
      <x:c r="D197" s="22"/>
      <x:c r="E197" s="22"/>
      <x:c r="F197" s="24"/>
      <x:c r="G197" s="22"/>
      <x:c r="H197" s="22"/>
      <x:c r="I197" s="22"/>
    </x:row>
    <x:row r="198">
      <x:c r="A198" s="22"/>
      <x:c r="B198" s="22"/>
      <x:c r="C198" s="22"/>
      <x:c r="D198" s="22"/>
      <x:c r="E198" s="22"/>
      <x:c r="F198" s="24"/>
      <x:c r="G198" s="22"/>
      <x:c r="H198" s="22"/>
      <x:c r="I198" s="22"/>
    </x:row>
    <x:row r="199">
      <x:c r="A199" s="22"/>
      <x:c r="B199" s="22"/>
      <x:c r="C199" s="22"/>
      <x:c r="D199" s="22"/>
      <x:c r="E199" s="22"/>
      <x:c r="F199" s="24"/>
      <x:c r="G199" s="22"/>
      <x:c r="H199" s="22"/>
      <x:c r="I199" s="22"/>
    </x:row>
    <x:row r="200">
      <x:c r="A200" s="22"/>
      <x:c r="B200" s="22"/>
      <x:c r="C200" s="22"/>
      <x:c r="D200" s="22"/>
      <x:c r="E200" s="22"/>
      <x:c r="F200" s="24"/>
      <x:c r="G200" s="22"/>
      <x:c r="H200" s="22"/>
      <x:c r="I200" s="22"/>
    </x:row>
    <x:row r="201">
      <x:c r="A201" s="22"/>
      <x:c r="B201" s="22"/>
      <x:c r="C201" s="22"/>
      <x:c r="D201" s="22"/>
      <x:c r="E201" s="22"/>
      <x:c r="F201" s="24"/>
      <x:c r="G201" s="22"/>
      <x:c r="H201" s="22"/>
      <x:c r="I201" s="22"/>
    </x:row>
    <x:row r="202">
      <x:c r="A202" s="22"/>
      <x:c r="B202" s="22"/>
      <x:c r="C202" s="22"/>
      <x:c r="D202" s="22"/>
      <x:c r="E202" s="22"/>
      <x:c r="F202" s="24"/>
      <x:c r="G202" s="22"/>
      <x:c r="H202" s="22"/>
      <x:c r="I202" s="22"/>
    </x:row>
    <x:row r="203">
      <x:c r="A203" s="22"/>
      <x:c r="B203" s="22"/>
      <x:c r="C203" s="22"/>
      <x:c r="D203" s="22"/>
      <x:c r="E203" s="22"/>
      <x:c r="F203" s="24"/>
      <x:c r="G203" s="22"/>
      <x:c r="H203" s="22"/>
      <x:c r="I203" s="22"/>
    </x:row>
  </x:sheetData>
  <x:mergeCells>
    <x:mergeCell ref="A1:I1"/>
  </x:mergeCells>
  <x:dataValidations count="2">
    <x:dataValidation type="list" sqref="D4:D203">
      <x:formula1>"Low,Moderate,High,Critical"</x:formula1>
    </x:dataValidation>
    <x:dataValidation type="list" sqref="G4:G203">
      <x:formula1>"Not Started,Planned,In Progress,Blocked,Complete,Accepted"</x:formula1>
    </x:dataValidation>
  </x:dataValidations>
  <x:pageMargins left="0.7" right="0.7" top="0.75" bottom="0.75" header="0.3" footer="0.3"/>
</x:worksheet>
</file>