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0a289640af43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c87ea5dae674698"/>
    <x:sheet xmlns:r="http://schemas.openxmlformats.org/officeDocument/2006/relationships" name="Control Catalog" sheetId="2" r:id="R356dbac236da4045"/>
    <x:sheet xmlns:r="http://schemas.openxmlformats.org/officeDocument/2006/relationships" name="Framework Mapping" sheetId="3" r:id="R42a96437875a49f8"/>
    <x:sheet xmlns:r="http://schemas.openxmlformats.org/officeDocument/2006/relationships" name="Evidence Matrix" sheetId="4" r:id="Rc1c3163a288e4405"/>
    <x:sheet xmlns:r="http://schemas.openxmlformats.org/officeDocument/2006/relationships" name="Compliance Gaps" sheetId="5" r:id="Re41b611039194be5"/>
    <x:sheet xmlns:r="http://schemas.openxmlformats.org/officeDocument/2006/relationships" name="Reference Notes" sheetId="6" r:id="Re80a0d6b352f4fbd"/>
    <x:sheet xmlns:r="http://schemas.openxmlformats.org/officeDocument/2006/relationships" name="Instructions" sheetId="7" r:id="R1e389f8672cd4a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7F1D1D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499e09b3b242d3" /><Relationship Type="http://schemas.openxmlformats.org/officeDocument/2006/relationships/theme" Target="/xl/theme/theme1.xml" Id="Rfef941f9eaf54215" /><Relationship Type="http://schemas.openxmlformats.org/officeDocument/2006/relationships/sharedStrings" Target="/xl/sharedStrings.xml" Id="Rc0b1dc0b47e342ad" /><Relationship Type="http://schemas.openxmlformats.org/officeDocument/2006/relationships/worksheet" Target="/xl/worksheets/sheet1.xml" Id="R3c87ea5dae674698" /><Relationship Type="http://schemas.openxmlformats.org/officeDocument/2006/relationships/worksheet" Target="/xl/worksheets/sheet2.xml" Id="R356dbac236da4045" /><Relationship Type="http://schemas.openxmlformats.org/officeDocument/2006/relationships/worksheet" Target="/xl/worksheets/sheet3.xml" Id="R42a96437875a49f8" /><Relationship Type="http://schemas.openxmlformats.org/officeDocument/2006/relationships/worksheet" Target="/xl/worksheets/sheet4.xml" Id="Rc1c3163a288e4405" /><Relationship Type="http://schemas.openxmlformats.org/officeDocument/2006/relationships/worksheet" Target="/xl/worksheets/sheet5.xml" Id="Re41b611039194be5" /><Relationship Type="http://schemas.openxmlformats.org/officeDocument/2006/relationships/worksheet" Target="/xl/worksheets/sheet6.xml" Id="Re80a0d6b352f4fbd" /><Relationship Type="http://schemas.openxmlformats.org/officeDocument/2006/relationships/worksheet" Target="/xl/worksheets/sheet7.xml" Id="R1e389f8672cd4ab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cde0b4a420043b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Worksheet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'Dashboard'!$D$4:$D$8</c:f>
              <c:strCache>
                <c:ptCount val="0"/>
              </c:strCache>
            </c:strRef>
          </c:cat>
          <c:val>
            <c:numRef>
              <c:f>'Dashboard'!$E$4:$E$8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10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cde0b4a420043b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1639784" displayName="T_1639784" ref="A3:H13" headerRowCount="1">
  <x:tableColumns count="8">
    <x:tableColumn id="1" name="Internal Control ID"/>
    <x:tableColumn id="2" name="Control Objective"/>
    <x:tableColumn id="3" name="Domain"/>
    <x:tableColumn id="4" name="Owner"/>
    <x:tableColumn id="5" name="Implementation"/>
    <x:tableColumn id="6" name="Evidence"/>
    <x:tableColumn id="7" name="Effectiveness"/>
    <x:tableColumn id="8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T_1190139" displayName="T_1190139" ref="A3:I13" headerRowCount="1">
  <x:tableColumns count="9">
    <x:tableColumn id="1" name="Internal Control ID"/>
    <x:tableColumn id="2" name="NIST CSF 2.0"/>
    <x:tableColumn id="3" name="ISO 27001 Theme"/>
    <x:tableColumn id="4" name="ISO 27701 Theme"/>
    <x:tableColumn id="5" name="CIS v8"/>
    <x:tableColumn id="6" name="NIST 800-53 Family"/>
    <x:tableColumn id="7" name="PCI DSS Theme"/>
    <x:tableColumn id="8" name="HIPAA Security Theme"/>
    <x:tableColumn id="9" name="Mapping Rationale"/>
  </x:tableColumns>
  <x:tableStyleInfo name="TableStyleMedium2" showRowStripes="1"/>
</x:table>
</file>

<file path=xl/tables/table3.xml><?xml version="1.0" encoding="utf-8"?>
<x:table xmlns:x="http://schemas.openxmlformats.org/spreadsheetml/2006/main" id="3" name="T_4839613" displayName="T_4839613" ref="A3:J8" headerRowCount="1">
  <x:tableColumns count="10">
    <x:tableColumn id="1" name="Evidence ID"/>
    <x:tableColumn id="2" name="Internal Control ID"/>
    <x:tableColumn id="3" name="Artifact"/>
    <x:tableColumn id="4" name="NIST CSF"/>
    <x:tableColumn id="5" name="ISO"/>
    <x:tableColumn id="6" name="CIS"/>
    <x:tableColumn id="7" name="PCI"/>
    <x:tableColumn id="8" name="HIPAA"/>
    <x:tableColumn id="9" name="Owner"/>
    <x:tableColumn id="10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T_6482060" displayName="T_6482060" ref="A3:J7" headerRowCount="1">
  <x:tableColumns count="10">
    <x:tableColumn id="1" name="Gap ID"/>
    <x:tableColumn id="2" name="Internal Control ID"/>
    <x:tableColumn id="3" name="Affected Frameworks"/>
    <x:tableColumn id="4" name="Gap"/>
    <x:tableColumn id="5" name="Risk"/>
    <x:tableColumn id="6" name="Priority"/>
    <x:tableColumn id="7" name="Remediation"/>
    <x:tableColumn id="8" name="Owner"/>
    <x:tableColumn id="9" name="Target Date"/>
    <x:tableColumn id="10" name="Status"/>
  </x:tableColumns>
  <x:tableStyleInfo name="TableStyleMedium2" showRowStripes="1"/>
</x:table>
</file>

<file path=xl/tables/table5.xml><?xml version="1.0" encoding="utf-8"?>
<x:table xmlns:x="http://schemas.openxmlformats.org/spreadsheetml/2006/main" id="5" name="T_536475" displayName="T_536475" ref="A3:D11" headerRowCount="1">
  <x:tableColumns count="4">
    <x:tableColumn id="1" name="Framework"/>
    <x:tableColumn id="2" name="Use in this Workbook"/>
    <x:tableColumn id="3" name="Important Note"/>
    <x:tableColumn id="4" name="Official Sour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685de808abe4b6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ea9a9ab12c543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a0ec8331cbe4dd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e48283a1e0745a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2f05b289c5e47a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ec9997981574c67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5" t="str">
        <x:v>Enterprise Compliance Crosswalk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14" t="str">
        <x:v>Metric</x:v>
      </x:c>
      <x:c r="B3" s="14" t="str">
        <x:v>Value</x:v>
      </x:c>
      <x:c r="D3" s="14" t="str">
        <x:v>Worksheet</x:v>
      </x:c>
      <x:c r="E3" s="14" t="str">
        <x:v>Records</x:v>
      </x:c>
    </x:row>
    <x:row r="4">
      <x:c r="A4" s="22" t="str">
        <x:v>Core Worksheets</x:v>
      </x:c>
      <x:c r="B4" s="22" t="n">
        <x:v>5</x:v>
      </x:c>
      <x:c r="D4" t="str">
        <x:v>Control Catalog</x:v>
      </x:c>
      <x:c r="E4" t="n">
        <x:f>COUNTIF('Control Catalog'!A4:A303,"&lt;&gt;")</x:f>
        <x:v>9</x:v>
      </x:c>
    </x:row>
    <x:row r="5">
      <x:c r="A5" s="22" t="str">
        <x:v>Tracked Records</x:v>
      </x:c>
      <x:c r="B5" s="22" t="n">
        <x:f>COUNTIF('Control Catalog'!A4:A303,"&lt;&gt;")+COUNTIF('Framework Mapping'!A4:A303,"&lt;&gt;")+COUNTIF('Evidence Matrix'!A4:A303,"&lt;&gt;")+COUNTIF('Compliance Gaps'!A4:A303,"&lt;&gt;")+COUNTIF('Reference Notes'!A4:A303,"&lt;&gt;")</x:f>
        <x:v>32</x:v>
      </x:c>
      <x:c r="D5" t="str">
        <x:v>Framework Mapping</x:v>
      </x:c>
      <x:c r="E5" t="n">
        <x:f>COUNTIF('Framework Mapping'!A4:A303,"&lt;&gt;")</x:f>
        <x:v>9</x:v>
      </x:c>
    </x:row>
    <x:row r="6">
      <x:c r="A6" s="22" t="str">
        <x:v>Open / Planned</x:v>
      </x:c>
      <x:c r="B6" s="22" t="n">
        <x:v>8</x:v>
      </x:c>
      <x:c r="D6" t="str">
        <x:v>Evidence Matrix</x:v>
      </x:c>
      <x:c r="E6" t="n">
        <x:f>COUNTIF('Evidence Matrix'!A4:A303,"&lt;&gt;")</x:f>
        <x:v>4</x:v>
      </x:c>
    </x:row>
    <x:row r="7">
      <x:c r="A7" s="22" t="str">
        <x:v>Needs Improvement</x:v>
      </x:c>
      <x:c r="B7" s="22" t="n">
        <x:v>2</x:v>
      </x:c>
      <x:c r="D7" t="str">
        <x:v>Compliance Gaps</x:v>
      </x:c>
      <x:c r="E7" t="n">
        <x:f>COUNTIF('Compliance Gaps'!A4:A303,"&lt;&gt;")</x:f>
        <x:v>3</x:v>
      </x:c>
    </x:row>
    <x:row r="8">
      <x:c r="A8" s="22" t="str">
        <x:v>Average Maturity</x:v>
      </x:c>
      <x:c r="B8" s="22" t="n">
        <x:v>3.33</x:v>
      </x:c>
      <x:c r="D8" t="str">
        <x:v>Reference Notes</x:v>
      </x:c>
      <x:c r="E8" t="n">
        <x:f>COUNTIF('Reference Notes'!A4:A303,"&lt;&gt;")</x:f>
        <x:v>7</x:v>
      </x:c>
    </x:row>
    <x:row r="9">
      <x:c r="A9" s="22" t="str">
        <x:v>Release Date</x:v>
      </x:c>
      <x:c r="B9" s="23" t="n">
        <x:v>46221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f685de808abe4b69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6" hidden="0" customWidth="1"/>
    <x:col min="4" max="4" width="16" hidden="0" customWidth="1"/>
    <x:col min="5" max="5" width="16" hidden="0" customWidth="1"/>
    <x:col min="6" max="6" width="30" hidden="0" customWidth="1"/>
    <x:col min="7" max="7" width="16" hidden="0" customWidth="1"/>
    <x:col min="8" max="8" width="16" hidden="0" customWidth="1"/>
  </x:cols>
  <x:sheetData>
    <x:row r="1">
      <x:c r="A1" s="5" t="str">
        <x:v>Control Catalog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Internal Control ID</x:v>
      </x:c>
      <x:c r="B3" s="14" t="str">
        <x:v>Control Objective</x:v>
      </x:c>
      <x:c r="C3" s="14" t="str">
        <x:v>Domain</x:v>
      </x:c>
      <x:c r="D3" s="14" t="str">
        <x:v>Owner</x:v>
      </x:c>
      <x:c r="E3" s="14" t="str">
        <x:v>Implementation</x:v>
      </x:c>
      <x:c r="F3" s="14" t="str">
        <x:v>Evidence</x:v>
      </x:c>
      <x:c r="G3" s="14" t="str">
        <x:v>Effectiveness</x:v>
      </x:c>
      <x:c r="H3" s="14" t="str">
        <x:v>Status</x:v>
      </x:c>
    </x:row>
    <x:row r="4">
      <x:c r="A4" s="22" t="str">
        <x:v>EC-001</x:v>
      </x:c>
      <x:c r="B4" s="22" t="str">
        <x:v>Establish security governance and accountability</x:v>
      </x:c>
      <x:c r="C4" s="22" t="str">
        <x:v>Governance</x:v>
      </x:c>
      <x:c r="D4" s="22" t="str">
        <x:v>CISO</x:v>
      </x:c>
      <x:c r="E4" s="22" t="str">
        <x:v>Security charter; policies; reporting</x:v>
      </x:c>
      <x:c r="F4" s="22" t="str">
        <x:v>Approved policies; minutes</x:v>
      </x:c>
      <x:c r="G4" s="22" t="n">
        <x:v>4</x:v>
      </x:c>
      <x:c r="H4" s="22" t="str">
        <x:v>Operational</x:v>
      </x:c>
    </x:row>
    <x:row r="5">
      <x:c r="A5" s="22" t="str">
        <x:v>EC-002</x:v>
      </x:c>
      <x:c r="B5" s="22" t="str">
        <x:v>Maintain asset and ownership inventories</x:v>
      </x:c>
      <x:c r="C5" s="22" t="str">
        <x:v>Asset Management</x:v>
      </x:c>
      <x:c r="D5" s="22" t="str">
        <x:v>IT Operations</x:v>
      </x:c>
      <x:c r="E5" s="22" t="str">
        <x:v>Enterprise asset and software inventories</x:v>
      </x:c>
      <x:c r="F5" s="22" t="str">
        <x:v>Inventory exports</x:v>
      </x:c>
      <x:c r="G5" s="22" t="n">
        <x:v>3</x:v>
      </x:c>
      <x:c r="H5" s="22" t="str">
        <x:v>In Progress</x:v>
      </x:c>
    </x:row>
    <x:row r="6">
      <x:c r="A6" s="22" t="str">
        <x:v>EC-003</x:v>
      </x:c>
      <x:c r="B6" s="22" t="str">
        <x:v>Manage identity and access throughout the lifecycle</x:v>
      </x:c>
      <x:c r="C6" s="22" t="str">
        <x:v>Identity</x:v>
      </x:c>
      <x:c r="D6" s="22" t="str">
        <x:v>IAM Lead</x:v>
      </x:c>
      <x:c r="E6" s="22" t="str">
        <x:v>MFA; provisioning; reviews; PAM</x:v>
      </x:c>
      <x:c r="F6" s="22" t="str">
        <x:v>Identity reports</x:v>
      </x:c>
      <x:c r="G6" s="22" t="n">
        <x:v>4</x:v>
      </x:c>
      <x:c r="H6" s="22" t="str">
        <x:v>Operational</x:v>
      </x:c>
    </x:row>
    <x:row r="7">
      <x:c r="A7" s="22" t="str">
        <x:v>EC-004</x:v>
      </x:c>
      <x:c r="B7" s="22" t="str">
        <x:v>Protect sensitive information</x:v>
      </x:c>
      <x:c r="C7" s="22" t="str">
        <x:v>Data Protection</x:v>
      </x:c>
      <x:c r="D7" s="22" t="str">
        <x:v>Data Security Lead</x:v>
      </x:c>
      <x:c r="E7" s="22" t="str">
        <x:v>Classification; encryption; retention</x:v>
      </x:c>
      <x:c r="F7" s="22" t="str">
        <x:v>Key reports; data inventories</x:v>
      </x:c>
      <x:c r="G7" s="22" t="n">
        <x:v>3</x:v>
      </x:c>
      <x:c r="H7" s="22" t="str">
        <x:v>In Progress</x:v>
      </x:c>
    </x:row>
    <x:row r="8">
      <x:c r="A8" s="22" t="str">
        <x:v>EC-005</x:v>
      </x:c>
      <x:c r="B8" s="22" t="str">
        <x:v>Manage vulnerabilities and secure configuration</x:v>
      </x:c>
      <x:c r="C8" s="22" t="str">
        <x:v>Security Engineering</x:v>
      </x:c>
      <x:c r="D8" s="22" t="str">
        <x:v>Vulnerability Lead</x:v>
      </x:c>
      <x:c r="E8" s="22" t="str">
        <x:v>Scanning; remediation; baselines</x:v>
      </x:c>
      <x:c r="F8" s="22" t="str">
        <x:v>Scan and compliance reports</x:v>
      </x:c>
      <x:c r="G8" s="22" t="n">
        <x:v>4</x:v>
      </x:c>
      <x:c r="H8" s="22" t="str">
        <x:v>Operational</x:v>
      </x:c>
    </x:row>
    <x:row r="9">
      <x:c r="A9" s="22" t="str">
        <x:v>EC-006</x:v>
      </x:c>
      <x:c r="B9" s="22" t="str">
        <x:v>Log and monitor security-relevant activity</x:v>
      </x:c>
      <x:c r="C9" s="22" t="str">
        <x:v>Detection</x:v>
      </x:c>
      <x:c r="D9" s="22" t="str">
        <x:v>SOC Manager</x:v>
      </x:c>
      <x:c r="E9" s="22" t="str">
        <x:v>SIEM; alerting; log retention</x:v>
      </x:c>
      <x:c r="F9" s="22" t="str">
        <x:v>Coverage reports; cases</x:v>
      </x:c>
      <x:c r="G9" s="22" t="n">
        <x:v>3</x:v>
      </x:c>
      <x:c r="H9" s="22" t="str">
        <x:v>In Progress</x:v>
      </x:c>
    </x:row>
    <x:row r="10">
      <x:c r="A10" s="22" t="str">
        <x:v>EC-007</x:v>
      </x:c>
      <x:c r="B10" s="22" t="str">
        <x:v>Prepare for and respond to incidents</x:v>
      </x:c>
      <x:c r="C10" s="22" t="str">
        <x:v>Response</x:v>
      </x:c>
      <x:c r="D10" s="22" t="str">
        <x:v>IR Lead</x:v>
      </x:c>
      <x:c r="E10" s="22" t="str">
        <x:v>Plans; roles; exercises; cases</x:v>
      </x:c>
      <x:c r="F10" s="22" t="str">
        <x:v>Exercise reports; incident records</x:v>
      </x:c>
      <x:c r="G10" s="22" t="n">
        <x:v>4</x:v>
      </x:c>
      <x:c r="H10" s="22" t="str">
        <x:v>Operational</x:v>
      </x:c>
    </x:row>
    <x:row r="11">
      <x:c r="A11" s="22" t="str">
        <x:v>EC-008</x:v>
      </x:c>
      <x:c r="B11" s="22" t="str">
        <x:v>Assess and monitor suppliers</x:v>
      </x:c>
      <x:c r="C11" s="22" t="str">
        <x:v>Third Party</x:v>
      </x:c>
      <x:c r="D11" s="22" t="str">
        <x:v>Vendor Risk Lead</x:v>
      </x:c>
      <x:c r="E11" s="22" t="str">
        <x:v>Tiering; due diligence; contracts</x:v>
      </x:c>
      <x:c r="F11" s="22" t="str">
        <x:v>Assessment and contract evidence</x:v>
      </x:c>
      <x:c r="G11" s="22" t="n">
        <x:v>2</x:v>
      </x:c>
      <x:c r="H11" s="22" t="str">
        <x:v>Planned</x:v>
      </x:c>
    </x:row>
    <x:row r="12">
      <x:c r="A12" s="22" t="str">
        <x:v>EC-009</x:v>
      </x:c>
      <x:c r="B12" s="22" t="str">
        <x:v>Manage privacy and individual rights</x:v>
      </x:c>
      <x:c r="C12" s="22" t="str">
        <x:v>Privacy</x:v>
      </x:c>
      <x:c r="D12" s="22" t="str">
        <x:v>Privacy Lead</x:v>
      </x:c>
      <x:c r="E12" s="22" t="str">
        <x:v>Notices; request workflow; minimization</x:v>
      </x:c>
      <x:c r="F12" s="22" t="str">
        <x:v>Request logs; notices</x:v>
      </x:c>
      <x:c r="G12" s="22" t="n">
        <x:v>3</x:v>
      </x:c>
      <x:c r="H12" s="22" t="str">
        <x:v>In Progress</x:v>
      </x:c>
    </x:row>
    <x:row r="13">
      <x:c r="A13" s="22"/>
      <x:c r="B13" s="22"/>
      <x:c r="C13" s="22"/>
      <x:c r="D13" s="22"/>
      <x:c r="E13" s="22"/>
      <x:c r="F13" s="22"/>
      <x:c r="G13" s="22"/>
      <x:c r="H13" s="22"/>
    </x:row>
    <x:row r="14">
      <x:c r="A14" s="22"/>
      <x:c r="B14" s="22"/>
      <x:c r="C14" s="22"/>
      <x:c r="D14" s="22"/>
      <x:c r="E14" s="22"/>
      <x:c r="F14" s="22"/>
      <x:c r="G14" s="22"/>
      <x:c r="H14" s="22"/>
    </x:row>
    <x:row r="15">
      <x:c r="A15" s="22"/>
      <x:c r="B15" s="22"/>
      <x:c r="C15" s="22"/>
      <x:c r="D15" s="22"/>
      <x:c r="E15" s="22"/>
      <x:c r="F15" s="22"/>
      <x:c r="G15" s="22"/>
      <x:c r="H15" s="22"/>
    </x:row>
    <x:row r="16">
      <x:c r="A16" s="22"/>
      <x:c r="B16" s="22"/>
      <x:c r="C16" s="22"/>
      <x:c r="D16" s="22"/>
      <x:c r="E16" s="22"/>
      <x:c r="F16" s="22"/>
      <x:c r="G16" s="22"/>
      <x:c r="H16" s="22"/>
    </x:row>
    <x:row r="17">
      <x:c r="A17" s="22"/>
      <x:c r="B17" s="22"/>
      <x:c r="C17" s="22"/>
      <x:c r="D17" s="22"/>
      <x:c r="E17" s="22"/>
      <x:c r="F17" s="22"/>
      <x:c r="G17" s="22"/>
      <x:c r="H17" s="22"/>
    </x:row>
    <x:row r="18">
      <x:c r="A18" s="22"/>
      <x:c r="B18" s="22"/>
      <x:c r="C18" s="22"/>
      <x:c r="D18" s="22"/>
      <x:c r="E18" s="22"/>
      <x:c r="F18" s="22"/>
      <x:c r="G18" s="22"/>
      <x:c r="H18" s="22"/>
    </x:row>
    <x:row r="19">
      <x:c r="A19" s="22"/>
      <x:c r="B19" s="22"/>
      <x:c r="C19" s="22"/>
      <x:c r="D19" s="22"/>
      <x:c r="E19" s="22"/>
      <x:c r="F19" s="22"/>
      <x:c r="G19" s="22"/>
      <x:c r="H19" s="22"/>
    </x:row>
    <x:row r="20">
      <x:c r="A20" s="22"/>
      <x:c r="B20" s="22"/>
      <x:c r="C20" s="22"/>
      <x:c r="D20" s="22"/>
      <x:c r="E20" s="22"/>
      <x:c r="F20" s="22"/>
      <x:c r="G20" s="22"/>
      <x:c r="H20" s="22"/>
    </x:row>
  </x:sheetData>
  <x:mergeCells>
    <x:mergeCell ref="A1:H1"/>
  </x:mergeCells>
  <x:conditionalFormatting sqref="G4:G303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{78E9B6FB-376C-2FCD-FB62-B490DAA26B5A}</x14:id>
        </x:ext>
      </x:extLst>
    </x:cfRule>
  </x:conditionalFormatting>
  <x:dataValidations count="1">
    <x:dataValidation type="list" sqref="H4:H303">
      <x:formula1>"Not Started,Planned,In Progress,Operational,Needs Improvement,Needs Review,Complete,Current,Due,Incomplete,Scheduled"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ea9a9ab12c5430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8E9B6FB-376C-2FCD-FB62-B490DAA26B5A}">
            <x14:dataBar gradient="1">
              <x14:cfvo type="min"/>
              <x14:cfvo type="max"/>
              <x14:fillColor rgb="FFA02B93"/>
            </x14:dataBar>
          </x14:cfRule>
          <xm:sqref>G4:G303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0" hidden="0" customWidth="1"/>
  </x:cols>
  <x:sheetData>
    <x:row r="1">
      <x:c r="A1" s="5" t="str">
        <x:v>Framework Mapping</x:v>
      </x:c>
      <x:c r="B1" s="5"/>
      <x:c r="C1" s="5"/>
      <x:c r="D1" s="5"/>
      <x:c r="E1" s="5"/>
      <x:c r="F1" s="5"/>
      <x:c r="G1" s="5"/>
      <x:c r="H1" s="5"/>
      <x:c r="I1" s="5"/>
    </x:row>
    <x:row r="3">
      <x:c r="A3" s="14" t="str">
        <x:v>Internal Control ID</x:v>
      </x:c>
      <x:c r="B3" s="14" t="str">
        <x:v>NIST CSF 2.0</x:v>
      </x:c>
      <x:c r="C3" s="14" t="str">
        <x:v>ISO 27001 Theme</x:v>
      </x:c>
      <x:c r="D3" s="14" t="str">
        <x:v>ISO 27701 Theme</x:v>
      </x:c>
      <x:c r="E3" s="14" t="str">
        <x:v>CIS v8</x:v>
      </x:c>
      <x:c r="F3" s="14" t="str">
        <x:v>NIST 800-53 Family</x:v>
      </x:c>
      <x:c r="G3" s="14" t="str">
        <x:v>PCI DSS Theme</x:v>
      </x:c>
      <x:c r="H3" s="14" t="str">
        <x:v>HIPAA Security Theme</x:v>
      </x:c>
      <x:c r="I3" s="14" t="str">
        <x:v>Mapping Rationale</x:v>
      </x:c>
    </x:row>
    <x:row r="4">
      <x:c r="A4" s="22" t="str">
        <x:v>EC-001</x:v>
      </x:c>
      <x:c r="B4" s="22" t="str">
        <x:v>Govern</x:v>
      </x:c>
      <x:c r="C4" s="22" t="str">
        <x:v>Leadership and planning</x:v>
      </x:c>
      <x:c r="D4" s="22" t="str">
        <x:v>Privacy governance</x:v>
      </x:c>
      <x:c r="E4" s="22" t="str">
        <x:v>Control 17 / governance-related practices</x:v>
      </x:c>
      <x:c r="F4" s="22" t="str">
        <x:v>PM / PL</x:v>
      </x:c>
      <x:c r="G4" s="22" t="str">
        <x:v>Governance and security program</x:v>
      </x:c>
      <x:c r="H4" s="22" t="str">
        <x:v>Administrative safeguards</x:v>
      </x:c>
      <x:c r="I4" s="22" t="str">
        <x:v>All require accountability, policy, and oversight</x:v>
      </x:c>
    </x:row>
    <x:row r="5">
      <x:c r="A5" s="22" t="str">
        <x:v>EC-002</x:v>
      </x:c>
      <x:c r="B5" s="22" t="str">
        <x:v>Identify</x:v>
      </x:c>
      <x:c r="C5" s="22" t="str">
        <x:v>Asset management</x:v>
      </x:c>
      <x:c r="D5" s="22" t="str">
        <x:v>PII inventory linkage</x:v>
      </x:c>
      <x:c r="E5" s="22" t="str">
        <x:v>Controls 1 and 2</x:v>
      </x:c>
      <x:c r="F5" s="22" t="str">
        <x:v>CM</x:v>
      </x:c>
      <x:c r="G5" s="22" t="str">
        <x:v>Asset and system inventory</x:v>
      </x:c>
      <x:c r="H5" s="22" t="str">
        <x:v>Risk analysis support</x:v>
      </x:c>
      <x:c r="I5" s="22" t="str">
        <x:v>Inventories establish scope and ownership</x:v>
      </x:c>
    </x:row>
    <x:row r="6">
      <x:c r="A6" s="22" t="str">
        <x:v>EC-003</x:v>
      </x:c>
      <x:c r="B6" s="22" t="str">
        <x:v>Protect</x:v>
      </x:c>
      <x:c r="C6" s="22" t="str">
        <x:v>Access control</x:v>
      </x:c>
      <x:c r="D6" s="22" t="str">
        <x:v>Access to PII</x:v>
      </x:c>
      <x:c r="E6" s="22" t="str">
        <x:v>Controls 5 and 6</x:v>
      </x:c>
      <x:c r="F6" s="22" t="str">
        <x:v>AC / IA</x:v>
      </x:c>
      <x:c r="G6" s="22" t="str">
        <x:v>Access control</x:v>
      </x:c>
      <x:c r="H6" s="22" t="str">
        <x:v>Access control</x:v>
      </x:c>
      <x:c r="I6" s="22" t="str">
        <x:v>Identity controls limit authorized access</x:v>
      </x:c>
    </x:row>
    <x:row r="7">
      <x:c r="A7" s="22" t="str">
        <x:v>EC-004</x:v>
      </x:c>
      <x:c r="B7" s="22" t="str">
        <x:v>Protect</x:v>
      </x:c>
      <x:c r="C7" s="22" t="str">
        <x:v>Information protection</x:v>
      </x:c>
      <x:c r="D7" s="22" t="str">
        <x:v>Privacy principles and processing controls</x:v>
      </x:c>
      <x:c r="E7" s="22" t="str">
        <x:v>Control 3</x:v>
      </x:c>
      <x:c r="F7" s="22" t="str">
        <x:v>SC / MP</x:v>
      </x:c>
      <x:c r="G7" s="22" t="str">
        <x:v>Protect stored and transmitted account data</x:v>
      </x:c>
      <x:c r="H7" s="22" t="str">
        <x:v>Technical safeguards</x:v>
      </x:c>
      <x:c r="I7" s="22" t="str">
        <x:v>Data protections reduce confidentiality and privacy risk</x:v>
      </x:c>
    </x:row>
    <x:row r="8">
      <x:c r="A8" s="22" t="str">
        <x:v>EC-005</x:v>
      </x:c>
      <x:c r="B8" s="22" t="str">
        <x:v>Protect</x:v>
      </x:c>
      <x:c r="C8" s="22" t="str">
        <x:v>Technology and operations security</x:v>
      </x:c>
      <x:c r="D8" s="22" t="str">
        <x:v>Security supporting privacy</x:v>
      </x:c>
      <x:c r="E8" s="22" t="str">
        <x:v>Controls 4 and 7</x:v>
      </x:c>
      <x:c r="F8" s="22" t="str">
        <x:v>CM / RA / SI</x:v>
      </x:c>
      <x:c r="G8" s="22" t="str">
        <x:v>Secure systems and vulnerability management</x:v>
      </x:c>
      <x:c r="H8" s="22" t="str">
        <x:v>Security management process</x:v>
      </x:c>
      <x:c r="I8" s="22" t="str">
        <x:v>Secure configuration and remediation reduce exploitable weaknesses</x:v>
      </x:c>
    </x:row>
    <x:row r="9">
      <x:c r="A9" s="22" t="str">
        <x:v>EC-006</x:v>
      </x:c>
      <x:c r="B9" s="22" t="str">
        <x:v>Detect</x:v>
      </x:c>
      <x:c r="C9" s="22" t="str">
        <x:v>Logging and monitoring</x:v>
      </x:c>
      <x:c r="D9" s="22" t="str">
        <x:v>Monitoring of PII environments</x:v>
      </x:c>
      <x:c r="E9" s="22" t="str">
        <x:v>Controls 8 and 13</x:v>
      </x:c>
      <x:c r="F9" s="22" t="str">
        <x:v>AU / SI</x:v>
      </x:c>
      <x:c r="G9" s="22" t="str">
        <x:v>Log and monitor access</x:v>
      </x:c>
      <x:c r="H9" s="22" t="str">
        <x:v>Audit controls</x:v>
      </x:c>
      <x:c r="I9" s="22" t="str">
        <x:v>Monitoring supports detection and accountability</x:v>
      </x:c>
    </x:row>
    <x:row r="10">
      <x:c r="A10" s="22" t="str">
        <x:v>EC-007</x:v>
      </x:c>
      <x:c r="B10" s="22" t="str">
        <x:v>Respond / Recover</x:v>
      </x:c>
      <x:c r="C10" s="22" t="str">
        <x:v>Incident management and resilience</x:v>
      </x:c>
      <x:c r="D10" s="22" t="str">
        <x:v>Privacy incident coordination</x:v>
      </x:c>
      <x:c r="E10" s="22" t="str">
        <x:v>Controls 11 and 17</x:v>
      </x:c>
      <x:c r="F10" s="22" t="str">
        <x:v>IR / CP</x:v>
      </x:c>
      <x:c r="G10" s="22" t="str">
        <x:v>Incident response</x:v>
      </x:c>
      <x:c r="H10" s="22" t="str">
        <x:v>Security incident procedures</x:v>
      </x:c>
      <x:c r="I10" s="22" t="str">
        <x:v>Response and recovery limit harm and restore services</x:v>
      </x:c>
    </x:row>
    <x:row r="11">
      <x:c r="A11" s="22" t="str">
        <x:v>EC-008</x:v>
      </x:c>
      <x:c r="B11" s="22" t="str">
        <x:v>Govern / Identify</x:v>
      </x:c>
      <x:c r="C11" s="22" t="str">
        <x:v>Supplier relationships</x:v>
      </x:c>
      <x:c r="D11" s="22" t="str">
        <x:v>Processor management</x:v>
      </x:c>
      <x:c r="E11" s="22" t="str">
        <x:v>Control 15</x:v>
      </x:c>
      <x:c r="F11" s="22" t="str">
        <x:v>SA / SR</x:v>
      </x:c>
      <x:c r="G11" s="22" t="str">
        <x:v>Third-party service providers</x:v>
      </x:c>
      <x:c r="H11" s="22" t="str">
        <x:v>Business associate safeguards</x:v>
      </x:c>
      <x:c r="I11" s="22" t="str">
        <x:v>Supplier controls address inherited risk</x:v>
      </x:c>
    </x:row>
    <x:row r="12">
      <x:c r="A12" s="22" t="str">
        <x:v>EC-009</x:v>
      </x:c>
      <x:c r="B12" s="22" t="str">
        <x:v>Govern / Protect</x:v>
      </x:c>
      <x:c r="C12" s="22" t="str">
        <x:v>Compliance and information handling</x:v>
      </x:c>
      <x:c r="D12" s="22" t="str">
        <x:v>Privacy-specific governance and rights</x:v>
      </x:c>
      <x:c r="E12" s="22" t="str">
        <x:v>Controls 3 and 14</x:v>
      </x:c>
      <x:c r="F12" s="22" t="str">
        <x:v>PT</x:v>
      </x:c>
      <x:c r="G12" s="22" t="str">
        <x:v>Privacy-related program practices</x:v>
      </x:c>
      <x:c r="H12" s="22" t="str">
        <x:v>Privacy rule alignment</x:v>
      </x:c>
      <x:c r="I12" s="22" t="str">
        <x:v>Privacy obligations require transparency, minimization, and request handling</x:v>
      </x:c>
    </x:row>
    <x:row r="13">
      <x:c r="A13" s="22"/>
      <x:c r="B13" s="22"/>
      <x:c r="C13" s="22"/>
      <x:c r="D13" s="22"/>
      <x:c r="E13" s="22"/>
      <x:c r="F13" s="22"/>
      <x:c r="G13" s="22"/>
      <x:c r="H13" s="22"/>
      <x:c r="I13" s="22"/>
    </x:row>
    <x:row r="14">
      <x:c r="A14" s="22"/>
      <x:c r="B14" s="22"/>
      <x:c r="C14" s="22"/>
      <x:c r="D14" s="22"/>
      <x:c r="E14" s="22"/>
      <x:c r="F14" s="22"/>
      <x:c r="G14" s="22"/>
      <x:c r="H14" s="22"/>
      <x:c r="I14" s="22"/>
    </x:row>
    <x:row r="15">
      <x:c r="A15" s="22"/>
      <x:c r="B15" s="22"/>
      <x:c r="C15" s="22"/>
      <x:c r="D15" s="22"/>
      <x:c r="E15" s="22"/>
      <x:c r="F15" s="22"/>
      <x:c r="G15" s="22"/>
      <x:c r="H15" s="22"/>
      <x:c r="I15" s="22"/>
    </x:row>
    <x:row r="16">
      <x:c r="A16" s="22"/>
      <x:c r="B16" s="22"/>
      <x:c r="C16" s="22"/>
      <x:c r="D16" s="22"/>
      <x:c r="E16" s="22"/>
      <x:c r="F16" s="22"/>
      <x:c r="G16" s="22"/>
      <x:c r="H16" s="22"/>
      <x:c r="I16" s="22"/>
    </x:row>
    <x:row r="17">
      <x:c r="A17" s="22"/>
      <x:c r="B17" s="22"/>
      <x:c r="C17" s="22"/>
      <x:c r="D17" s="22"/>
      <x:c r="E17" s="22"/>
      <x:c r="F17" s="22"/>
      <x:c r="G17" s="22"/>
      <x:c r="H17" s="22"/>
      <x:c r="I17" s="22"/>
    </x:row>
    <x:row r="18">
      <x:c r="A18" s="22"/>
      <x:c r="B18" s="22"/>
      <x:c r="C18" s="22"/>
      <x:c r="D18" s="22"/>
      <x:c r="E18" s="22"/>
      <x:c r="F18" s="22"/>
      <x:c r="G18" s="22"/>
      <x:c r="H18" s="22"/>
      <x:c r="I18" s="22"/>
    </x:row>
    <x:row r="19">
      <x:c r="A19" s="22"/>
      <x:c r="B19" s="22"/>
      <x:c r="C19" s="22"/>
      <x:c r="D19" s="22"/>
      <x:c r="E19" s="22"/>
      <x:c r="F19" s="22"/>
      <x:c r="G19" s="22"/>
      <x:c r="H19" s="22"/>
      <x:c r="I19" s="22"/>
    </x:row>
    <x:row r="20">
      <x:c r="A20" s="22"/>
      <x:c r="B20" s="22"/>
      <x:c r="C20" s="22"/>
      <x:c r="D20" s="22"/>
      <x:c r="E20" s="22"/>
      <x:c r="F20" s="22"/>
      <x:c r="G20" s="22"/>
      <x:c r="H20" s="22"/>
      <x:c r="I20" s="22"/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0a0ec8331cbe4dd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5" t="str">
        <x:v>Evidence Matrix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14" t="str">
        <x:v>Evidence ID</x:v>
      </x:c>
      <x:c r="B3" s="14" t="str">
        <x:v>Internal Control ID</x:v>
      </x:c>
      <x:c r="C3" s="14" t="str">
        <x:v>Artifact</x:v>
      </x:c>
      <x:c r="D3" s="14" t="str">
        <x:v>NIST CSF</x:v>
      </x:c>
      <x:c r="E3" s="14" t="str">
        <x:v>ISO</x:v>
      </x:c>
      <x:c r="F3" s="14" t="str">
        <x:v>CIS</x:v>
      </x:c>
      <x:c r="G3" s="14" t="str">
        <x:v>PCI</x:v>
      </x:c>
      <x:c r="H3" s="14" t="str">
        <x:v>HIPAA</x:v>
      </x:c>
      <x:c r="I3" s="14" t="str">
        <x:v>Owner</x:v>
      </x:c>
      <x:c r="J3" s="14" t="str">
        <x:v>Status</x:v>
      </x:c>
    </x:row>
    <x:row r="4">
      <x:c r="A4" s="22" t="str">
        <x:v>EVM-001</x:v>
      </x:c>
      <x:c r="B4" s="22" t="str">
        <x:v>EC-001</x:v>
      </x:c>
      <x:c r="C4" s="22" t="str">
        <x:v>Approved security policy and governance minutes</x:v>
      </x:c>
      <x:c r="D4" s="22" t="str">
        <x:v>Yes</x:v>
      </x:c>
      <x:c r="E4" s="22" t="str">
        <x:v>Yes</x:v>
      </x:c>
      <x:c r="F4" s="22" t="str">
        <x:v>Partial</x:v>
      </x:c>
      <x:c r="G4" s="22" t="str">
        <x:v>Yes</x:v>
      </x:c>
      <x:c r="H4" s="22" t="str">
        <x:v>Yes</x:v>
      </x:c>
      <x:c r="I4" s="22" t="str">
        <x:v>CISO</x:v>
      </x:c>
      <x:c r="J4" s="22" t="str">
        <x:v>Current</x:v>
      </x:c>
    </x:row>
    <x:row r="5">
      <x:c r="A5" s="22" t="str">
        <x:v>EVM-002</x:v>
      </x:c>
      <x:c r="B5" s="22" t="str">
        <x:v>EC-003</x:v>
      </x:c>
      <x:c r="C5" s="22" t="str">
        <x:v>MFA and access review reports</x:v>
      </x:c>
      <x:c r="D5" s="22" t="str">
        <x:v>Yes</x:v>
      </x:c>
      <x:c r="E5" s="22" t="str">
        <x:v>Yes</x:v>
      </x:c>
      <x:c r="F5" s="22" t="str">
        <x:v>Yes</x:v>
      </x:c>
      <x:c r="G5" s="22" t="str">
        <x:v>Yes</x:v>
      </x:c>
      <x:c r="H5" s="22" t="str">
        <x:v>Yes</x:v>
      </x:c>
      <x:c r="I5" s="22" t="str">
        <x:v>IAM Lead</x:v>
      </x:c>
      <x:c r="J5" s="22" t="str">
        <x:v>Current</x:v>
      </x:c>
    </x:row>
    <x:row r="6">
      <x:c r="A6" s="22" t="str">
        <x:v>EVM-003</x:v>
      </x:c>
      <x:c r="B6" s="22" t="str">
        <x:v>EC-006</x:v>
      </x:c>
      <x:c r="C6" s="22" t="str">
        <x:v>SIEM coverage and alert records</x:v>
      </x:c>
      <x:c r="D6" s="22" t="str">
        <x:v>Yes</x:v>
      </x:c>
      <x:c r="E6" s="22" t="str">
        <x:v>Yes</x:v>
      </x:c>
      <x:c r="F6" s="22" t="str">
        <x:v>Yes</x:v>
      </x:c>
      <x:c r="G6" s="22" t="str">
        <x:v>Yes</x:v>
      </x:c>
      <x:c r="H6" s="22" t="str">
        <x:v>Yes</x:v>
      </x:c>
      <x:c r="I6" s="22" t="str">
        <x:v>SOC Manager</x:v>
      </x:c>
      <x:c r="J6" s="22" t="str">
        <x:v>Needs Improvement</x:v>
      </x:c>
    </x:row>
    <x:row r="7">
      <x:c r="A7" s="22" t="str">
        <x:v>EVM-004</x:v>
      </x:c>
      <x:c r="B7" s="22" t="str">
        <x:v>EC-008</x:v>
      </x:c>
      <x:c r="C7" s="22" t="str">
        <x:v>Supplier assessment and contract register</x:v>
      </x:c>
      <x:c r="D7" s="22" t="str">
        <x:v>Yes</x:v>
      </x:c>
      <x:c r="E7" s="22" t="str">
        <x:v>Yes</x:v>
      </x:c>
      <x:c r="F7" s="22" t="str">
        <x:v>Yes</x:v>
      </x:c>
      <x:c r="G7" s="22" t="str">
        <x:v>Yes</x:v>
      </x:c>
      <x:c r="H7" s="22" t="str">
        <x:v>Yes</x:v>
      </x:c>
      <x:c r="I7" s="22" t="str">
        <x:v>Vendor Risk Lead</x:v>
      </x:c>
      <x:c r="J7" s="22" t="str">
        <x:v>Incomplete</x:v>
      </x:c>
    </x:row>
    <x:row r="8">
      <x:c r="A8" s="22"/>
      <x:c r="B8" s="22"/>
      <x:c r="C8" s="22"/>
      <x:c r="D8" s="22"/>
      <x:c r="E8" s="22"/>
      <x:c r="F8" s="22"/>
      <x:c r="G8" s="22"/>
      <x:c r="H8" s="22"/>
      <x:c r="I8" s="22"/>
      <x:c r="J8" s="22"/>
    </x:row>
    <x:row r="9">
      <x:c r="A9" s="22"/>
      <x:c r="B9" s="22"/>
      <x:c r="C9" s="22"/>
      <x:c r="D9" s="22"/>
      <x:c r="E9" s="22"/>
      <x:c r="F9" s="22"/>
      <x:c r="G9" s="22"/>
      <x:c r="H9" s="22"/>
      <x:c r="I9" s="22"/>
      <x:c r="J9" s="22"/>
    </x:row>
    <x:row r="10">
      <x:c r="A10" s="22"/>
      <x:c r="B10" s="22"/>
      <x:c r="C10" s="22"/>
      <x:c r="D10" s="22"/>
      <x:c r="E10" s="22"/>
      <x:c r="F10" s="22"/>
      <x:c r="G10" s="22"/>
      <x:c r="H10" s="22"/>
      <x:c r="I10" s="22"/>
      <x:c r="J10" s="22"/>
    </x:row>
    <x:row r="11">
      <x:c r="A11" s="22"/>
      <x:c r="B11" s="22"/>
      <x:c r="C11" s="22"/>
      <x:c r="D11" s="22"/>
      <x:c r="E11" s="22"/>
      <x:c r="F11" s="22"/>
      <x:c r="G11" s="22"/>
      <x:c r="H11" s="22"/>
      <x:c r="I11" s="22"/>
      <x:c r="J11" s="22"/>
    </x:row>
    <x:row r="12">
      <x:c r="A12" s="22"/>
      <x:c r="B12" s="22"/>
      <x:c r="C12" s="22"/>
      <x:c r="D12" s="22"/>
      <x:c r="E12" s="22"/>
      <x:c r="F12" s="22"/>
      <x:c r="G12" s="22"/>
      <x:c r="H12" s="22"/>
      <x:c r="I12" s="22"/>
      <x:c r="J12" s="22"/>
    </x:row>
    <x:row r="13">
      <x:c r="A13" s="22"/>
      <x:c r="B13" s="22"/>
      <x:c r="C13" s="22"/>
      <x:c r="D13" s="22"/>
      <x:c r="E13" s="22"/>
      <x:c r="F13" s="22"/>
      <x:c r="G13" s="22"/>
      <x:c r="H13" s="22"/>
      <x:c r="I13" s="22"/>
      <x:c r="J13" s="22"/>
    </x:row>
    <x:row r="14">
      <x:c r="A14" s="22"/>
      <x:c r="B14" s="22"/>
      <x:c r="C14" s="22"/>
      <x:c r="D14" s="22"/>
      <x:c r="E14" s="22"/>
      <x:c r="F14" s="22"/>
      <x:c r="G14" s="22"/>
      <x:c r="H14" s="22"/>
      <x:c r="I14" s="22"/>
      <x:c r="J14" s="22"/>
    </x:row>
    <x:row r="15">
      <x:c r="A15" s="22"/>
      <x:c r="B15" s="22"/>
      <x:c r="C15" s="22"/>
      <x:c r="D15" s="22"/>
      <x:c r="E15" s="22"/>
      <x:c r="F15" s="22"/>
      <x:c r="G15" s="22"/>
      <x:c r="H15" s="22"/>
      <x:c r="I15" s="22"/>
      <x:c r="J15" s="22"/>
    </x:row>
    <x:row r="16">
      <x:c r="A16" s="22"/>
      <x:c r="B16" s="22"/>
      <x:c r="C16" s="22"/>
      <x:c r="D16" s="22"/>
      <x:c r="E16" s="22"/>
      <x:c r="F16" s="22"/>
      <x:c r="G16" s="22"/>
      <x:c r="H16" s="22"/>
      <x:c r="I16" s="22"/>
      <x:c r="J16" s="22"/>
    </x:row>
    <x:row r="17">
      <x:c r="A17" s="22"/>
      <x:c r="B17" s="22"/>
      <x:c r="C17" s="22"/>
      <x:c r="D17" s="22"/>
      <x:c r="E17" s="22"/>
      <x:c r="F17" s="22"/>
      <x:c r="G17" s="22"/>
      <x:c r="H17" s="22"/>
      <x:c r="I17" s="22"/>
      <x:c r="J17" s="22"/>
    </x:row>
    <x:row r="18">
      <x:c r="A18" s="22"/>
      <x:c r="B18" s="22"/>
      <x:c r="C18" s="22"/>
      <x:c r="D18" s="22"/>
      <x:c r="E18" s="22"/>
      <x:c r="F18" s="22"/>
      <x:c r="G18" s="22"/>
      <x:c r="H18" s="22"/>
      <x:c r="I18" s="22"/>
      <x:c r="J18" s="22"/>
    </x:row>
    <x:row r="19">
      <x:c r="A19" s="22"/>
      <x:c r="B19" s="22"/>
      <x:c r="C19" s="22"/>
      <x:c r="D19" s="22"/>
      <x:c r="E19" s="22"/>
      <x:c r="F19" s="22"/>
      <x:c r="G19" s="22"/>
      <x:c r="H19" s="22"/>
      <x:c r="I19" s="22"/>
      <x:c r="J19" s="22"/>
    </x:row>
    <x:row r="20">
      <x:c r="A20" s="22"/>
      <x:c r="B20" s="22"/>
      <x:c r="C20" s="22"/>
      <x:c r="D20" s="22"/>
      <x:c r="E20" s="22"/>
      <x:c r="F20" s="22"/>
      <x:c r="G20" s="22"/>
      <x:c r="H20" s="22"/>
      <x:c r="I20" s="22"/>
      <x:c r="J20" s="22"/>
    </x:row>
  </x:sheetData>
  <x:mergeCells>
    <x:mergeCell ref="A1:J1"/>
  </x:mergeCells>
  <x:dataValidations count="1">
    <x:dataValidation type="list" sqref="J4:J303">
      <x:formula1>"Not Started,Planned,In Progress,Operational,Needs Improvement,Needs Review,Complete,Current,Due,Incomplete,Scheduled"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48283a1e0745a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30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4" hidden="0" customWidth="1"/>
    <x:col min="10" max="10" width="16" hidden="0" customWidth="1"/>
  </x:cols>
  <x:sheetData>
    <x:row r="1">
      <x:c r="A1" s="5" t="str">
        <x:v>Compliance Gaps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14" t="str">
        <x:v>Gap ID</x:v>
      </x:c>
      <x:c r="B3" s="14" t="str">
        <x:v>Internal Control ID</x:v>
      </x:c>
      <x:c r="C3" s="14" t="str">
        <x:v>Affected Frameworks</x:v>
      </x:c>
      <x:c r="D3" s="14" t="str">
        <x:v>Gap</x:v>
      </x:c>
      <x:c r="E3" s="14" t="str">
        <x:v>Risk</x:v>
      </x:c>
      <x:c r="F3" s="14" t="str">
        <x:v>Priority</x:v>
      </x:c>
      <x:c r="G3" s="14" t="str">
        <x:v>Remediation</x:v>
      </x:c>
      <x:c r="H3" s="14" t="str">
        <x:v>Owner</x:v>
      </x:c>
      <x:c r="I3" s="14" t="str">
        <x:v>Target Date</x:v>
      </x:c>
      <x:c r="J3" s="14" t="str">
        <x:v>Status</x:v>
      </x:c>
    </x:row>
    <x:row r="4">
      <x:c r="A4" s="22" t="str">
        <x:v>CMP-G01</x:v>
      </x:c>
      <x:c r="B4" s="22" t="str">
        <x:v>EC-002</x:v>
      </x:c>
      <x:c r="C4" s="22" t="str">
        <x:v>NIST; ISO; CIS; PCI; HIPAA</x:v>
      </x:c>
      <x:c r="D4" s="22" t="str">
        <x:v>Cloud inventory coverage is incomplete</x:v>
      </x:c>
      <x:c r="E4" s="22" t="str">
        <x:v>Unknown assets may escape controls</x:v>
      </x:c>
      <x:c r="F4" s="22" t="str">
        <x:v>High</x:v>
      </x:c>
      <x:c r="G4" s="22" t="str">
        <x:v>Deploy discovery and ownership tagging</x:v>
      </x:c>
      <x:c r="H4" s="22" t="str">
        <x:v>IT Operations</x:v>
      </x:c>
      <x:c r="I4" s="23" t="n">
        <x:v>46296</x:v>
      </x:c>
      <x:c r="J4" s="22" t="str">
        <x:v>In Progress</x:v>
      </x:c>
    </x:row>
    <x:row r="5">
      <x:c r="A5" s="22" t="str">
        <x:v>CMP-G02</x:v>
      </x:c>
      <x:c r="B5" s="22" t="str">
        <x:v>EC-006</x:v>
      </x:c>
      <x:c r="C5" s="22" t="str">
        <x:v>All mapped frameworks</x:v>
      </x:c>
      <x:c r="D5" s="22" t="str">
        <x:v>SaaS log collection is inconsistent</x:v>
      </x:c>
      <x:c r="E5" s="22" t="str">
        <x:v>Reduced detection and audit evidence</x:v>
      </x:c>
      <x:c r="F5" s="22" t="str">
        <x:v>High</x:v>
      </x:c>
      <x:c r="G5" s="22" t="str">
        <x:v>Onboard priority SaaS audit logs</x:v>
      </x:c>
      <x:c r="H5" s="22" t="str">
        <x:v>SOC Manager</x:v>
      </x:c>
      <x:c r="I5" s="23" t="n">
        <x:v>46310</x:v>
      </x:c>
      <x:c r="J5" s="22" t="str">
        <x:v>Planned</x:v>
      </x:c>
    </x:row>
    <x:row r="6">
      <x:c r="A6" s="22" t="str">
        <x:v>CMP-G03</x:v>
      </x:c>
      <x:c r="B6" s="22" t="str">
        <x:v>EC-008</x:v>
      </x:c>
      <x:c r="C6" s="22" t="str">
        <x:v>NIST; ISO; CIS; PCI; HIPAA</x:v>
      </x:c>
      <x:c r="D6" s="22" t="str">
        <x:v>Supplier monitoring is not risk-tiered</x:v>
      </x:c>
      <x:c r="E6" s="22" t="str">
        <x:v>Critical suppliers may change without review</x:v>
      </x:c>
      <x:c r="F6" s="22" t="str">
        <x:v>High</x:v>
      </x:c>
      <x:c r="G6" s="22" t="str">
        <x:v>Implement tiered monitoring cadence</x:v>
      </x:c>
      <x:c r="H6" s="22" t="str">
        <x:v>Vendor Risk Lead</x:v>
      </x:c>
      <x:c r="I6" s="23" t="n">
        <x:v>46357</x:v>
      </x:c>
      <x:c r="J6" s="22" t="str">
        <x:v>Planned</x:v>
      </x:c>
    </x:row>
    <x:row r="7">
      <x:c r="A7" s="22"/>
      <x:c r="B7" s="22"/>
      <x:c r="C7" s="22"/>
      <x:c r="D7" s="22"/>
      <x:c r="E7" s="22"/>
      <x:c r="F7" s="22"/>
      <x:c r="G7" s="22"/>
      <x:c r="H7" s="22"/>
      <x:c r="I7" s="23"/>
      <x:c r="J7" s="22"/>
    </x:row>
    <x:row r="8">
      <x:c r="A8" s="22"/>
      <x:c r="B8" s="22"/>
      <x:c r="C8" s="22"/>
      <x:c r="D8" s="22"/>
      <x:c r="E8" s="22"/>
      <x:c r="F8" s="22"/>
      <x:c r="G8" s="22"/>
      <x:c r="H8" s="22"/>
      <x:c r="I8" s="23"/>
      <x:c r="J8" s="22"/>
    </x:row>
    <x:row r="9">
      <x:c r="A9" s="22"/>
      <x:c r="B9" s="22"/>
      <x:c r="C9" s="22"/>
      <x:c r="D9" s="22"/>
      <x:c r="E9" s="22"/>
      <x:c r="F9" s="22"/>
      <x:c r="G9" s="22"/>
      <x:c r="H9" s="22"/>
      <x:c r="I9" s="23"/>
      <x:c r="J9" s="22"/>
    </x:row>
    <x:row r="10">
      <x:c r="A10" s="22"/>
      <x:c r="B10" s="22"/>
      <x:c r="C10" s="22"/>
      <x:c r="D10" s="22"/>
      <x:c r="E10" s="22"/>
      <x:c r="F10" s="22"/>
      <x:c r="G10" s="22"/>
      <x:c r="H10" s="22"/>
      <x:c r="I10" s="23"/>
      <x:c r="J10" s="22"/>
    </x:row>
    <x:row r="11">
      <x:c r="A11" s="22"/>
      <x:c r="B11" s="22"/>
      <x:c r="C11" s="22"/>
      <x:c r="D11" s="22"/>
      <x:c r="E11" s="22"/>
      <x:c r="F11" s="22"/>
      <x:c r="G11" s="22"/>
      <x:c r="H11" s="22"/>
      <x:c r="I11" s="23"/>
      <x:c r="J11" s="22"/>
    </x:row>
    <x:row r="12">
      <x:c r="A12" s="22"/>
      <x:c r="B12" s="22"/>
      <x:c r="C12" s="22"/>
      <x:c r="D12" s="22"/>
      <x:c r="E12" s="22"/>
      <x:c r="F12" s="22"/>
      <x:c r="G12" s="22"/>
      <x:c r="H12" s="22"/>
      <x:c r="I12" s="23"/>
      <x:c r="J12" s="22"/>
    </x:row>
    <x:row r="13">
      <x:c r="A13" s="22"/>
      <x:c r="B13" s="22"/>
      <x:c r="C13" s="22"/>
      <x:c r="D13" s="22"/>
      <x:c r="E13" s="22"/>
      <x:c r="F13" s="22"/>
      <x:c r="G13" s="22"/>
      <x:c r="H13" s="22"/>
      <x:c r="I13" s="23"/>
      <x:c r="J13" s="22"/>
    </x:row>
    <x:row r="14">
      <x:c r="A14" s="22"/>
      <x:c r="B14" s="22"/>
      <x:c r="C14" s="22"/>
      <x:c r="D14" s="22"/>
      <x:c r="E14" s="22"/>
      <x:c r="F14" s="22"/>
      <x:c r="G14" s="22"/>
      <x:c r="H14" s="22"/>
      <x:c r="I14" s="23"/>
      <x:c r="J14" s="22"/>
    </x:row>
    <x:row r="15">
      <x:c r="A15" s="22"/>
      <x:c r="B15" s="22"/>
      <x:c r="C15" s="22"/>
      <x:c r="D15" s="22"/>
      <x:c r="E15" s="22"/>
      <x:c r="F15" s="22"/>
      <x:c r="G15" s="22"/>
      <x:c r="H15" s="22"/>
      <x:c r="I15" s="23"/>
      <x:c r="J15" s="22"/>
    </x:row>
    <x:row r="16">
      <x:c r="A16" s="22"/>
      <x:c r="B16" s="22"/>
      <x:c r="C16" s="22"/>
      <x:c r="D16" s="22"/>
      <x:c r="E16" s="22"/>
      <x:c r="F16" s="22"/>
      <x:c r="G16" s="22"/>
      <x:c r="H16" s="22"/>
      <x:c r="I16" s="23"/>
      <x:c r="J16" s="22"/>
    </x:row>
    <x:row r="17">
      <x:c r="A17" s="22"/>
      <x:c r="B17" s="22"/>
      <x:c r="C17" s="22"/>
      <x:c r="D17" s="22"/>
      <x:c r="E17" s="22"/>
      <x:c r="F17" s="22"/>
      <x:c r="G17" s="22"/>
      <x:c r="H17" s="22"/>
      <x:c r="I17" s="23"/>
      <x:c r="J17" s="22"/>
    </x:row>
    <x:row r="18">
      <x:c r="A18" s="22"/>
      <x:c r="B18" s="22"/>
      <x:c r="C18" s="22"/>
      <x:c r="D18" s="22"/>
      <x:c r="E18" s="22"/>
      <x:c r="F18" s="22"/>
      <x:c r="G18" s="22"/>
      <x:c r="H18" s="22"/>
      <x:c r="I18" s="23"/>
      <x:c r="J18" s="22"/>
    </x:row>
    <x:row r="19">
      <x:c r="A19" s="22"/>
      <x:c r="B19" s="22"/>
      <x:c r="C19" s="22"/>
      <x:c r="D19" s="22"/>
      <x:c r="E19" s="22"/>
      <x:c r="F19" s="22"/>
      <x:c r="G19" s="22"/>
      <x:c r="H19" s="22"/>
      <x:c r="I19" s="23"/>
      <x:c r="J19" s="22"/>
    </x:row>
    <x:row r="20">
      <x:c r="A20" s="22"/>
      <x:c r="B20" s="22"/>
      <x:c r="C20" s="22"/>
      <x:c r="D20" s="22"/>
      <x:c r="E20" s="22"/>
      <x:c r="F20" s="22"/>
      <x:c r="G20" s="22"/>
      <x:c r="H20" s="22"/>
      <x:c r="I20" s="23"/>
      <x:c r="J20" s="22"/>
    </x:row>
    <x:row r="21">
      <x:c r="I21" s="20"/>
    </x:row>
    <x:row r="22">
      <x:c r="I22" s="20"/>
    </x:row>
    <x:row r="23">
      <x:c r="I23" s="20"/>
    </x:row>
    <x:row r="24">
      <x:c r="I24" s="20"/>
    </x:row>
    <x:row r="25">
      <x:c r="I25" s="20"/>
    </x:row>
    <x:row r="26">
      <x:c r="I26" s="20"/>
    </x:row>
    <x:row r="27">
      <x:c r="I27" s="20"/>
    </x:row>
    <x:row r="28">
      <x:c r="I28" s="20"/>
    </x:row>
    <x:row r="29">
      <x:c r="I29" s="20"/>
    </x:row>
    <x:row r="30">
      <x:c r="I30" s="20"/>
    </x:row>
    <x:row r="31">
      <x:c r="I31" s="20"/>
    </x:row>
    <x:row r="32">
      <x:c r="I32" s="20"/>
    </x:row>
    <x:row r="33">
      <x:c r="I33" s="20"/>
    </x:row>
    <x:row r="34">
      <x:c r="I34" s="20"/>
    </x:row>
    <x:row r="35">
      <x:c r="I35" s="20"/>
    </x:row>
    <x:row r="36">
      <x:c r="I36" s="20"/>
    </x:row>
    <x:row r="37">
      <x:c r="I37" s="20"/>
    </x:row>
    <x:row r="38">
      <x:c r="I38" s="20"/>
    </x:row>
    <x:row r="39">
      <x:c r="I39" s="20"/>
    </x:row>
    <x:row r="40">
      <x:c r="I40" s="20"/>
    </x:row>
    <x:row r="41">
      <x:c r="I41" s="20"/>
    </x:row>
    <x:row r="42">
      <x:c r="I42" s="20"/>
    </x:row>
    <x:row r="43">
      <x:c r="I43" s="20"/>
    </x:row>
    <x:row r="44">
      <x:c r="I44" s="20"/>
    </x:row>
    <x:row r="45">
      <x:c r="I45" s="20"/>
    </x:row>
    <x:row r="46">
      <x:c r="I46" s="20"/>
    </x:row>
    <x:row r="47">
      <x:c r="I47" s="20"/>
    </x:row>
    <x:row r="48">
      <x:c r="I48" s="20"/>
    </x:row>
    <x:row r="49">
      <x:c r="I49" s="20"/>
    </x:row>
    <x:row r="50">
      <x:c r="I50" s="20"/>
    </x:row>
    <x:row r="51">
      <x:c r="I51" s="20"/>
    </x:row>
    <x:row r="52">
      <x:c r="I52" s="20"/>
    </x:row>
    <x:row r="53">
      <x:c r="I53" s="20"/>
    </x:row>
    <x:row r="54">
      <x:c r="I54" s="20"/>
    </x:row>
    <x:row r="55">
      <x:c r="I55" s="20"/>
    </x:row>
    <x:row r="56">
      <x:c r="I56" s="20"/>
    </x:row>
    <x:row r="57">
      <x:c r="I57" s="20"/>
    </x:row>
    <x:row r="58">
      <x:c r="I58" s="20"/>
    </x:row>
    <x:row r="59">
      <x:c r="I59" s="20"/>
    </x:row>
    <x:row r="60">
      <x:c r="I60" s="20"/>
    </x:row>
    <x:row r="61">
      <x:c r="I61" s="20"/>
    </x:row>
    <x:row r="62">
      <x:c r="I62" s="20"/>
    </x:row>
    <x:row r="63">
      <x:c r="I63" s="20"/>
    </x:row>
    <x:row r="64">
      <x:c r="I64" s="20"/>
    </x:row>
    <x:row r="65">
      <x:c r="I65" s="20"/>
    </x:row>
    <x:row r="66">
      <x:c r="I66" s="20"/>
    </x:row>
    <x:row r="67">
      <x:c r="I67" s="20"/>
    </x:row>
    <x:row r="68">
      <x:c r="I68" s="20"/>
    </x:row>
    <x:row r="69">
      <x:c r="I69" s="20"/>
    </x:row>
    <x:row r="70">
      <x:c r="I70" s="20"/>
    </x:row>
    <x:row r="71">
      <x:c r="I71" s="20"/>
    </x:row>
    <x:row r="72">
      <x:c r="I72" s="20"/>
    </x:row>
    <x:row r="73">
      <x:c r="I73" s="20"/>
    </x:row>
    <x:row r="74">
      <x:c r="I74" s="20"/>
    </x:row>
    <x:row r="75">
      <x:c r="I75" s="20"/>
    </x:row>
    <x:row r="76">
      <x:c r="I76" s="20"/>
    </x:row>
    <x:row r="77">
      <x:c r="I77" s="20"/>
    </x:row>
    <x:row r="78">
      <x:c r="I78" s="20"/>
    </x:row>
    <x:row r="79">
      <x:c r="I79" s="20"/>
    </x:row>
    <x:row r="80">
      <x:c r="I80" s="20"/>
    </x:row>
    <x:row r="81">
      <x:c r="I81" s="20"/>
    </x:row>
    <x:row r="82">
      <x:c r="I82" s="20"/>
    </x:row>
    <x:row r="83">
      <x:c r="I83" s="20"/>
    </x:row>
    <x:row r="84">
      <x:c r="I84" s="20"/>
    </x:row>
    <x:row r="85">
      <x:c r="I85" s="20"/>
    </x:row>
    <x:row r="86">
      <x:c r="I86" s="20"/>
    </x:row>
    <x:row r="87">
      <x:c r="I87" s="20"/>
    </x:row>
    <x:row r="88">
      <x:c r="I88" s="20"/>
    </x:row>
    <x:row r="89">
      <x:c r="I89" s="20"/>
    </x:row>
    <x:row r="90">
      <x:c r="I90" s="20"/>
    </x:row>
    <x:row r="91">
      <x:c r="I91" s="20"/>
    </x:row>
    <x:row r="92">
      <x:c r="I92" s="20"/>
    </x:row>
    <x:row r="93">
      <x:c r="I93" s="20"/>
    </x:row>
    <x:row r="94">
      <x:c r="I94" s="20"/>
    </x:row>
    <x:row r="95">
      <x:c r="I95" s="20"/>
    </x:row>
    <x:row r="96">
      <x:c r="I96" s="20"/>
    </x:row>
    <x:row r="97">
      <x:c r="I97" s="20"/>
    </x:row>
    <x:row r="98">
      <x:c r="I98" s="20"/>
    </x:row>
    <x:row r="99">
      <x:c r="I99" s="20"/>
    </x:row>
    <x:row r="100">
      <x:c r="I100" s="20"/>
    </x:row>
    <x:row r="101">
      <x:c r="I101" s="20"/>
    </x:row>
    <x:row r="102">
      <x:c r="I102" s="20"/>
    </x:row>
    <x:row r="103">
      <x:c r="I103" s="20"/>
    </x:row>
    <x:row r="104">
      <x:c r="I104" s="20"/>
    </x:row>
    <x:row r="105">
      <x:c r="I105" s="20"/>
    </x:row>
    <x:row r="106">
      <x:c r="I106" s="20"/>
    </x:row>
    <x:row r="107">
      <x:c r="I107" s="20"/>
    </x:row>
    <x:row r="108">
      <x:c r="I108" s="20"/>
    </x:row>
    <x:row r="109">
      <x:c r="I109" s="20"/>
    </x:row>
    <x:row r="110">
      <x:c r="I110" s="20"/>
    </x:row>
    <x:row r="111">
      <x:c r="I111" s="20"/>
    </x:row>
    <x:row r="112">
      <x:c r="I112" s="20"/>
    </x:row>
    <x:row r="113">
      <x:c r="I113" s="20"/>
    </x:row>
    <x:row r="114">
      <x:c r="I114" s="20"/>
    </x:row>
    <x:row r="115">
      <x:c r="I115" s="20"/>
    </x:row>
    <x:row r="116">
      <x:c r="I116" s="20"/>
    </x:row>
    <x:row r="117">
      <x:c r="I117" s="20"/>
    </x:row>
    <x:row r="118">
      <x:c r="I118" s="20"/>
    </x:row>
    <x:row r="119">
      <x:c r="I119" s="20"/>
    </x:row>
    <x:row r="120">
      <x:c r="I120" s="20"/>
    </x:row>
    <x:row r="121">
      <x:c r="I121" s="20"/>
    </x:row>
    <x:row r="122">
      <x:c r="I122" s="20"/>
    </x:row>
    <x:row r="123">
      <x:c r="I123" s="20"/>
    </x:row>
    <x:row r="124">
      <x:c r="I124" s="20"/>
    </x:row>
    <x:row r="125">
      <x:c r="I125" s="20"/>
    </x:row>
    <x:row r="126">
      <x:c r="I126" s="20"/>
    </x:row>
    <x:row r="127">
      <x:c r="I127" s="20"/>
    </x:row>
    <x:row r="128">
      <x:c r="I128" s="20"/>
    </x:row>
    <x:row r="129">
      <x:c r="I129" s="20"/>
    </x:row>
    <x:row r="130">
      <x:c r="I130" s="20"/>
    </x:row>
    <x:row r="131">
      <x:c r="I131" s="20"/>
    </x:row>
    <x:row r="132">
      <x:c r="I132" s="20"/>
    </x:row>
    <x:row r="133">
      <x:c r="I133" s="20"/>
    </x:row>
    <x:row r="134">
      <x:c r="I134" s="20"/>
    </x:row>
    <x:row r="135">
      <x:c r="I135" s="20"/>
    </x:row>
    <x:row r="136">
      <x:c r="I136" s="20"/>
    </x:row>
    <x:row r="137">
      <x:c r="I137" s="20"/>
    </x:row>
    <x:row r="138">
      <x:c r="I138" s="20"/>
    </x:row>
    <x:row r="139">
      <x:c r="I139" s="20"/>
    </x:row>
    <x:row r="140">
      <x:c r="I140" s="20"/>
    </x:row>
    <x:row r="141">
      <x:c r="I141" s="20"/>
    </x:row>
    <x:row r="142">
      <x:c r="I142" s="20"/>
    </x:row>
    <x:row r="143">
      <x:c r="I143" s="20"/>
    </x:row>
    <x:row r="144">
      <x:c r="I144" s="20"/>
    </x:row>
    <x:row r="145">
      <x:c r="I145" s="20"/>
    </x:row>
    <x:row r="146">
      <x:c r="I146" s="20"/>
    </x:row>
    <x:row r="147">
      <x:c r="I147" s="20"/>
    </x:row>
    <x:row r="148">
      <x:c r="I148" s="20"/>
    </x:row>
    <x:row r="149">
      <x:c r="I149" s="20"/>
    </x:row>
    <x:row r="150">
      <x:c r="I150" s="20"/>
    </x:row>
    <x:row r="151">
      <x:c r="I151" s="20"/>
    </x:row>
    <x:row r="152">
      <x:c r="I152" s="20"/>
    </x:row>
    <x:row r="153">
      <x:c r="I153" s="20"/>
    </x:row>
    <x:row r="154">
      <x:c r="I154" s="20"/>
    </x:row>
    <x:row r="155">
      <x:c r="I155" s="20"/>
    </x:row>
    <x:row r="156">
      <x:c r="I156" s="20"/>
    </x:row>
    <x:row r="157">
      <x:c r="I157" s="20"/>
    </x:row>
    <x:row r="158">
      <x:c r="I158" s="20"/>
    </x:row>
    <x:row r="159">
      <x:c r="I159" s="20"/>
    </x:row>
    <x:row r="160">
      <x:c r="I160" s="20"/>
    </x:row>
    <x:row r="161">
      <x:c r="I161" s="20"/>
    </x:row>
    <x:row r="162">
      <x:c r="I162" s="20"/>
    </x:row>
    <x:row r="163">
      <x:c r="I163" s="20"/>
    </x:row>
    <x:row r="164">
      <x:c r="I164" s="20"/>
    </x:row>
    <x:row r="165">
      <x:c r="I165" s="20"/>
    </x:row>
    <x:row r="166">
      <x:c r="I166" s="20"/>
    </x:row>
    <x:row r="167">
      <x:c r="I167" s="20"/>
    </x:row>
    <x:row r="168">
      <x:c r="I168" s="20"/>
    </x:row>
    <x:row r="169">
      <x:c r="I169" s="20"/>
    </x:row>
    <x:row r="170">
      <x:c r="I170" s="20"/>
    </x:row>
    <x:row r="171">
      <x:c r="I171" s="20"/>
    </x:row>
    <x:row r="172">
      <x:c r="I172" s="20"/>
    </x:row>
    <x:row r="173">
      <x:c r="I173" s="20"/>
    </x:row>
    <x:row r="174">
      <x:c r="I174" s="20"/>
    </x:row>
    <x:row r="175">
      <x:c r="I175" s="20"/>
    </x:row>
    <x:row r="176">
      <x:c r="I176" s="20"/>
    </x:row>
    <x:row r="177">
      <x:c r="I177" s="20"/>
    </x:row>
    <x:row r="178">
      <x:c r="I178" s="20"/>
    </x:row>
    <x:row r="179">
      <x:c r="I179" s="20"/>
    </x:row>
    <x:row r="180">
      <x:c r="I180" s="20"/>
    </x:row>
    <x:row r="181">
      <x:c r="I181" s="20"/>
    </x:row>
    <x:row r="182">
      <x:c r="I182" s="20"/>
    </x:row>
    <x:row r="183">
      <x:c r="I183" s="20"/>
    </x:row>
    <x:row r="184">
      <x:c r="I184" s="20"/>
    </x:row>
    <x:row r="185">
      <x:c r="I185" s="20"/>
    </x:row>
    <x:row r="186">
      <x:c r="I186" s="20"/>
    </x:row>
    <x:row r="187">
      <x:c r="I187" s="20"/>
    </x:row>
    <x:row r="188">
      <x:c r="I188" s="20"/>
    </x:row>
    <x:row r="189">
      <x:c r="I189" s="20"/>
    </x:row>
    <x:row r="190">
      <x:c r="I190" s="20"/>
    </x:row>
    <x:row r="191">
      <x:c r="I191" s="20"/>
    </x:row>
    <x:row r="192">
      <x:c r="I192" s="20"/>
    </x:row>
    <x:row r="193">
      <x:c r="I193" s="20"/>
    </x:row>
    <x:row r="194">
      <x:c r="I194" s="20"/>
    </x:row>
    <x:row r="195">
      <x:c r="I195" s="20"/>
    </x:row>
    <x:row r="196">
      <x:c r="I196" s="20"/>
    </x:row>
    <x:row r="197">
      <x:c r="I197" s="20"/>
    </x:row>
    <x:row r="198">
      <x:c r="I198" s="20"/>
    </x:row>
    <x:row r="199">
      <x:c r="I199" s="20"/>
    </x:row>
    <x:row r="200">
      <x:c r="I200" s="20"/>
    </x:row>
    <x:row r="201">
      <x:c r="I201" s="20"/>
    </x:row>
    <x:row r="202">
      <x:c r="I202" s="20"/>
    </x:row>
    <x:row r="203">
      <x:c r="I203" s="20"/>
    </x:row>
    <x:row r="204">
      <x:c r="I204" s="20"/>
    </x:row>
    <x:row r="205">
      <x:c r="I205" s="20"/>
    </x:row>
    <x:row r="206">
      <x:c r="I206" s="20"/>
    </x:row>
    <x:row r="207">
      <x:c r="I207" s="20"/>
    </x:row>
    <x:row r="208">
      <x:c r="I208" s="20"/>
    </x:row>
    <x:row r="209">
      <x:c r="I209" s="20"/>
    </x:row>
    <x:row r="210">
      <x:c r="I210" s="20"/>
    </x:row>
    <x:row r="211">
      <x:c r="I211" s="20"/>
    </x:row>
    <x:row r="212">
      <x:c r="I212" s="20"/>
    </x:row>
    <x:row r="213">
      <x:c r="I213" s="20"/>
    </x:row>
    <x:row r="214">
      <x:c r="I214" s="20"/>
    </x:row>
    <x:row r="215">
      <x:c r="I215" s="20"/>
    </x:row>
    <x:row r="216">
      <x:c r="I216" s="20"/>
    </x:row>
    <x:row r="217">
      <x:c r="I217" s="20"/>
    </x:row>
    <x:row r="218">
      <x:c r="I218" s="20"/>
    </x:row>
    <x:row r="219">
      <x:c r="I219" s="20"/>
    </x:row>
    <x:row r="220">
      <x:c r="I220" s="20"/>
    </x:row>
    <x:row r="221">
      <x:c r="I221" s="20"/>
    </x:row>
    <x:row r="222">
      <x:c r="I222" s="20"/>
    </x:row>
    <x:row r="223">
      <x:c r="I223" s="20"/>
    </x:row>
    <x:row r="224">
      <x:c r="I224" s="20"/>
    </x:row>
    <x:row r="225">
      <x:c r="I225" s="20"/>
    </x:row>
    <x:row r="226">
      <x:c r="I226" s="20"/>
    </x:row>
    <x:row r="227">
      <x:c r="I227" s="20"/>
    </x:row>
    <x:row r="228">
      <x:c r="I228" s="20"/>
    </x:row>
    <x:row r="229">
      <x:c r="I229" s="20"/>
    </x:row>
    <x:row r="230">
      <x:c r="I230" s="20"/>
    </x:row>
    <x:row r="231">
      <x:c r="I231" s="20"/>
    </x:row>
    <x:row r="232">
      <x:c r="I232" s="20"/>
    </x:row>
    <x:row r="233">
      <x:c r="I233" s="20"/>
    </x:row>
    <x:row r="234">
      <x:c r="I234" s="20"/>
    </x:row>
    <x:row r="235">
      <x:c r="I235" s="20"/>
    </x:row>
    <x:row r="236">
      <x:c r="I236" s="20"/>
    </x:row>
    <x:row r="237">
      <x:c r="I237" s="20"/>
    </x:row>
    <x:row r="238">
      <x:c r="I238" s="20"/>
    </x:row>
    <x:row r="239">
      <x:c r="I239" s="20"/>
    </x:row>
    <x:row r="240">
      <x:c r="I240" s="20"/>
    </x:row>
    <x:row r="241">
      <x:c r="I241" s="20"/>
    </x:row>
    <x:row r="242">
      <x:c r="I242" s="20"/>
    </x:row>
    <x:row r="243">
      <x:c r="I243" s="20"/>
    </x:row>
    <x:row r="244">
      <x:c r="I244" s="20"/>
    </x:row>
    <x:row r="245">
      <x:c r="I245" s="20"/>
    </x:row>
    <x:row r="246">
      <x:c r="I246" s="20"/>
    </x:row>
    <x:row r="247">
      <x:c r="I247" s="20"/>
    </x:row>
    <x:row r="248">
      <x:c r="I248" s="20"/>
    </x:row>
    <x:row r="249">
      <x:c r="I249" s="20"/>
    </x:row>
    <x:row r="250">
      <x:c r="I250" s="20"/>
    </x:row>
    <x:row r="251">
      <x:c r="I251" s="20"/>
    </x:row>
    <x:row r="252">
      <x:c r="I252" s="20"/>
    </x:row>
    <x:row r="253">
      <x:c r="I253" s="20"/>
    </x:row>
    <x:row r="254">
      <x:c r="I254" s="20"/>
    </x:row>
    <x:row r="255">
      <x:c r="I255" s="20"/>
    </x:row>
    <x:row r="256">
      <x:c r="I256" s="20"/>
    </x:row>
    <x:row r="257">
      <x:c r="I257" s="20"/>
    </x:row>
    <x:row r="258">
      <x:c r="I258" s="20"/>
    </x:row>
    <x:row r="259">
      <x:c r="I259" s="20"/>
    </x:row>
    <x:row r="260">
      <x:c r="I260" s="20"/>
    </x:row>
    <x:row r="261">
      <x:c r="I261" s="20"/>
    </x:row>
    <x:row r="262">
      <x:c r="I262" s="20"/>
    </x:row>
    <x:row r="263">
      <x:c r="I263" s="20"/>
    </x:row>
    <x:row r="264">
      <x:c r="I264" s="20"/>
    </x:row>
    <x:row r="265">
      <x:c r="I265" s="20"/>
    </x:row>
    <x:row r="266">
      <x:c r="I266" s="20"/>
    </x:row>
    <x:row r="267">
      <x:c r="I267" s="20"/>
    </x:row>
    <x:row r="268">
      <x:c r="I268" s="20"/>
    </x:row>
    <x:row r="269">
      <x:c r="I269" s="20"/>
    </x:row>
    <x:row r="270">
      <x:c r="I270" s="20"/>
    </x:row>
    <x:row r="271">
      <x:c r="I271" s="20"/>
    </x:row>
    <x:row r="272">
      <x:c r="I272" s="20"/>
    </x:row>
    <x:row r="273">
      <x:c r="I273" s="20"/>
    </x:row>
    <x:row r="274">
      <x:c r="I274" s="20"/>
    </x:row>
    <x:row r="275">
      <x:c r="I275" s="20"/>
    </x:row>
    <x:row r="276">
      <x:c r="I276" s="20"/>
    </x:row>
    <x:row r="277">
      <x:c r="I277" s="20"/>
    </x:row>
    <x:row r="278">
      <x:c r="I278" s="20"/>
    </x:row>
    <x:row r="279">
      <x:c r="I279" s="20"/>
    </x:row>
    <x:row r="280">
      <x:c r="I280" s="20"/>
    </x:row>
    <x:row r="281">
      <x:c r="I281" s="20"/>
    </x:row>
    <x:row r="282">
      <x:c r="I282" s="20"/>
    </x:row>
    <x:row r="283">
      <x:c r="I283" s="20"/>
    </x:row>
    <x:row r="284">
      <x:c r="I284" s="20"/>
    </x:row>
    <x:row r="285">
      <x:c r="I285" s="20"/>
    </x:row>
    <x:row r="286">
      <x:c r="I286" s="20"/>
    </x:row>
    <x:row r="287">
      <x:c r="I287" s="20"/>
    </x:row>
    <x:row r="288">
      <x:c r="I288" s="20"/>
    </x:row>
    <x:row r="289">
      <x:c r="I289" s="20"/>
    </x:row>
    <x:row r="290">
      <x:c r="I290" s="20"/>
    </x:row>
    <x:row r="291">
      <x:c r="I291" s="20"/>
    </x:row>
    <x:row r="292">
      <x:c r="I292" s="20"/>
    </x:row>
    <x:row r="293">
      <x:c r="I293" s="20"/>
    </x:row>
    <x:row r="294">
      <x:c r="I294" s="20"/>
    </x:row>
    <x:row r="295">
      <x:c r="I295" s="20"/>
    </x:row>
    <x:row r="296">
      <x:c r="I296" s="20"/>
    </x:row>
    <x:row r="297">
      <x:c r="I297" s="20"/>
    </x:row>
    <x:row r="298">
      <x:c r="I298" s="20"/>
    </x:row>
    <x:row r="299">
      <x:c r="I299" s="20"/>
    </x:row>
    <x:row r="300">
      <x:c r="I300" s="20"/>
    </x:row>
    <x:row r="301">
      <x:c r="I301" s="20"/>
    </x:row>
    <x:row r="302">
      <x:c r="I302" s="20"/>
    </x:row>
    <x:row r="303">
      <x:c r="I303" s="20"/>
    </x:row>
  </x:sheetData>
  <x:mergeCells>
    <x:mergeCell ref="A1:J1"/>
  </x:mergeCells>
  <x:dataValidations count="3">
    <x:dataValidation type="list" sqref="E4:E303">
      <x:formula1>"Low,Moderate,High,Critical"</x:formula1>
    </x:dataValidation>
    <x:dataValidation type="list" sqref="F4:F303">
      <x:formula1>"Low,Medium,High,Critical"</x:formula1>
    </x:dataValidation>
    <x:dataValidation type="list" sqref="J4:J303">
      <x:formula1>"Not Started,Planned,In Progress,Operational,Needs Improvement,Needs Review,Complete,Current,Due,Incomplete,Scheduled"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2f05b289c5e47a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</x:cols>
  <x:sheetData>
    <x:row r="1">
      <x:c r="A1" s="5" t="str">
        <x:v>Reference Notes</x:v>
      </x:c>
      <x:c r="B1" s="5"/>
      <x:c r="C1" s="5"/>
      <x:c r="D1" s="5"/>
    </x:row>
    <x:row r="3">
      <x:c r="A3" s="14" t="str">
        <x:v>Framework</x:v>
      </x:c>
      <x:c r="B3" s="14" t="str">
        <x:v>Use in this Workbook</x:v>
      </x:c>
      <x:c r="C3" s="14" t="str">
        <x:v>Important Note</x:v>
      </x:c>
      <x:c r="D3" s="14" t="str">
        <x:v>Official Source</x:v>
      </x:c>
    </x:row>
    <x:row r="4">
      <x:c r="A4" s="22" t="str">
        <x:v>NIST CSF 2.0</x:v>
      </x:c>
      <x:c r="B4" s="22" t="str">
        <x:v>Function and outcome-level planning</x:v>
      </x:c>
      <x:c r="C4" s="22" t="str">
        <x:v>Use official NIST publications for authoritative language</x:v>
      </x:c>
      <x:c r="D4" s="22" t="str">
        <x:v>https://www.nist.gov/cyberframework</x:v>
      </x:c>
    </x:row>
    <x:row r="5">
      <x:c r="A5" s="22" t="str">
        <x:v>ISO/IEC 27001</x:v>
      </x:c>
      <x:c r="B5" s="22" t="str">
        <x:v>High-level ISMS and control-theme mapping</x:v>
      </x:c>
      <x:c r="C5" s="22" t="str">
        <x:v>ISO standards are copyrighted; obtain licensed copies for authoritative requirements</x:v>
      </x:c>
      <x:c r="D5" s="22" t="str">
        <x:v>https://www.iso.org/standard/27001</x:v>
      </x:c>
    </x:row>
    <x:row r="6">
      <x:c r="A6" s="22" t="str">
        <x:v>ISO/IEC 27701</x:v>
      </x:c>
      <x:c r="B6" s="22" t="str">
        <x:v>High-level privacy-management mapping</x:v>
      </x:c>
      <x:c r="C6" s="22" t="str">
        <x:v>Use a licensed copy for authoritative requirements</x:v>
      </x:c>
      <x:c r="D6" s="22" t="str">
        <x:v>https://www.iso.org/standard/71670.html</x:v>
      </x:c>
    </x:row>
    <x:row r="7">
      <x:c r="A7" s="22" t="str">
        <x:v>CIS Controls v8</x:v>
      </x:c>
      <x:c r="B7" s="22" t="str">
        <x:v>Control-level implementation planning</x:v>
      </x:c>
      <x:c r="C7" s="22" t="str">
        <x:v>Consult the official CIS Controls documentation</x:v>
      </x:c>
      <x:c r="D7" s="22" t="str">
        <x:v>https://www.cisecurity.org/controls/v8</x:v>
      </x:c>
    </x:row>
    <x:row r="8">
      <x:c r="A8" s="22" t="str">
        <x:v>NIST SP 800-53</x:v>
      </x:c>
      <x:c r="B8" s="22" t="str">
        <x:v>Control-family mapping</x:v>
      </x:c>
      <x:c r="C8" s="22" t="str">
        <x:v>Use official NIST publication for detailed controls</x:v>
      </x:c>
      <x:c r="D8" s="22" t="str">
        <x:v>https://csrc.nist.gov/pubs/sp/800/53/r5/upd1/final</x:v>
      </x:c>
    </x:row>
    <x:row r="9">
      <x:c r="A9" s="22" t="str">
        <x:v>PCI DSS</x:v>
      </x:c>
      <x:c r="B9" s="22" t="str">
        <x:v>Theme-level mapping</x:v>
      </x:c>
      <x:c r="C9" s="22" t="str">
        <x:v>Use current official PCI SSC materials for requirements</x:v>
      </x:c>
      <x:c r="D9" s="22" t="str">
        <x:v>https://www.pcisecuritystandards.org/</x:v>
      </x:c>
    </x:row>
    <x:row r="10">
      <x:c r="A10" s="22" t="str">
        <x:v>HIPAA Security Rule</x:v>
      </x:c>
      <x:c r="B10" s="22" t="str">
        <x:v>Safeguard-theme mapping</x:v>
      </x:c>
      <x:c r="C10" s="22" t="str">
        <x:v>Consult current HHS regulations and guidance</x:v>
      </x:c>
      <x:c r="D10" s="22" t="str">
        <x:v>https://www.hhs.gov/hipaa/for-professionals/security/</x:v>
      </x:c>
    </x:row>
    <x:row r="11">
      <x:c r="A11" s="22"/>
      <x:c r="B11" s="22"/>
      <x:c r="C11" s="22"/>
      <x:c r="D11" s="22"/>
    </x:row>
    <x:row r="12">
      <x:c r="A12" s="22"/>
      <x:c r="B12" s="22"/>
      <x:c r="C12" s="22"/>
      <x:c r="D12" s="22"/>
    </x:row>
    <x:row r="13">
      <x:c r="A13" s="22"/>
      <x:c r="B13" s="22"/>
      <x:c r="C13" s="22"/>
      <x:c r="D13" s="22"/>
    </x:row>
    <x:row r="14">
      <x:c r="A14" s="22"/>
      <x:c r="B14" s="22"/>
      <x:c r="C14" s="22"/>
      <x:c r="D14" s="22"/>
    </x:row>
    <x:row r="15">
      <x:c r="A15" s="22"/>
      <x:c r="B15" s="22"/>
      <x:c r="C15" s="22"/>
      <x:c r="D15" s="22"/>
    </x:row>
    <x:row r="16">
      <x:c r="A16" s="22"/>
      <x:c r="B16" s="22"/>
      <x:c r="C16" s="22"/>
      <x:c r="D16" s="22"/>
    </x:row>
    <x:row r="17">
      <x:c r="A17" s="22"/>
      <x:c r="B17" s="22"/>
      <x:c r="C17" s="22"/>
      <x:c r="D17" s="22"/>
    </x:row>
    <x:row r="18">
      <x:c r="A18" s="22"/>
      <x:c r="B18" s="22"/>
      <x:c r="C18" s="22"/>
      <x:c r="D18" s="22"/>
    </x:row>
    <x:row r="19">
      <x:c r="A19" s="22"/>
      <x:c r="B19" s="22"/>
      <x:c r="C19" s="22"/>
      <x:c r="D19" s="22"/>
    </x:row>
    <x:row r="20">
      <x:c r="A20" s="22"/>
      <x:c r="B20" s="22"/>
      <x:c r="C20" s="22"/>
      <x:c r="D20" s="22"/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0ec9997981574c6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0" hidden="0" customWidth="1"/>
  </x:cols>
  <x:sheetData>
    <x:row r="1">
      <x:c r="A1" s="5" t="str">
        <x:v>Enterprise Compliance Crosswalk - Instructions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Step</x:v>
      </x:c>
      <x:c r="B3" s="14" t="str">
        <x:v>Guidance</x:v>
      </x:c>
    </x:row>
    <x:row r="4">
      <x:c r="A4" s="22" t="n">
        <x:v>1</x:v>
      </x:c>
      <x:c r="B4" s="22" t="str">
        <x:v>Replace the fictional sample rows with organization-specific information.</x:v>
      </x:c>
    </x:row>
    <x:row r="5">
      <x:c r="A5" s="22" t="n">
        <x:v>2</x:v>
      </x:c>
      <x:c r="B5" s="22" t="str">
        <x:v>Assign accountable owners and target dates.</x:v>
      </x:c>
    </x:row>
    <x:row r="6">
      <x:c r="A6" s="22" t="n">
        <x:v>3</x:v>
      </x:c>
      <x:c r="B6" s="22" t="str">
        <x:v>Use the Dashboard to monitor records and improvement activity.</x:v>
      </x:c>
    </x:row>
    <x:row r="7">
      <x:c r="A7" s="22" t="n">
        <x:v>4</x:v>
      </x:c>
      <x:c r="B7" s="22" t="str">
        <x:v>Store supporting evidence in an approved repository and reference it in the workbook.</x:v>
      </x:c>
    </x:row>
    <x:row r="8">
      <x:c r="A8" s="22" t="n">
        <x:v>5</x:v>
      </x:c>
      <x:c r="B8" s="22" t="str">
        <x:v>Validate legal, regulatory, contractual, and standard requirements using authoritative sources.</x:v>
      </x:c>
    </x:row>
    <x:row r="9">
      <x:c r="A9" s="22" t="n">
        <x:v>6</x:v>
      </x:c>
      <x:c r="B9" s="22" t="str">
        <x:v>Review the workbook on a defined cadence and record approvals outside the workbook where required.</x:v>
      </x:c>
    </x:row>
  </x:sheetData>
  <x:mergeCells>
    <x:mergeCell ref="A1:H1"/>
  </x:mergeCells>
  <x:pageMargins left="0.7" right="0.7" top="0.75" bottom="0.75" header="0.3" footer="0.3"/>
</x:worksheet>
</file>