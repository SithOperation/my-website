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e17affe88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bdc528e12374c78"/>
    <x:sheet xmlns:r="http://schemas.openxmlformats.org/officeDocument/2006/relationships" name="System Inventory" sheetId="2" r:id="R1837dc89928b4c9e"/>
    <x:sheet xmlns:r="http://schemas.openxmlformats.org/officeDocument/2006/relationships" name="Data Flows" sheetId="3" r:id="R6d80ce9377c64a82"/>
    <x:sheet xmlns:r="http://schemas.openxmlformats.org/officeDocument/2006/relationships" name="Threat Register" sheetId="4" r:id="R7771c6cfcf97440f"/>
    <x:sheet xmlns:r="http://schemas.openxmlformats.org/officeDocument/2006/relationships" name="Mitigation Tracker" sheetId="5" r:id="R0bd26985ca8e42ff"/>
    <x:sheet xmlns:r="http://schemas.openxmlformats.org/officeDocument/2006/relationships" name="Threat Library" sheetId="6" r:id="R527a243d3fda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6489ee3af438d" /><Relationship Type="http://schemas.openxmlformats.org/officeDocument/2006/relationships/theme" Target="/xl/theme/theme1.xml" Id="R843705cf3cde4840" /><Relationship Type="http://schemas.openxmlformats.org/officeDocument/2006/relationships/sharedStrings" Target="/xl/sharedStrings.xml" Id="Rd5ec00e1f9ab4d42" /><Relationship Type="http://schemas.openxmlformats.org/officeDocument/2006/relationships/worksheet" Target="/xl/worksheets/sheet1.xml" Id="R2bdc528e12374c78" /><Relationship Type="http://schemas.openxmlformats.org/officeDocument/2006/relationships/worksheet" Target="/xl/worksheets/sheet2.xml" Id="R1837dc89928b4c9e" /><Relationship Type="http://schemas.openxmlformats.org/officeDocument/2006/relationships/worksheet" Target="/xl/worksheets/sheet3.xml" Id="R6d80ce9377c64a82" /><Relationship Type="http://schemas.openxmlformats.org/officeDocument/2006/relationships/worksheet" Target="/xl/worksheets/sheet4.xml" Id="R7771c6cfcf97440f" /><Relationship Type="http://schemas.openxmlformats.org/officeDocument/2006/relationships/worksheet" Target="/xl/worksheets/sheet5.xml" Id="R0bd26985ca8e42ff" /><Relationship Type="http://schemas.openxmlformats.org/officeDocument/2006/relationships/worksheet" Target="/xl/worksheets/sheet6.xml" Id="R527a243d3fda47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26752f00d046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Threats by STRIDE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Threat Count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26752f00d0463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bd3f4dc1f34b1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25" hidden="0" customWidth="1"/>
    <x:col min="5" max="5" width="14" hidden="0" customWidth="1"/>
  </x:cols>
  <x:sheetData>
    <x:row r="1">
      <x:c r="A1" s="4" t="str">
        <x:v>STRIDE Threat Modeling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STRIDE Category</x:v>
      </x:c>
      <x:c r="E3" s="12" t="str">
        <x:v>Threat Count</x:v>
      </x:c>
    </x:row>
    <x:row r="4">
      <x:c r="A4" t="str">
        <x:v>Components</x:v>
      </x:c>
      <x:c r="B4" t="n">
        <x:f>COUNTIF('System Inventory'!A4:A203,"&lt;&gt;")</x:f>
        <x:v>5</x:v>
      </x:c>
      <x:c r="D4" t="str">
        <x:v>Spoofing</x:v>
      </x:c>
      <x:c r="E4" t="n">
        <x:f>COUNTIF('Threat Register'!C4:C303,D4)</x:f>
        <x:v>1</x:v>
      </x:c>
    </x:row>
    <x:row r="5">
      <x:c r="A5" t="str">
        <x:v>Data Flows</x:v>
      </x:c>
      <x:c r="B5" t="n">
        <x:f>COUNTIF('Data Flows'!A4:A303,"&lt;&gt;")</x:f>
        <x:v>5</x:v>
      </x:c>
      <x:c r="D5" t="str">
        <x:v>Tampering</x:v>
      </x:c>
      <x:c r="E5" t="n">
        <x:f>COUNTIF('Threat Register'!C4:C303,D5)</x:f>
        <x:v>2</x:v>
      </x:c>
    </x:row>
    <x:row r="6">
      <x:c r="A6" t="str">
        <x:v>Threats</x:v>
      </x:c>
      <x:c r="B6" t="n">
        <x:f>COUNTIF('Threat Register'!A4:A303,"&lt;&gt;")</x:f>
        <x:v>7</x:v>
      </x:c>
      <x:c r="D6" t="str">
        <x:v>Repudiation</x:v>
      </x:c>
      <x:c r="E6" t="n">
        <x:f>COUNTIF('Threat Register'!C4:C303,D6)</x:f>
        <x:v>1</x:v>
      </x:c>
    </x:row>
    <x:row r="7">
      <x:c r="A7" t="str">
        <x:v>Critical Threats</x:v>
      </x:c>
      <x:c r="B7" t="n">
        <x:f>COUNTIF('Threat Register'!J4:J303,"Critical")</x:f>
        <x:v>0</x:v>
      </x:c>
      <x:c r="D7" t="str">
        <x:v>Information Disclosure</x:v>
      </x:c>
      <x:c r="E7" t="n">
        <x:f>COUNTIF('Threat Register'!C4:C303,D7)</x:f>
        <x:v>1</x:v>
      </x:c>
    </x:row>
    <x:row r="8">
      <x:c r="A8" t="str">
        <x:v>High Threats</x:v>
      </x:c>
      <x:c r="B8" t="n">
        <x:f>COUNTIF('Threat Register'!J4:J303,"High")</x:f>
        <x:v>4</x:v>
      </x:c>
      <x:c r="D8" t="str">
        <x:v>Denial of Service</x:v>
      </x:c>
      <x:c r="E8" t="n">
        <x:f>COUNTIF('Threat Register'!C4:C303,D8)</x:f>
        <x:v>1</x:v>
      </x:c>
    </x:row>
    <x:row r="9">
      <x:c r="A9" t="str">
        <x:v>Open Mitigations</x:v>
      </x:c>
      <x:c r="B9" t="n">
        <x:f>COUNTIF('Mitigation Tracker'!G4:G303,"Not Started")+COUNTIF('Mitigation Tracker'!G4:G303,"Planned")+COUNTIF('Mitigation Tracker'!G4:G303,"In Progress")+COUNTIF('Mitigation Tracker'!G4:G303,"Blocked")</x:f>
        <x:v>5</x:v>
      </x:c>
      <x:c r="D9" t="str">
        <x:v>Elevation of Privilege</x:v>
      </x:c>
      <x:c r="E9" t="n">
        <x:f>COUNTIF('Threat Register'!C4:C303,D9)</x:f>
        <x:v>1</x:v>
      </x:c>
    </x:row>
    <x:row r="10">
      <x:c r="A10" t="str">
        <x:v>Completed Mitigations</x:v>
      </x:c>
      <x:c r="B10" t="n">
        <x:f>COUNTIF('Mitigation Tracker'!G4:G303,"Complete")</x:f>
        <x:v>0</x:v>
      </x:c>
    </x:row>
    <x:row r="11">
      <x:c r="A11" t="str">
        <x:v>Trust Boundary Flows</x:v>
      </x:c>
      <x:c r="B11" t="n">
        <x:f>COUNTIF('Data Flows'!H4:H303,"Yes")</x:f>
        <x:v>5</x:v>
      </x:c>
    </x:row>
    <x:row r="12">
      <x:c r="A12" t="str">
        <x:v>Internet-Exposed Components</x:v>
      </x:c>
      <x:c r="B12" t="n">
        <x:f>COUNTIF('System Inventory'!J4:J203,"Yes")</x:f>
        <x:v>3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adbd3f4dc1f34b1a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3" hidden="0" customWidth="1"/>
    <x:col min="8" max="8" width="18" hidden="0" customWidth="1"/>
    <x:col min="9" max="9" width="22" hidden="0" customWidth="1"/>
    <x:col min="10" max="10" width="15" hidden="0" customWidth="1"/>
    <x:col min="11" max="11" width="30" hidden="0" customWidth="1"/>
  </x:cols>
  <x:sheetData>
    <x:row r="1">
      <x:c r="A1" s="4" t="str">
        <x:v>System and Component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Component ID</x:v>
      </x:c>
      <x:c r="B3" s="12" t="str">
        <x:v>System / Component</x:v>
      </x:c>
      <x:c r="C3" s="12" t="str">
        <x:v>Type</x:v>
      </x:c>
      <x:c r="D3" s="12" t="str">
        <x:v>Business Owner</x:v>
      </x:c>
      <x:c r="E3" s="12" t="str">
        <x:v>Technical Owner</x:v>
      </x:c>
      <x:c r="F3" s="12" t="str">
        <x:v>Trust Zone</x:v>
      </x:c>
      <x:c r="G3" s="12" t="str">
        <x:v>Criticality</x:v>
      </x:c>
      <x:c r="H3" s="12" t="str">
        <x:v>Data Classification</x:v>
      </x:c>
      <x:c r="I3" s="12" t="str">
        <x:v>Authentication</x:v>
      </x:c>
      <x:c r="J3" s="12" t="str">
        <x:v>Internet Exposed</x:v>
      </x:c>
      <x:c r="K3" s="12" t="str">
        <x:v>Notes</x:v>
      </x:c>
    </x:row>
    <x:row r="4">
      <x:c r="A4" s="18" t="str">
        <x:v>CMP-001</x:v>
      </x:c>
      <x:c r="B4" s="18" t="str">
        <x:v>Customer Portal</x:v>
      </x:c>
      <x:c r="C4" s="18" t="str">
        <x:v>Web Application</x:v>
      </x:c>
      <x:c r="D4" s="18" t="str">
        <x:v>Sales Director</x:v>
      </x:c>
      <x:c r="E4" s="18" t="str">
        <x:v>App Owner</x:v>
      </x:c>
      <x:c r="F4" s="18" t="str">
        <x:v>DMZ</x:v>
      </x:c>
      <x:c r="G4" s="18" t="str">
        <x:v>High</x:v>
      </x:c>
      <x:c r="H4" s="18" t="str">
        <x:v>Confidential</x:v>
      </x:c>
      <x:c r="I4" s="18" t="str">
        <x:v>OIDC + MFA</x:v>
      </x:c>
      <x:c r="J4" s="18" t="str">
        <x:v>Yes</x:v>
      </x:c>
      <x:c r="K4" s="18" t="str">
        <x:v>Public-facing</x:v>
      </x:c>
    </x:row>
    <x:row r="5">
      <x:c r="A5" s="18" t="str">
        <x:v>CMP-002</x:v>
      </x:c>
      <x:c r="B5" s="18" t="str">
        <x:v>Identity Provider</x:v>
      </x:c>
      <x:c r="C5" s="18" t="str">
        <x:v>Identity Service</x:v>
      </x:c>
      <x:c r="D5" s="18" t="str">
        <x:v>CIO</x:v>
      </x:c>
      <x:c r="E5" s="18" t="str">
        <x:v>IAM Lead</x:v>
      </x:c>
      <x:c r="F5" s="18" t="str">
        <x:v>Trusted Services</x:v>
      </x:c>
      <x:c r="G5" s="18" t="str">
        <x:v>Critical</x:v>
      </x:c>
      <x:c r="H5" s="18" t="str">
        <x:v>Restricted</x:v>
      </x:c>
      <x:c r="I5" s="18" t="str">
        <x:v>MFA</x:v>
      </x:c>
      <x:c r="J5" s="18" t="str">
        <x:v>Yes</x:v>
      </x:c>
      <x:c r="K5" s="18" t="str">
        <x:v>Central authentication</x:v>
      </x:c>
    </x:row>
    <x:row r="6">
      <x:c r="A6" s="18" t="str">
        <x:v>CMP-003</x:v>
      </x:c>
      <x:c r="B6" s="18" t="str">
        <x:v>Customer Database</x:v>
      </x:c>
      <x:c r="C6" s="18" t="str">
        <x:v>Database</x:v>
      </x:c>
      <x:c r="D6" s="18" t="str">
        <x:v>Sales Director</x:v>
      </x:c>
      <x:c r="E6" s="18" t="str">
        <x:v>DBA Lead</x:v>
      </x:c>
      <x:c r="F6" s="18" t="str">
        <x:v>Data Zone</x:v>
      </x:c>
      <x:c r="G6" s="18" t="str">
        <x:v>Critical</x:v>
      </x:c>
      <x:c r="H6" s="18" t="str">
        <x:v>Restricted</x:v>
      </x:c>
      <x:c r="I6" s="18" t="str">
        <x:v>Service identity</x:v>
      </x:c>
      <x:c r="J6" s="18" t="str">
        <x:v>No</x:v>
      </x:c>
      <x:c r="K6" s="18" t="str">
        <x:v>Stores customer records</x:v>
      </x:c>
    </x:row>
    <x:row r="7">
      <x:c r="A7" s="18" t="str">
        <x:v>CMP-004</x:v>
      </x:c>
      <x:c r="B7" s="18" t="str">
        <x:v>Payment API</x:v>
      </x:c>
      <x:c r="C7" s="18" t="str">
        <x:v>API</x:v>
      </x:c>
      <x:c r="D7" s="18" t="str">
        <x:v>Finance Director</x:v>
      </x:c>
      <x:c r="E7" s="18" t="str">
        <x:v>Integration Lead</x:v>
      </x:c>
      <x:c r="F7" s="18" t="str">
        <x:v>Application Zone</x:v>
      </x:c>
      <x:c r="G7" s="18" t="str">
        <x:v>Critical</x:v>
      </x:c>
      <x:c r="H7" s="18" t="str">
        <x:v>Restricted</x:v>
      </x:c>
      <x:c r="I7" s="18" t="str">
        <x:v>mTLS + token</x:v>
      </x:c>
      <x:c r="J7" s="18" t="str">
        <x:v>Yes</x:v>
      </x:c>
      <x:c r="K7" s="18" t="str">
        <x:v>External partner integration</x:v>
      </x:c>
    </x:row>
    <x:row r="8">
      <x:c r="A8" s="18" t="str">
        <x:v>CMP-005</x:v>
      </x:c>
      <x:c r="B8" s="18" t="str">
        <x:v>Security Logging</x:v>
      </x:c>
      <x:c r="C8" s="18" t="str">
        <x:v>Logging Service</x:v>
      </x:c>
      <x:c r="D8" s="18" t="str">
        <x:v>CISO</x:v>
      </x:c>
      <x:c r="E8" s="18" t="str">
        <x:v>SOC Lead</x:v>
      </x:c>
      <x:c r="F8" s="18" t="str">
        <x:v>Management Zone</x:v>
      </x:c>
      <x:c r="G8" s="18" t="str">
        <x:v>High</x:v>
      </x:c>
      <x:c r="H8" s="18" t="str">
        <x:v>Confidential</x:v>
      </x:c>
      <x:c r="I8" s="18" t="str">
        <x:v>SSO + MFA</x:v>
      </x:c>
      <x:c r="J8" s="18" t="str">
        <x:v>No</x:v>
      </x:c>
      <x:c r="K8" s="18" t="str">
        <x:v>Central audit repository</x:v>
      </x:c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</x:row>
  </x:sheetData>
  <x:mergeCells>
    <x:mergeCell ref="A1:K1"/>
  </x:mergeCells>
  <x:dataValidations count="4">
    <x:dataValidation type="list" sqref="C4:C203">
      <x:formula1>"Web Application,API,Database,Identity Service,Logging Service,Endpoint,Network Device,Cloud Service,Other"</x:formula1>
    </x:dataValidation>
    <x:dataValidation type="list" sqref="G4:G203">
      <x:formula1>"Low,Moderate,High,Critical"</x:formula1>
    </x:dataValidation>
    <x:dataValidation type="list" sqref="H4:H203">
      <x:formula1>"Public,Internal,Confidential,Restricted"</x:formula1>
    </x:dataValidation>
    <x:dataValidation type="list" sqref="J4:J203">
      <x:formula1>"Yes,No,Unknown"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8" hidden="0" customWidth="1"/>
    <x:col min="5" max="5" width="22" hidden="0" customWidth="1"/>
    <x:col min="6" max="6" width="22" hidden="0" customWidth="1"/>
    <x:col min="7" max="7" width="18" hidden="0" customWidth="1"/>
    <x:col min="8" max="8" width="20" hidden="0" customWidth="1"/>
    <x:col min="9" max="9" width="22" hidden="0" customWidth="1"/>
    <x:col min="10" max="10" width="20" hidden="0" customWidth="1"/>
    <x:col min="11" max="11" width="13" hidden="0" customWidth="1"/>
    <x:col min="12" max="12" width="30" hidden="0" customWidth="1"/>
  </x:cols>
  <x:sheetData>
    <x:row r="1">
      <x:c r="A1" s="4" t="str">
        <x:v>Data Flow and Trust Boundary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Flow ID</x:v>
      </x:c>
      <x:c r="B3" s="12" t="str">
        <x:v>Source</x:v>
      </x:c>
      <x:c r="C3" s="12" t="str">
        <x:v>Destination</x:v>
      </x:c>
      <x:c r="D3" s="12" t="str">
        <x:v>Data</x:v>
      </x:c>
      <x:c r="E3" s="12" t="str">
        <x:v>Protocol / Method</x:v>
      </x:c>
      <x:c r="F3" s="12" t="str">
        <x:v>Authentication</x:v>
      </x:c>
      <x:c r="G3" s="12" t="str">
        <x:v>Encryption</x:v>
      </x:c>
      <x:c r="H3" s="12" t="str">
        <x:v>Trust Boundary Crossing</x:v>
      </x:c>
      <x:c r="I3" s="12" t="str">
        <x:v>Input Validation</x:v>
      </x:c>
      <x:c r="J3" s="12" t="str">
        <x:v>Logging</x:v>
      </x:c>
      <x:c r="K3" s="12" t="str">
        <x:v>Criticality</x:v>
      </x:c>
      <x:c r="L3" s="12" t="str">
        <x:v>Notes</x:v>
      </x:c>
    </x:row>
    <x:row r="4">
      <x:c r="A4" s="18" t="str">
        <x:v>DF-001</x:v>
      </x:c>
      <x:c r="B4" s="18" t="str">
        <x:v>Customer Browser</x:v>
      </x:c>
      <x:c r="C4" s="18" t="str">
        <x:v>Customer Portal</x:v>
      </x:c>
      <x:c r="D4" s="18" t="str">
        <x:v>Credentials and requests</x:v>
      </x:c>
      <x:c r="E4" s="18" t="str">
        <x:v>HTTPS</x:v>
      </x:c>
      <x:c r="F4" s="18" t="str">
        <x:v>OIDC</x:v>
      </x:c>
      <x:c r="G4" s="18" t="str">
        <x:v>TLS 1.3</x:v>
      </x:c>
      <x:c r="H4" s="18" t="str">
        <x:v>Yes</x:v>
      </x:c>
      <x:c r="I4" s="18" t="str">
        <x:v>Server-side validation</x:v>
      </x:c>
      <x:c r="J4" s="18" t="str">
        <x:v>WAF + app logs</x:v>
      </x:c>
      <x:c r="K4" s="18" t="str">
        <x:v>High</x:v>
      </x:c>
      <x:c r="L4" s="18" t="str"/>
    </x:row>
    <x:row r="5">
      <x:c r="A5" s="18" t="str">
        <x:v>DF-002</x:v>
      </x:c>
      <x:c r="B5" s="18" t="str">
        <x:v>Customer Portal</x:v>
      </x:c>
      <x:c r="C5" s="18" t="str">
        <x:v>Identity Provider</x:v>
      </x:c>
      <x:c r="D5" s="18" t="str">
        <x:v>Authentication request</x:v>
      </x:c>
      <x:c r="E5" s="18" t="str">
        <x:v>OIDC</x:v>
      </x:c>
      <x:c r="F5" s="18" t="str">
        <x:v>Client authentication</x:v>
      </x:c>
      <x:c r="G5" s="18" t="str">
        <x:v>TLS 1.3</x:v>
      </x:c>
      <x:c r="H5" s="18" t="str">
        <x:v>Yes</x:v>
      </x:c>
      <x:c r="I5" s="18" t="str">
        <x:v>Protocol validation</x:v>
      </x:c>
      <x:c r="J5" s="18" t="str">
        <x:v>IdP logs</x:v>
      </x:c>
      <x:c r="K5" s="18" t="str">
        <x:v>Critical</x:v>
      </x:c>
      <x:c r="L5" s="18" t="str"/>
    </x:row>
    <x:row r="6">
      <x:c r="A6" s="18" t="str">
        <x:v>DF-003</x:v>
      </x:c>
      <x:c r="B6" s="18" t="str">
        <x:v>Customer Portal</x:v>
      </x:c>
      <x:c r="C6" s="18" t="str">
        <x:v>Customer Database</x:v>
      </x:c>
      <x:c r="D6" s="18" t="str">
        <x:v>Customer records</x:v>
      </x:c>
      <x:c r="E6" s="18" t="str">
        <x:v>Database protocol</x:v>
      </x:c>
      <x:c r="F6" s="18" t="str">
        <x:v>Service identity</x:v>
      </x:c>
      <x:c r="G6" s="18" t="str">
        <x:v>Encrypted channel</x:v>
      </x:c>
      <x:c r="H6" s="18" t="str">
        <x:v>Yes</x:v>
      </x:c>
      <x:c r="I6" s="18" t="str">
        <x:v>Parameterized queries</x:v>
      </x:c>
      <x:c r="J6" s="18" t="str">
        <x:v>Database audit logs</x:v>
      </x:c>
      <x:c r="K6" s="18" t="str">
        <x:v>Critical</x:v>
      </x:c>
      <x:c r="L6" s="18" t="str"/>
    </x:row>
    <x:row r="7">
      <x:c r="A7" s="18" t="str">
        <x:v>DF-004</x:v>
      </x:c>
      <x:c r="B7" s="18" t="str">
        <x:v>Customer Portal</x:v>
      </x:c>
      <x:c r="C7" s="18" t="str">
        <x:v>Payment API</x:v>
      </x:c>
      <x:c r="D7" s="18" t="str">
        <x:v>Payment request</x:v>
      </x:c>
      <x:c r="E7" s="18" t="str">
        <x:v>HTTPS API</x:v>
      </x:c>
      <x:c r="F7" s="18" t="str">
        <x:v>mTLS + token</x:v>
      </x:c>
      <x:c r="G7" s="18" t="str">
        <x:v>TLS 1.3</x:v>
      </x:c>
      <x:c r="H7" s="18" t="str">
        <x:v>Yes</x:v>
      </x:c>
      <x:c r="I7" s="18" t="str">
        <x:v>Schema validation</x:v>
      </x:c>
      <x:c r="J7" s="18" t="str">
        <x:v>API gateway logs</x:v>
      </x:c>
      <x:c r="K7" s="18" t="str">
        <x:v>Critical</x:v>
      </x:c>
      <x:c r="L7" s="18" t="str"/>
    </x:row>
    <x:row r="8">
      <x:c r="A8" s="18" t="str">
        <x:v>DF-005</x:v>
      </x:c>
      <x:c r="B8" s="18" t="str">
        <x:v>All components</x:v>
      </x:c>
      <x:c r="C8" s="18" t="str">
        <x:v>Security Logging</x:v>
      </x:c>
      <x:c r="D8" s="18" t="str">
        <x:v>Security events</x:v>
      </x:c>
      <x:c r="E8" s="18" t="str">
        <x:v>Agent / API</x:v>
      </x:c>
      <x:c r="F8" s="18" t="str">
        <x:v>Mutual authentication</x:v>
      </x:c>
      <x:c r="G8" s="18" t="str">
        <x:v>Encrypted</x:v>
      </x:c>
      <x:c r="H8" s="18" t="str">
        <x:v>Yes</x:v>
      </x:c>
      <x:c r="I8" s="18" t="str">
        <x:v>Structured event validation</x:v>
      </x:c>
      <x:c r="J8" s="18" t="str">
        <x:v>Central logs</x:v>
      </x:c>
      <x:c r="K8" s="18" t="str">
        <x:v>High</x:v>
      </x:c>
      <x:c r="L8" s="18" t="str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</x:row>
  </x:sheetData>
  <x:mergeCells>
    <x:mergeCell ref="A1:L1"/>
  </x:mergeCells>
  <x:dataValidations count="2">
    <x:dataValidation type="list" sqref="H4:H303">
      <x:formula1>"Yes,No,Unknown"</x:formula1>
    </x:dataValidation>
    <x:dataValidation type="list" sqref="K4:K303">
      <x:formula1>"Low,Moderate,High,Critical"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40" hidden="0" customWidth="1"/>
    <x:col min="5" max="5" width="30" hidden="0" customWidth="1"/>
    <x:col min="6" max="6" width="32" hidden="0" customWidth="1"/>
    <x:col min="7" max="7" width="11" hidden="0" customWidth="1"/>
    <x:col min="8" max="8" width="10" hidden="0" customWidth="1"/>
    <x:col min="9" max="9" width="12" hidden="0" customWidth="1"/>
    <x:col min="10" max="10" width="13" hidden="0" customWidth="1"/>
    <x:col min="11" max="11" width="36" hidden="0" customWidth="1"/>
    <x:col min="12" max="12" width="18" hidden="0" customWidth="1"/>
    <x:col min="13" max="13" width="14" hidden="0" customWidth="1"/>
    <x:col min="14" max="14" width="16" hidden="0" customWidth="1"/>
    <x:col min="15" max="15" width="28" hidden="0" customWidth="1"/>
    <x:col min="16" max="16" width="30" hidden="0" customWidth="1"/>
  </x:cols>
  <x:sheetData>
    <x:row r="1">
      <x:c r="A1" s="4" t="str">
        <x:v>STRIDE Threat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2" t="str">
        <x:v>Threat ID</x:v>
      </x:c>
      <x:c r="B3" s="12" t="str">
        <x:v>Asset / Flow</x:v>
      </x:c>
      <x:c r="C3" s="12" t="str">
        <x:v>STRIDE Category</x:v>
      </x:c>
      <x:c r="D3" s="12" t="str">
        <x:v>Threat Scenario</x:v>
      </x:c>
      <x:c r="E3" s="12" t="str">
        <x:v>Attack Vector</x:v>
      </x:c>
      <x:c r="F3" s="12" t="str">
        <x:v>Existing Controls</x:v>
      </x:c>
      <x:c r="G3" s="12" t="str">
        <x:v>Likelihood</x:v>
      </x:c>
      <x:c r="H3" s="12" t="str">
        <x:v>Impact</x:v>
      </x:c>
      <x:c r="I3" s="12" t="str">
        <x:v>Risk Score</x:v>
      </x:c>
      <x:c r="J3" s="12" t="str">
        <x:v>Risk Rating</x:v>
      </x:c>
      <x:c r="K3" s="12" t="str">
        <x:v>Mitigation</x:v>
      </x:c>
      <x:c r="L3" s="12" t="str">
        <x:v>Owner</x:v>
      </x:c>
      <x:c r="M3" s="12" t="str">
        <x:v>Target Date</x:v>
      </x:c>
      <x:c r="N3" s="12" t="str">
        <x:v>Status</x:v>
      </x:c>
      <x:c r="O3" s="12" t="str">
        <x:v>Validation Evidence</x:v>
      </x:c>
      <x:c r="P3" s="12" t="str">
        <x:v>Notes</x:v>
      </x:c>
    </x:row>
    <x:row r="4">
      <x:c r="A4" s="18" t="str">
        <x:v>TH-001</x:v>
      </x:c>
      <x:c r="B4" s="18" t="str">
        <x:v>Customer Portal</x:v>
      </x:c>
      <x:c r="C4" s="18" t="str">
        <x:v>Spoofing</x:v>
      </x:c>
      <x:c r="D4" s="18" t="str">
        <x:v>Attacker uses stolen credentials to impersonate a customer</x:v>
      </x:c>
      <x:c r="E4" s="18" t="str">
        <x:v>Credential phishing</x:v>
      </x:c>
      <x:c r="F4" s="18" t="str">
        <x:v>MFA; anomaly detection</x:v>
      </x:c>
      <x:c r="G4" s="18" t="n">
        <x:v>4</x:v>
      </x:c>
      <x:c r="H4" s="18" t="n">
        <x:v>4</x:v>
      </x:c>
      <x:c r="I4" s="18" t="n">
        <x:f>IF(OR(G4="",H4=""),"",G4*H4)</x:f>
        <x:v>16</x:v>
      </x:c>
      <x:c r="J4" s="18" t="str">
        <x:f>IF(I4="","",IF(I4&gt;=20,"Critical",IF(I4&gt;=12,"High",IF(I4&gt;=6,"Moderate","Low"))))</x:f>
        <x:v>High</x:v>
      </x:c>
      <x:c r="K4" s="18" t="str">
        <x:v>Require phishing-resistant authentication</x:v>
      </x:c>
      <x:c r="L4" s="18" t="str">
        <x:v>IAM Lead</x:v>
      </x:c>
      <x:c r="M4" s="22" t="n">
        <x:v>46296</x:v>
      </x:c>
      <x:c r="N4" s="18" t="str">
        <x:v>In Progress</x:v>
      </x:c>
      <x:c r="O4" s="18" t="str"/>
      <x:c r="P4" s="18" t="str"/>
    </x:row>
    <x:row r="5">
      <x:c r="A5" s="18" t="str">
        <x:v>TH-002</x:v>
      </x:c>
      <x:c r="B5" s="18" t="str">
        <x:v>Customer Database</x:v>
      </x:c>
      <x:c r="C5" s="18" t="str">
        <x:v>Tampering</x:v>
      </x:c>
      <x:c r="D5" s="18" t="str">
        <x:v>Unauthorized process modifies customer records</x:v>
      </x:c>
      <x:c r="E5" s="18" t="str">
        <x:v>Compromised service account</x:v>
      </x:c>
      <x:c r="F5" s="18" t="str">
        <x:v>Database roles; audit logs</x:v>
      </x:c>
      <x:c r="G5" s="18" t="n">
        <x:v>3</x:v>
      </x:c>
      <x:c r="H5" s="18" t="n">
        <x:v>5</x:v>
      </x:c>
      <x:c r="I5" s="18" t="n">
        <x:f>IF(OR(G5="",H5=""),"",G5*H5)</x:f>
        <x:v>15</x:v>
      </x:c>
      <x:c r="J5" s="18" t="str">
        <x:f>IF(I5="","",IF(I5&gt;=20,"Critical",IF(I5&gt;=12,"High",IF(I5&gt;=6,"Moderate","Low"))))</x:f>
        <x:v>High</x:v>
      </x:c>
      <x:c r="K5" s="18" t="str">
        <x:v>Reduce service privileges and alert on mass changes</x:v>
      </x:c>
      <x:c r="L5" s="18" t="str">
        <x:v>DBA Lead</x:v>
      </x:c>
      <x:c r="M5" s="22" t="n">
        <x:v>46280</x:v>
      </x:c>
      <x:c r="N5" s="18" t="str">
        <x:v>Planned</x:v>
      </x:c>
      <x:c r="O5" s="18" t="str"/>
      <x:c r="P5" s="18" t="str"/>
    </x:row>
    <x:row r="6">
      <x:c r="A6" s="18" t="str">
        <x:v>TH-003</x:v>
      </x:c>
      <x:c r="B6" s="18" t="str">
        <x:v>Payment API</x:v>
      </x:c>
      <x:c r="C6" s="18" t="str">
        <x:v>Repudiation</x:v>
      </x:c>
      <x:c r="D6" s="18" t="str">
        <x:v>Partner disputes a transaction because records are incomplete</x:v>
      </x:c>
      <x:c r="E6" s="18" t="str">
        <x:v>Weak transaction logging</x:v>
      </x:c>
      <x:c r="F6" s="18" t="str">
        <x:v>API gateway logs</x:v>
      </x:c>
      <x:c r="G6" s="18" t="n">
        <x:v>2</x:v>
      </x:c>
      <x:c r="H6" s="18" t="n">
        <x:v>4</x:v>
      </x:c>
      <x:c r="I6" s="18" t="n">
        <x:f>IF(OR(G6="",H6=""),"",G6*H6)</x:f>
        <x:v>8</x:v>
      </x:c>
      <x:c r="J6" s="18" t="str">
        <x:f>IF(I6="","",IF(I6&gt;=20,"Critical",IF(I6&gt;=12,"High",IF(I6&gt;=6,"Moderate","Low"))))</x:f>
        <x:v>Moderate</x:v>
      </x:c>
      <x:c r="K6" s="18" t="str">
        <x:v>Add signed transaction IDs and retention controls</x:v>
      </x:c>
      <x:c r="L6" s="18" t="str">
        <x:v>Integration Lead</x:v>
      </x:c>
      <x:c r="M6" s="22" t="n">
        <x:v>46295</x:v>
      </x:c>
      <x:c r="N6" s="18" t="str">
        <x:v>Planned</x:v>
      </x:c>
      <x:c r="O6" s="18" t="str"/>
      <x:c r="P6" s="18" t="str"/>
    </x:row>
    <x:row r="7">
      <x:c r="A7" s="18" t="str">
        <x:v>TH-004</x:v>
      </x:c>
      <x:c r="B7" s="18" t="str">
        <x:v>Customer Portal</x:v>
      </x:c>
      <x:c r="C7" s="18" t="str">
        <x:v>Information Disclosure</x:v>
      </x:c>
      <x:c r="D7" s="18" t="str">
        <x:v>Verbose errors reveal sensitive implementation details</x:v>
      </x:c>
      <x:c r="E7" s="18" t="str">
        <x:v>Malformed request</x:v>
      </x:c>
      <x:c r="F7" s="18" t="str">
        <x:v>Generic errors; WAF</x:v>
      </x:c>
      <x:c r="G7" s="18" t="n">
        <x:v>3</x:v>
      </x:c>
      <x:c r="H7" s="18" t="n">
        <x:v>3</x:v>
      </x:c>
      <x:c r="I7" s="18" t="n">
        <x:f>IF(OR(G7="",H7=""),"",G7*H7)</x:f>
        <x:v>9</x:v>
      </x:c>
      <x:c r="J7" s="18" t="str">
        <x:f>IF(I7="","",IF(I7&gt;=20,"Critical",IF(I7&gt;=12,"High",IF(I7&gt;=6,"Moderate","Low"))))</x:f>
        <x:v>Moderate</x:v>
      </x:c>
      <x:c r="K7" s="18" t="str">
        <x:v>Harden error handling and test responses</x:v>
      </x:c>
      <x:c r="L7" s="18" t="str">
        <x:v>App Owner</x:v>
      </x:c>
      <x:c r="M7" s="22" t="n">
        <x:v>46264</x:v>
      </x:c>
      <x:c r="N7" s="18" t="str">
        <x:v>In Progress</x:v>
      </x:c>
      <x:c r="O7" s="18" t="str"/>
      <x:c r="P7" s="18" t="str"/>
    </x:row>
    <x:row r="8">
      <x:c r="A8" s="18" t="str">
        <x:v>TH-005</x:v>
      </x:c>
      <x:c r="B8" s="18" t="str">
        <x:v>Customer Portal</x:v>
      </x:c>
      <x:c r="C8" s="18" t="str">
        <x:v>Denial of Service</x:v>
      </x:c>
      <x:c r="D8" s="18" t="str">
        <x:v>High request volume exhausts application capacity</x:v>
      </x:c>
      <x:c r="E8" s="18" t="str">
        <x:v>Automated request flood</x:v>
      </x:c>
      <x:c r="F8" s="18" t="str">
        <x:v>CDN; rate limits</x:v>
      </x:c>
      <x:c r="G8" s="18" t="n">
        <x:v>4</x:v>
      </x:c>
      <x:c r="H8" s="18" t="n">
        <x:v>4</x:v>
      </x:c>
      <x:c r="I8" s="18" t="n">
        <x:f>IF(OR(G8="",H8=""),"",G8*H8)</x:f>
        <x:v>16</x:v>
      </x:c>
      <x:c r="J8" s="18" t="str">
        <x:f>IF(I8="","",IF(I8&gt;=20,"Critical",IF(I8&gt;=12,"High",IF(I8&gt;=6,"Moderate","Low"))))</x:f>
        <x:v>High</x:v>
      </x:c>
      <x:c r="K8" s="18" t="str">
        <x:v>Tune rate limits and autoscaling thresholds</x:v>
      </x:c>
      <x:c r="L8" s="18" t="str">
        <x:v>App Owner</x:v>
      </x:c>
      <x:c r="M8" s="22" t="n">
        <x:v>46280</x:v>
      </x:c>
      <x:c r="N8" s="18" t="str">
        <x:v>Planned</x:v>
      </x:c>
      <x:c r="O8" s="18" t="str"/>
      <x:c r="P8" s="18" t="str"/>
    </x:row>
    <x:row r="9">
      <x:c r="A9" s="18" t="str">
        <x:v>TH-006</x:v>
      </x:c>
      <x:c r="B9" s="18" t="str">
        <x:v>Identity Provider</x:v>
      </x:c>
      <x:c r="C9" s="18" t="str">
        <x:v>Elevation of Privilege</x:v>
      </x:c>
      <x:c r="D9" s="18" t="str">
        <x:v>Support role gains administrative privileges</x:v>
      </x:c>
      <x:c r="E9" s="18" t="str">
        <x:v>Misconfigured role assignment</x:v>
      </x:c>
      <x:c r="F9" s="18" t="str">
        <x:v>RBAC; approvals</x:v>
      </x:c>
      <x:c r="G9" s="18" t="n">
        <x:v>3</x:v>
      </x:c>
      <x:c r="H9" s="18" t="n">
        <x:v>5</x:v>
      </x:c>
      <x:c r="I9" s="18" t="n">
        <x:f>IF(OR(G9="",H9=""),"",G9*H9)</x:f>
        <x:v>15</x:v>
      </x:c>
      <x:c r="J9" s="18" t="str">
        <x:f>IF(I9="","",IF(I9&gt;=20,"Critical",IF(I9&gt;=12,"High",IF(I9&gt;=6,"Moderate","Low"))))</x:f>
        <x:v>High</x:v>
      </x:c>
      <x:c r="K9" s="18" t="str">
        <x:v>Separate admin roles and review privileged access</x:v>
      </x:c>
      <x:c r="L9" s="18" t="str">
        <x:v>IAM Lead</x:v>
      </x:c>
      <x:c r="M9" s="22" t="n">
        <x:v>46265</x:v>
      </x:c>
      <x:c r="N9" s="18" t="str">
        <x:v>In Progress</x:v>
      </x:c>
      <x:c r="O9" s="18" t="str"/>
      <x:c r="P9" s="18" t="str"/>
    </x:row>
    <x:row r="10">
      <x:c r="A10" s="18" t="str">
        <x:v>TH-007</x:v>
      </x:c>
      <x:c r="B10" s="18" t="str">
        <x:v>Security Logging</x:v>
      </x:c>
      <x:c r="C10" s="18" t="str">
        <x:v>Tampering</x:v>
      </x:c>
      <x:c r="D10" s="18" t="str">
        <x:v>Compromised administrator deletes evidence</x:v>
      </x:c>
      <x:c r="E10" s="18" t="str">
        <x:v>Privileged console access</x:v>
      </x:c>
      <x:c r="F10" s="18" t="str">
        <x:v>Restricted roles</x:v>
      </x:c>
      <x:c r="G10" s="18" t="n">
        <x:v>2</x:v>
      </x:c>
      <x:c r="H10" s="18" t="n">
        <x:v>5</x:v>
      </x:c>
      <x:c r="I10" s="18" t="n">
        <x:f>IF(OR(G10="",H10=""),"",G10*H10)</x:f>
        <x:v>10</x:v>
      </x:c>
      <x:c r="J10" s="18" t="str">
        <x:f>IF(I10="","",IF(I10&gt;=20,"Critical",IF(I10&gt;=12,"High",IF(I10&gt;=6,"Moderate","Low"))))</x:f>
        <x:v>Moderate</x:v>
      </x:c>
      <x:c r="K10" s="18" t="str">
        <x:v>Enable immutable archive and break-glass monitoring</x:v>
      </x:c>
      <x:c r="L10" s="18" t="str">
        <x:v>SOC Lead</x:v>
      </x:c>
      <x:c r="M10" s="22" t="n">
        <x:v>46310</x:v>
      </x:c>
      <x:c r="N10" s="18" t="str">
        <x:v>Not Started</x:v>
      </x:c>
      <x:c r="O10" s="18" t="str"/>
      <x:c r="P10" s="18" t="str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 t="str">
        <x:f>IF(OR(G11="",H11=""),"",G11*H11)</x:f>
      </x:c>
      <x:c r="J11" s="18" t="str">
        <x:f>IF(I11="","",IF(I11&gt;=20,"Critical",IF(I11&gt;=12,"High",IF(I11&gt;=6,"Moderate","Low"))))</x:f>
      </x:c>
      <x:c r="K11" s="18"/>
      <x:c r="L11" s="18"/>
      <x:c r="M11" s="22"/>
      <x:c r="N11" s="18"/>
      <x:c r="O11" s="18"/>
      <x:c r="P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 t="str">
        <x:f>IF(OR(G12="",H12=""),"",G12*H12)</x:f>
      </x:c>
      <x:c r="J12" s="18" t="str">
        <x:f>IF(I12="","",IF(I12&gt;=20,"Critical",IF(I12&gt;=12,"High",IF(I12&gt;=6,"Moderate","Low"))))</x:f>
      </x:c>
      <x:c r="K12" s="18"/>
      <x:c r="L12" s="18"/>
      <x:c r="M12" s="22"/>
      <x:c r="N12" s="18"/>
      <x:c r="O12" s="18"/>
      <x:c r="P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 t="str">
        <x:f>IF(OR(G13="",H13=""),"",G13*H13)</x:f>
      </x:c>
      <x:c r="J13" s="18" t="str">
        <x:f>IF(I13="","",IF(I13&gt;=20,"Critical",IF(I13&gt;=12,"High",IF(I13&gt;=6,"Moderate","Low"))))</x:f>
      </x:c>
      <x:c r="K13" s="18"/>
      <x:c r="L13" s="18"/>
      <x:c r="M13" s="22"/>
      <x:c r="N13" s="18"/>
      <x:c r="O13" s="18"/>
      <x:c r="P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 t="str">
        <x:f>IF(OR(G14="",H14=""),"",G14*H14)</x:f>
      </x:c>
      <x:c r="J14" s="18" t="str">
        <x:f>IF(I14="","",IF(I14&gt;=20,"Critical",IF(I14&gt;=12,"High",IF(I14&gt;=6,"Moderate","Low"))))</x:f>
      </x:c>
      <x:c r="K14" s="18"/>
      <x:c r="L14" s="18"/>
      <x:c r="M14" s="22"/>
      <x:c r="N14" s="18"/>
      <x:c r="O14" s="18"/>
      <x:c r="P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 t="str">
        <x:f>IF(OR(G15="",H15=""),"",G15*H15)</x:f>
      </x:c>
      <x:c r="J15" s="18" t="str">
        <x:f>IF(I15="","",IF(I15&gt;=20,"Critical",IF(I15&gt;=12,"High",IF(I15&gt;=6,"Moderate","Low"))))</x:f>
      </x:c>
      <x:c r="K15" s="18"/>
      <x:c r="L15" s="18"/>
      <x:c r="M15" s="22"/>
      <x:c r="N15" s="18"/>
      <x:c r="O15" s="18"/>
      <x:c r="P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 t="str">
        <x:f>IF(OR(G16="",H16=""),"",G16*H16)</x:f>
      </x:c>
      <x:c r="J16" s="18" t="str">
        <x:f>IF(I16="","",IF(I16&gt;=20,"Critical",IF(I16&gt;=12,"High",IF(I16&gt;=6,"Moderate","Low"))))</x:f>
      </x:c>
      <x:c r="K16" s="18"/>
      <x:c r="L16" s="18"/>
      <x:c r="M16" s="22"/>
      <x:c r="N16" s="18"/>
      <x:c r="O16" s="18"/>
      <x:c r="P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 t="str">
        <x:f>IF(OR(G17="",H17=""),"",G17*H17)</x:f>
      </x:c>
      <x:c r="J17" s="18" t="str">
        <x:f>IF(I17="","",IF(I17&gt;=20,"Critical",IF(I17&gt;=12,"High",IF(I17&gt;=6,"Moderate","Low"))))</x:f>
      </x:c>
      <x:c r="K17" s="18"/>
      <x:c r="L17" s="18"/>
      <x:c r="M17" s="22"/>
      <x:c r="N17" s="18"/>
      <x:c r="O17" s="18"/>
      <x:c r="P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 t="str">
        <x:f>IF(OR(G18="",H18=""),"",G18*H18)</x:f>
      </x:c>
      <x:c r="J18" s="18" t="str">
        <x:f>IF(I18="","",IF(I18&gt;=20,"Critical",IF(I18&gt;=12,"High",IF(I18&gt;=6,"Moderate","Low"))))</x:f>
      </x:c>
      <x:c r="K18" s="18"/>
      <x:c r="L18" s="18"/>
      <x:c r="M18" s="22"/>
      <x:c r="N18" s="18"/>
      <x:c r="O18" s="18"/>
      <x:c r="P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 t="str">
        <x:f>IF(OR(G19="",H19=""),"",G19*H19)</x:f>
      </x:c>
      <x:c r="J19" s="18" t="str">
        <x:f>IF(I19="","",IF(I19&gt;=20,"Critical",IF(I19&gt;=12,"High",IF(I19&gt;=6,"Moderate","Low"))))</x:f>
      </x:c>
      <x:c r="K19" s="18"/>
      <x:c r="L19" s="18"/>
      <x:c r="M19" s="22"/>
      <x:c r="N19" s="18"/>
      <x:c r="O19" s="18"/>
      <x:c r="P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 t="str">
        <x:f>IF(OR(G20="",H20=""),"",G20*H20)</x:f>
      </x:c>
      <x:c r="J20" s="18" t="str">
        <x:f>IF(I20="","",IF(I20&gt;=20,"Critical",IF(I20&gt;=12,"High",IF(I20&gt;=6,"Moderate","Low"))))</x:f>
      </x:c>
      <x:c r="K20" s="18"/>
      <x:c r="L20" s="18"/>
      <x:c r="M20" s="22"/>
      <x:c r="N20" s="18"/>
      <x:c r="O20" s="18"/>
      <x:c r="P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 t="str">
        <x:f>IF(OR(G21="",H21=""),"",G21*H21)</x:f>
      </x:c>
      <x:c r="J21" s="18" t="str">
        <x:f>IF(I21="","",IF(I21&gt;=20,"Critical",IF(I21&gt;=12,"High",IF(I21&gt;=6,"Moderate","Low"))))</x:f>
      </x:c>
      <x:c r="K21" s="18"/>
      <x:c r="L21" s="18"/>
      <x:c r="M21" s="22"/>
      <x:c r="N21" s="18"/>
      <x:c r="O21" s="18"/>
      <x:c r="P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 t="str">
        <x:f>IF(OR(G22="",H22=""),"",G22*H22)</x:f>
      </x:c>
      <x:c r="J22" s="18" t="str">
        <x:f>IF(I22="","",IF(I22&gt;=20,"Critical",IF(I22&gt;=12,"High",IF(I22&gt;=6,"Moderate","Low"))))</x:f>
      </x:c>
      <x:c r="K22" s="18"/>
      <x:c r="L22" s="18"/>
      <x:c r="M22" s="22"/>
      <x:c r="N22" s="18"/>
      <x:c r="O22" s="18"/>
      <x:c r="P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 t="str">
        <x:f>IF(OR(G23="",H23=""),"",G23*H23)</x:f>
      </x:c>
      <x:c r="J23" s="18" t="str">
        <x:f>IF(I23="","",IF(I23&gt;=20,"Critical",IF(I23&gt;=12,"High",IF(I23&gt;=6,"Moderate","Low"))))</x:f>
      </x:c>
      <x:c r="K23" s="18"/>
      <x:c r="L23" s="18"/>
      <x:c r="M23" s="22"/>
      <x:c r="N23" s="18"/>
      <x:c r="O23" s="18"/>
      <x:c r="P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 t="str">
        <x:f>IF(OR(G24="",H24=""),"",G24*H24)</x:f>
      </x:c>
      <x:c r="J24" s="18" t="str">
        <x:f>IF(I24="","",IF(I24&gt;=20,"Critical",IF(I24&gt;=12,"High",IF(I24&gt;=6,"Moderate","Low"))))</x:f>
      </x:c>
      <x:c r="K24" s="18"/>
      <x:c r="L24" s="18"/>
      <x:c r="M24" s="22"/>
      <x:c r="N24" s="18"/>
      <x:c r="O24" s="18"/>
      <x:c r="P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 t="str">
        <x:f>IF(OR(G25="",H25=""),"",G25*H25)</x:f>
      </x:c>
      <x:c r="J25" s="18" t="str">
        <x:f>IF(I25="","",IF(I25&gt;=20,"Critical",IF(I25&gt;=12,"High",IF(I25&gt;=6,"Moderate","Low"))))</x:f>
      </x:c>
      <x:c r="K25" s="18"/>
      <x:c r="L25" s="18"/>
      <x:c r="M25" s="22"/>
      <x:c r="N25" s="18"/>
      <x:c r="O25" s="18"/>
      <x:c r="P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 t="str">
        <x:f>IF(OR(G26="",H26=""),"",G26*H26)</x:f>
      </x:c>
      <x:c r="J26" s="18" t="str">
        <x:f>IF(I26="","",IF(I26&gt;=20,"Critical",IF(I26&gt;=12,"High",IF(I26&gt;=6,"Moderate","Low"))))</x:f>
      </x:c>
      <x:c r="K26" s="18"/>
      <x:c r="L26" s="18"/>
      <x:c r="M26" s="22"/>
      <x:c r="N26" s="18"/>
      <x:c r="O26" s="18"/>
      <x:c r="P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 t="str">
        <x:f>IF(OR(G27="",H27=""),"",G27*H27)</x:f>
      </x:c>
      <x:c r="J27" s="18" t="str">
        <x:f>IF(I27="","",IF(I27&gt;=20,"Critical",IF(I27&gt;=12,"High",IF(I27&gt;=6,"Moderate","Low"))))</x:f>
      </x:c>
      <x:c r="K27" s="18"/>
      <x:c r="L27" s="18"/>
      <x:c r="M27" s="22"/>
      <x:c r="N27" s="18"/>
      <x:c r="O27" s="18"/>
      <x:c r="P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 t="str">
        <x:f>IF(OR(G28="",H28=""),"",G28*H28)</x:f>
      </x:c>
      <x:c r="J28" s="18" t="str">
        <x:f>IF(I28="","",IF(I28&gt;=20,"Critical",IF(I28&gt;=12,"High",IF(I28&gt;=6,"Moderate","Low"))))</x:f>
      </x:c>
      <x:c r="K28" s="18"/>
      <x:c r="L28" s="18"/>
      <x:c r="M28" s="22"/>
      <x:c r="N28" s="18"/>
      <x:c r="O28" s="18"/>
      <x:c r="P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 t="str">
        <x:f>IF(OR(G29="",H29=""),"",G29*H29)</x:f>
      </x:c>
      <x:c r="J29" s="18" t="str">
        <x:f>IF(I29="","",IF(I29&gt;=20,"Critical",IF(I29&gt;=12,"High",IF(I29&gt;=6,"Moderate","Low"))))</x:f>
      </x:c>
      <x:c r="K29" s="18"/>
      <x:c r="L29" s="18"/>
      <x:c r="M29" s="22"/>
      <x:c r="N29" s="18"/>
      <x:c r="O29" s="18"/>
      <x:c r="P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 t="str">
        <x:f>IF(OR(G30="",H30=""),"",G30*H30)</x:f>
      </x:c>
      <x:c r="J30" s="18" t="str">
        <x:f>IF(I30="","",IF(I30&gt;=20,"Critical",IF(I30&gt;=12,"High",IF(I30&gt;=6,"Moderate","Low"))))</x:f>
      </x:c>
      <x:c r="K30" s="18"/>
      <x:c r="L30" s="18"/>
      <x:c r="M30" s="22"/>
      <x:c r="N30" s="18"/>
      <x:c r="O30" s="18"/>
      <x:c r="P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 t="str">
        <x:f>IF(OR(G31="",H31=""),"",G31*H31)</x:f>
      </x:c>
      <x:c r="J31" s="18" t="str">
        <x:f>IF(I31="","",IF(I31&gt;=20,"Critical",IF(I31&gt;=12,"High",IF(I31&gt;=6,"Moderate","Low"))))</x:f>
      </x:c>
      <x:c r="K31" s="18"/>
      <x:c r="L31" s="18"/>
      <x:c r="M31" s="22"/>
      <x:c r="N31" s="18"/>
      <x:c r="O31" s="18"/>
      <x:c r="P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 t="str">
        <x:f>IF(OR(G32="",H32=""),"",G32*H32)</x:f>
      </x:c>
      <x:c r="J32" s="18" t="str">
        <x:f>IF(I32="","",IF(I32&gt;=20,"Critical",IF(I32&gt;=12,"High",IF(I32&gt;=6,"Moderate","Low"))))</x:f>
      </x:c>
      <x:c r="K32" s="18"/>
      <x:c r="L32" s="18"/>
      <x:c r="M32" s="22"/>
      <x:c r="N32" s="18"/>
      <x:c r="O32" s="18"/>
      <x:c r="P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 t="str">
        <x:f>IF(OR(G33="",H33=""),"",G33*H33)</x:f>
      </x:c>
      <x:c r="J33" s="18" t="str">
        <x:f>IF(I33="","",IF(I33&gt;=20,"Critical",IF(I33&gt;=12,"High",IF(I33&gt;=6,"Moderate","Low"))))</x:f>
      </x:c>
      <x:c r="K33" s="18"/>
      <x:c r="L33" s="18"/>
      <x:c r="M33" s="22"/>
      <x:c r="N33" s="18"/>
      <x:c r="O33" s="18"/>
      <x:c r="P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 t="str">
        <x:f>IF(OR(G34="",H34=""),"",G34*H34)</x:f>
      </x:c>
      <x:c r="J34" s="18" t="str">
        <x:f>IF(I34="","",IF(I34&gt;=20,"Critical",IF(I34&gt;=12,"High",IF(I34&gt;=6,"Moderate","Low"))))</x:f>
      </x:c>
      <x:c r="K34" s="18"/>
      <x:c r="L34" s="18"/>
      <x:c r="M34" s="22"/>
      <x:c r="N34" s="18"/>
      <x:c r="O34" s="18"/>
      <x:c r="P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 t="str">
        <x:f>IF(OR(G35="",H35=""),"",G35*H35)</x:f>
      </x:c>
      <x:c r="J35" s="18" t="str">
        <x:f>IF(I35="","",IF(I35&gt;=20,"Critical",IF(I35&gt;=12,"High",IF(I35&gt;=6,"Moderate","Low"))))</x:f>
      </x:c>
      <x:c r="K35" s="18"/>
      <x:c r="L35" s="18"/>
      <x:c r="M35" s="22"/>
      <x:c r="N35" s="18"/>
      <x:c r="O35" s="18"/>
      <x:c r="P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 t="str">
        <x:f>IF(OR(G36="",H36=""),"",G36*H36)</x:f>
      </x:c>
      <x:c r="J36" s="18" t="str">
        <x:f>IF(I36="","",IF(I36&gt;=20,"Critical",IF(I36&gt;=12,"High",IF(I36&gt;=6,"Moderate","Low"))))</x:f>
      </x:c>
      <x:c r="K36" s="18"/>
      <x:c r="L36" s="18"/>
      <x:c r="M36" s="22"/>
      <x:c r="N36" s="18"/>
      <x:c r="O36" s="18"/>
      <x:c r="P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 t="str">
        <x:f>IF(OR(G37="",H37=""),"",G37*H37)</x:f>
      </x:c>
      <x:c r="J37" s="18" t="str">
        <x:f>IF(I37="","",IF(I37&gt;=20,"Critical",IF(I37&gt;=12,"High",IF(I37&gt;=6,"Moderate","Low"))))</x:f>
      </x:c>
      <x:c r="K37" s="18"/>
      <x:c r="L37" s="18"/>
      <x:c r="M37" s="22"/>
      <x:c r="N37" s="18"/>
      <x:c r="O37" s="18"/>
      <x:c r="P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 t="str">
        <x:f>IF(OR(G38="",H38=""),"",G38*H38)</x:f>
      </x:c>
      <x:c r="J38" s="18" t="str">
        <x:f>IF(I38="","",IF(I38&gt;=20,"Critical",IF(I38&gt;=12,"High",IF(I38&gt;=6,"Moderate","Low"))))</x:f>
      </x:c>
      <x:c r="K38" s="18"/>
      <x:c r="L38" s="18"/>
      <x:c r="M38" s="22"/>
      <x:c r="N38" s="18"/>
      <x:c r="O38" s="18"/>
      <x:c r="P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 t="str">
        <x:f>IF(OR(G39="",H39=""),"",G39*H39)</x:f>
      </x:c>
      <x:c r="J39" s="18" t="str">
        <x:f>IF(I39="","",IF(I39&gt;=20,"Critical",IF(I39&gt;=12,"High",IF(I39&gt;=6,"Moderate","Low"))))</x:f>
      </x:c>
      <x:c r="K39" s="18"/>
      <x:c r="L39" s="18"/>
      <x:c r="M39" s="22"/>
      <x:c r="N39" s="18"/>
      <x:c r="O39" s="18"/>
      <x:c r="P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 t="str">
        <x:f>IF(OR(G40="",H40=""),"",G40*H40)</x:f>
      </x:c>
      <x:c r="J40" s="18" t="str">
        <x:f>IF(I40="","",IF(I40&gt;=20,"Critical",IF(I40&gt;=12,"High",IF(I40&gt;=6,"Moderate","Low"))))</x:f>
      </x:c>
      <x:c r="K40" s="18"/>
      <x:c r="L40" s="18"/>
      <x:c r="M40" s="22"/>
      <x:c r="N40" s="18"/>
      <x:c r="O40" s="18"/>
      <x:c r="P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 t="str">
        <x:f>IF(OR(G41="",H41=""),"",G41*H41)</x:f>
      </x:c>
      <x:c r="J41" s="18" t="str">
        <x:f>IF(I41="","",IF(I41&gt;=20,"Critical",IF(I41&gt;=12,"High",IF(I41&gt;=6,"Moderate","Low"))))</x:f>
      </x:c>
      <x:c r="K41" s="18"/>
      <x:c r="L41" s="18"/>
      <x:c r="M41" s="22"/>
      <x:c r="N41" s="18"/>
      <x:c r="O41" s="18"/>
      <x:c r="P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 t="str">
        <x:f>IF(OR(G42="",H42=""),"",G42*H42)</x:f>
      </x:c>
      <x:c r="J42" s="18" t="str">
        <x:f>IF(I42="","",IF(I42&gt;=20,"Critical",IF(I42&gt;=12,"High",IF(I42&gt;=6,"Moderate","Low"))))</x:f>
      </x:c>
      <x:c r="K42" s="18"/>
      <x:c r="L42" s="18"/>
      <x:c r="M42" s="22"/>
      <x:c r="N42" s="18"/>
      <x:c r="O42" s="18"/>
      <x:c r="P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 t="str">
        <x:f>IF(OR(G43="",H43=""),"",G43*H43)</x:f>
      </x:c>
      <x:c r="J43" s="18" t="str">
        <x:f>IF(I43="","",IF(I43&gt;=20,"Critical",IF(I43&gt;=12,"High",IF(I43&gt;=6,"Moderate","Low"))))</x:f>
      </x:c>
      <x:c r="K43" s="18"/>
      <x:c r="L43" s="18"/>
      <x:c r="M43" s="22"/>
      <x:c r="N43" s="18"/>
      <x:c r="O43" s="18"/>
      <x:c r="P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 t="str">
        <x:f>IF(OR(G44="",H44=""),"",G44*H44)</x:f>
      </x:c>
      <x:c r="J44" s="18" t="str">
        <x:f>IF(I44="","",IF(I44&gt;=20,"Critical",IF(I44&gt;=12,"High",IF(I44&gt;=6,"Moderate","Low"))))</x:f>
      </x:c>
      <x:c r="K44" s="18"/>
      <x:c r="L44" s="18"/>
      <x:c r="M44" s="22"/>
      <x:c r="N44" s="18"/>
      <x:c r="O44" s="18"/>
      <x:c r="P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 t="str">
        <x:f>IF(OR(G45="",H45=""),"",G45*H45)</x:f>
      </x:c>
      <x:c r="J45" s="18" t="str">
        <x:f>IF(I45="","",IF(I45&gt;=20,"Critical",IF(I45&gt;=12,"High",IF(I45&gt;=6,"Moderate","Low"))))</x:f>
      </x:c>
      <x:c r="K45" s="18"/>
      <x:c r="L45" s="18"/>
      <x:c r="M45" s="22"/>
      <x:c r="N45" s="18"/>
      <x:c r="O45" s="18"/>
      <x:c r="P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 t="str">
        <x:f>IF(OR(G46="",H46=""),"",G46*H46)</x:f>
      </x:c>
      <x:c r="J46" s="18" t="str">
        <x:f>IF(I46="","",IF(I46&gt;=20,"Critical",IF(I46&gt;=12,"High",IF(I46&gt;=6,"Moderate","Low"))))</x:f>
      </x:c>
      <x:c r="K46" s="18"/>
      <x:c r="L46" s="18"/>
      <x:c r="M46" s="22"/>
      <x:c r="N46" s="18"/>
      <x:c r="O46" s="18"/>
      <x:c r="P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 t="str">
        <x:f>IF(OR(G47="",H47=""),"",G47*H47)</x:f>
      </x:c>
      <x:c r="J47" s="18" t="str">
        <x:f>IF(I47="","",IF(I47&gt;=20,"Critical",IF(I47&gt;=12,"High",IF(I47&gt;=6,"Moderate","Low"))))</x:f>
      </x:c>
      <x:c r="K47" s="18"/>
      <x:c r="L47" s="18"/>
      <x:c r="M47" s="22"/>
      <x:c r="N47" s="18"/>
      <x:c r="O47" s="18"/>
      <x:c r="P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 t="str">
        <x:f>IF(OR(G48="",H48=""),"",G48*H48)</x:f>
      </x:c>
      <x:c r="J48" s="18" t="str">
        <x:f>IF(I48="","",IF(I48&gt;=20,"Critical",IF(I48&gt;=12,"High",IF(I48&gt;=6,"Moderate","Low"))))</x:f>
      </x:c>
      <x:c r="K48" s="18"/>
      <x:c r="L48" s="18"/>
      <x:c r="M48" s="22"/>
      <x:c r="N48" s="18"/>
      <x:c r="O48" s="18"/>
      <x:c r="P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 t="str">
        <x:f>IF(OR(G49="",H49=""),"",G49*H49)</x:f>
      </x:c>
      <x:c r="J49" s="18" t="str">
        <x:f>IF(I49="","",IF(I49&gt;=20,"Critical",IF(I49&gt;=12,"High",IF(I49&gt;=6,"Moderate","Low"))))</x:f>
      </x:c>
      <x:c r="K49" s="18"/>
      <x:c r="L49" s="18"/>
      <x:c r="M49" s="22"/>
      <x:c r="N49" s="18"/>
      <x:c r="O49" s="18"/>
      <x:c r="P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 t="str">
        <x:f>IF(OR(G50="",H50=""),"",G50*H50)</x:f>
      </x:c>
      <x:c r="J50" s="18" t="str">
        <x:f>IF(I50="","",IF(I50&gt;=20,"Critical",IF(I50&gt;=12,"High",IF(I50&gt;=6,"Moderate","Low"))))</x:f>
      </x:c>
      <x:c r="K50" s="18"/>
      <x:c r="L50" s="18"/>
      <x:c r="M50" s="22"/>
      <x:c r="N50" s="18"/>
      <x:c r="O50" s="18"/>
      <x:c r="P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 t="str">
        <x:f>IF(OR(G51="",H51=""),"",G51*H51)</x:f>
      </x:c>
      <x:c r="J51" s="18" t="str">
        <x:f>IF(I51="","",IF(I51&gt;=20,"Critical",IF(I51&gt;=12,"High",IF(I51&gt;=6,"Moderate","Low"))))</x:f>
      </x:c>
      <x:c r="K51" s="18"/>
      <x:c r="L51" s="18"/>
      <x:c r="M51" s="22"/>
      <x:c r="N51" s="18"/>
      <x:c r="O51" s="18"/>
      <x:c r="P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 t="str">
        <x:f>IF(OR(G52="",H52=""),"",G52*H52)</x:f>
      </x:c>
      <x:c r="J52" s="18" t="str">
        <x:f>IF(I52="","",IF(I52&gt;=20,"Critical",IF(I52&gt;=12,"High",IF(I52&gt;=6,"Moderate","Low"))))</x:f>
      </x:c>
      <x:c r="K52" s="18"/>
      <x:c r="L52" s="18"/>
      <x:c r="M52" s="22"/>
      <x:c r="N52" s="18"/>
      <x:c r="O52" s="18"/>
      <x:c r="P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 t="str">
        <x:f>IF(OR(G53="",H53=""),"",G53*H53)</x:f>
      </x:c>
      <x:c r="J53" s="18" t="str">
        <x:f>IF(I53="","",IF(I53&gt;=20,"Critical",IF(I53&gt;=12,"High",IF(I53&gt;=6,"Moderate","Low"))))</x:f>
      </x:c>
      <x:c r="K53" s="18"/>
      <x:c r="L53" s="18"/>
      <x:c r="M53" s="22"/>
      <x:c r="N53" s="18"/>
      <x:c r="O53" s="18"/>
      <x:c r="P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 t="str">
        <x:f>IF(OR(G54="",H54=""),"",G54*H54)</x:f>
      </x:c>
      <x:c r="J54" s="18" t="str">
        <x:f>IF(I54="","",IF(I54&gt;=20,"Critical",IF(I54&gt;=12,"High",IF(I54&gt;=6,"Moderate","Low"))))</x:f>
      </x:c>
      <x:c r="K54" s="18"/>
      <x:c r="L54" s="18"/>
      <x:c r="M54" s="22"/>
      <x:c r="N54" s="18"/>
      <x:c r="O54" s="18"/>
      <x:c r="P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 t="str">
        <x:f>IF(OR(G55="",H55=""),"",G55*H55)</x:f>
      </x:c>
      <x:c r="J55" s="18" t="str">
        <x:f>IF(I55="","",IF(I55&gt;=20,"Critical",IF(I55&gt;=12,"High",IF(I55&gt;=6,"Moderate","Low"))))</x:f>
      </x:c>
      <x:c r="K55" s="18"/>
      <x:c r="L55" s="18"/>
      <x:c r="M55" s="22"/>
      <x:c r="N55" s="18"/>
      <x:c r="O55" s="18"/>
      <x:c r="P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 t="str">
        <x:f>IF(OR(G56="",H56=""),"",G56*H56)</x:f>
      </x:c>
      <x:c r="J56" s="18" t="str">
        <x:f>IF(I56="","",IF(I56&gt;=20,"Critical",IF(I56&gt;=12,"High",IF(I56&gt;=6,"Moderate","Low"))))</x:f>
      </x:c>
      <x:c r="K56" s="18"/>
      <x:c r="L56" s="18"/>
      <x:c r="M56" s="22"/>
      <x:c r="N56" s="18"/>
      <x:c r="O56" s="18"/>
      <x:c r="P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 t="str">
        <x:f>IF(OR(G57="",H57=""),"",G57*H57)</x:f>
      </x:c>
      <x:c r="J57" s="18" t="str">
        <x:f>IF(I57="","",IF(I57&gt;=20,"Critical",IF(I57&gt;=12,"High",IF(I57&gt;=6,"Moderate","Low"))))</x:f>
      </x:c>
      <x:c r="K57" s="18"/>
      <x:c r="L57" s="18"/>
      <x:c r="M57" s="22"/>
      <x:c r="N57" s="18"/>
      <x:c r="O57" s="18"/>
      <x:c r="P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 t="str">
        <x:f>IF(OR(G58="",H58=""),"",G58*H58)</x:f>
      </x:c>
      <x:c r="J58" s="18" t="str">
        <x:f>IF(I58="","",IF(I58&gt;=20,"Critical",IF(I58&gt;=12,"High",IF(I58&gt;=6,"Moderate","Low"))))</x:f>
      </x:c>
      <x:c r="K58" s="18"/>
      <x:c r="L58" s="18"/>
      <x:c r="M58" s="22"/>
      <x:c r="N58" s="18"/>
      <x:c r="O58" s="18"/>
      <x:c r="P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 t="str">
        <x:f>IF(OR(G59="",H59=""),"",G59*H59)</x:f>
      </x:c>
      <x:c r="J59" s="18" t="str">
        <x:f>IF(I59="","",IF(I59&gt;=20,"Critical",IF(I59&gt;=12,"High",IF(I59&gt;=6,"Moderate","Low"))))</x:f>
      </x:c>
      <x:c r="K59" s="18"/>
      <x:c r="L59" s="18"/>
      <x:c r="M59" s="22"/>
      <x:c r="N59" s="18"/>
      <x:c r="O59" s="18"/>
      <x:c r="P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 t="str">
        <x:f>IF(OR(G60="",H60=""),"",G60*H60)</x:f>
      </x:c>
      <x:c r="J60" s="18" t="str">
        <x:f>IF(I60="","",IF(I60&gt;=20,"Critical",IF(I60&gt;=12,"High",IF(I60&gt;=6,"Moderate","Low"))))</x:f>
      </x:c>
      <x:c r="K60" s="18"/>
      <x:c r="L60" s="18"/>
      <x:c r="M60" s="22"/>
      <x:c r="N60" s="18"/>
      <x:c r="O60" s="18"/>
      <x:c r="P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 t="str">
        <x:f>IF(OR(G61="",H61=""),"",G61*H61)</x:f>
      </x:c>
      <x:c r="J61" s="18" t="str">
        <x:f>IF(I61="","",IF(I61&gt;=20,"Critical",IF(I61&gt;=12,"High",IF(I61&gt;=6,"Moderate","Low"))))</x:f>
      </x:c>
      <x:c r="K61" s="18"/>
      <x:c r="L61" s="18"/>
      <x:c r="M61" s="22"/>
      <x:c r="N61" s="18"/>
      <x:c r="O61" s="18"/>
      <x:c r="P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 t="str">
        <x:f>IF(OR(G62="",H62=""),"",G62*H62)</x:f>
      </x:c>
      <x:c r="J62" s="18" t="str">
        <x:f>IF(I62="","",IF(I62&gt;=20,"Critical",IF(I62&gt;=12,"High",IF(I62&gt;=6,"Moderate","Low"))))</x:f>
      </x:c>
      <x:c r="K62" s="18"/>
      <x:c r="L62" s="18"/>
      <x:c r="M62" s="22"/>
      <x:c r="N62" s="18"/>
      <x:c r="O62" s="18"/>
      <x:c r="P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 t="str">
        <x:f>IF(OR(G63="",H63=""),"",G63*H63)</x:f>
      </x:c>
      <x:c r="J63" s="18" t="str">
        <x:f>IF(I63="","",IF(I63&gt;=20,"Critical",IF(I63&gt;=12,"High",IF(I63&gt;=6,"Moderate","Low"))))</x:f>
      </x:c>
      <x:c r="K63" s="18"/>
      <x:c r="L63" s="18"/>
      <x:c r="M63" s="22"/>
      <x:c r="N63" s="18"/>
      <x:c r="O63" s="18"/>
      <x:c r="P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 t="str">
        <x:f>IF(OR(G64="",H64=""),"",G64*H64)</x:f>
      </x:c>
      <x:c r="J64" s="18" t="str">
        <x:f>IF(I64="","",IF(I64&gt;=20,"Critical",IF(I64&gt;=12,"High",IF(I64&gt;=6,"Moderate","Low"))))</x:f>
      </x:c>
      <x:c r="K64" s="18"/>
      <x:c r="L64" s="18"/>
      <x:c r="M64" s="22"/>
      <x:c r="N64" s="18"/>
      <x:c r="O64" s="18"/>
      <x:c r="P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 t="str">
        <x:f>IF(OR(G65="",H65=""),"",G65*H65)</x:f>
      </x:c>
      <x:c r="J65" s="18" t="str">
        <x:f>IF(I65="","",IF(I65&gt;=20,"Critical",IF(I65&gt;=12,"High",IF(I65&gt;=6,"Moderate","Low"))))</x:f>
      </x:c>
      <x:c r="K65" s="18"/>
      <x:c r="L65" s="18"/>
      <x:c r="M65" s="22"/>
      <x:c r="N65" s="18"/>
      <x:c r="O65" s="18"/>
      <x:c r="P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 t="str">
        <x:f>IF(OR(G66="",H66=""),"",G66*H66)</x:f>
      </x:c>
      <x:c r="J66" s="18" t="str">
        <x:f>IF(I66="","",IF(I66&gt;=20,"Critical",IF(I66&gt;=12,"High",IF(I66&gt;=6,"Moderate","Low"))))</x:f>
      </x:c>
      <x:c r="K66" s="18"/>
      <x:c r="L66" s="18"/>
      <x:c r="M66" s="22"/>
      <x:c r="N66" s="18"/>
      <x:c r="O66" s="18"/>
      <x:c r="P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 t="str">
        <x:f>IF(OR(G67="",H67=""),"",G67*H67)</x:f>
      </x:c>
      <x:c r="J67" s="18" t="str">
        <x:f>IF(I67="","",IF(I67&gt;=20,"Critical",IF(I67&gt;=12,"High",IF(I67&gt;=6,"Moderate","Low"))))</x:f>
      </x:c>
      <x:c r="K67" s="18"/>
      <x:c r="L67" s="18"/>
      <x:c r="M67" s="22"/>
      <x:c r="N67" s="18"/>
      <x:c r="O67" s="18"/>
      <x:c r="P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 t="str">
        <x:f>IF(OR(G68="",H68=""),"",G68*H68)</x:f>
      </x:c>
      <x:c r="J68" s="18" t="str">
        <x:f>IF(I68="","",IF(I68&gt;=20,"Critical",IF(I68&gt;=12,"High",IF(I68&gt;=6,"Moderate","Low"))))</x:f>
      </x:c>
      <x:c r="K68" s="18"/>
      <x:c r="L68" s="18"/>
      <x:c r="M68" s="22"/>
      <x:c r="N68" s="18"/>
      <x:c r="O68" s="18"/>
      <x:c r="P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 t="str">
        <x:f>IF(OR(G69="",H69=""),"",G69*H69)</x:f>
      </x:c>
      <x:c r="J69" s="18" t="str">
        <x:f>IF(I69="","",IF(I69&gt;=20,"Critical",IF(I69&gt;=12,"High",IF(I69&gt;=6,"Moderate","Low"))))</x:f>
      </x:c>
      <x:c r="K69" s="18"/>
      <x:c r="L69" s="18"/>
      <x:c r="M69" s="22"/>
      <x:c r="N69" s="18"/>
      <x:c r="O69" s="18"/>
      <x:c r="P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 t="str">
        <x:f>IF(OR(G70="",H70=""),"",G70*H70)</x:f>
      </x:c>
      <x:c r="J70" s="18" t="str">
        <x:f>IF(I70="","",IF(I70&gt;=20,"Critical",IF(I70&gt;=12,"High",IF(I70&gt;=6,"Moderate","Low"))))</x:f>
      </x:c>
      <x:c r="K70" s="18"/>
      <x:c r="L70" s="18"/>
      <x:c r="M70" s="22"/>
      <x:c r="N70" s="18"/>
      <x:c r="O70" s="18"/>
      <x:c r="P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 t="str">
        <x:f>IF(OR(G71="",H71=""),"",G71*H71)</x:f>
      </x:c>
      <x:c r="J71" s="18" t="str">
        <x:f>IF(I71="","",IF(I71&gt;=20,"Critical",IF(I71&gt;=12,"High",IF(I71&gt;=6,"Moderate","Low"))))</x:f>
      </x:c>
      <x:c r="K71" s="18"/>
      <x:c r="L71" s="18"/>
      <x:c r="M71" s="22"/>
      <x:c r="N71" s="18"/>
      <x:c r="O71" s="18"/>
      <x:c r="P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 t="str">
        <x:f>IF(OR(G72="",H72=""),"",G72*H72)</x:f>
      </x:c>
      <x:c r="J72" s="18" t="str">
        <x:f>IF(I72="","",IF(I72&gt;=20,"Critical",IF(I72&gt;=12,"High",IF(I72&gt;=6,"Moderate","Low"))))</x:f>
      </x:c>
      <x:c r="K72" s="18"/>
      <x:c r="L72" s="18"/>
      <x:c r="M72" s="22"/>
      <x:c r="N72" s="18"/>
      <x:c r="O72" s="18"/>
      <x:c r="P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 t="str">
        <x:f>IF(OR(G73="",H73=""),"",G73*H73)</x:f>
      </x:c>
      <x:c r="J73" s="18" t="str">
        <x:f>IF(I73="","",IF(I73&gt;=20,"Critical",IF(I73&gt;=12,"High",IF(I73&gt;=6,"Moderate","Low"))))</x:f>
      </x:c>
      <x:c r="K73" s="18"/>
      <x:c r="L73" s="18"/>
      <x:c r="M73" s="22"/>
      <x:c r="N73" s="18"/>
      <x:c r="O73" s="18"/>
      <x:c r="P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 t="str">
        <x:f>IF(OR(G74="",H74=""),"",G74*H74)</x:f>
      </x:c>
      <x:c r="J74" s="18" t="str">
        <x:f>IF(I74="","",IF(I74&gt;=20,"Critical",IF(I74&gt;=12,"High",IF(I74&gt;=6,"Moderate","Low"))))</x:f>
      </x:c>
      <x:c r="K74" s="18"/>
      <x:c r="L74" s="18"/>
      <x:c r="M74" s="22"/>
      <x:c r="N74" s="18"/>
      <x:c r="O74" s="18"/>
      <x:c r="P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 t="str">
        <x:f>IF(OR(G75="",H75=""),"",G75*H75)</x:f>
      </x:c>
      <x:c r="J75" s="18" t="str">
        <x:f>IF(I75="","",IF(I75&gt;=20,"Critical",IF(I75&gt;=12,"High",IF(I75&gt;=6,"Moderate","Low"))))</x:f>
      </x:c>
      <x:c r="K75" s="18"/>
      <x:c r="L75" s="18"/>
      <x:c r="M75" s="22"/>
      <x:c r="N75" s="18"/>
      <x:c r="O75" s="18"/>
      <x:c r="P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 t="str">
        <x:f>IF(OR(G76="",H76=""),"",G76*H76)</x:f>
      </x:c>
      <x:c r="J76" s="18" t="str">
        <x:f>IF(I76="","",IF(I76&gt;=20,"Critical",IF(I76&gt;=12,"High",IF(I76&gt;=6,"Moderate","Low"))))</x:f>
      </x:c>
      <x:c r="K76" s="18"/>
      <x:c r="L76" s="18"/>
      <x:c r="M76" s="22"/>
      <x:c r="N76" s="18"/>
      <x:c r="O76" s="18"/>
      <x:c r="P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 t="str">
        <x:f>IF(OR(G77="",H77=""),"",G77*H77)</x:f>
      </x:c>
      <x:c r="J77" s="18" t="str">
        <x:f>IF(I77="","",IF(I77&gt;=20,"Critical",IF(I77&gt;=12,"High",IF(I77&gt;=6,"Moderate","Low"))))</x:f>
      </x:c>
      <x:c r="K77" s="18"/>
      <x:c r="L77" s="18"/>
      <x:c r="M77" s="22"/>
      <x:c r="N77" s="18"/>
      <x:c r="O77" s="18"/>
      <x:c r="P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 t="str">
        <x:f>IF(OR(G78="",H78=""),"",G78*H78)</x:f>
      </x:c>
      <x:c r="J78" s="18" t="str">
        <x:f>IF(I78="","",IF(I78&gt;=20,"Critical",IF(I78&gt;=12,"High",IF(I78&gt;=6,"Moderate","Low"))))</x:f>
      </x:c>
      <x:c r="K78" s="18"/>
      <x:c r="L78" s="18"/>
      <x:c r="M78" s="22"/>
      <x:c r="N78" s="18"/>
      <x:c r="O78" s="18"/>
      <x:c r="P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 t="str">
        <x:f>IF(OR(G79="",H79=""),"",G79*H79)</x:f>
      </x:c>
      <x:c r="J79" s="18" t="str">
        <x:f>IF(I79="","",IF(I79&gt;=20,"Critical",IF(I79&gt;=12,"High",IF(I79&gt;=6,"Moderate","Low"))))</x:f>
      </x:c>
      <x:c r="K79" s="18"/>
      <x:c r="L79" s="18"/>
      <x:c r="M79" s="22"/>
      <x:c r="N79" s="18"/>
      <x:c r="O79" s="18"/>
      <x:c r="P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 t="str">
        <x:f>IF(OR(G80="",H80=""),"",G80*H80)</x:f>
      </x:c>
      <x:c r="J80" s="18" t="str">
        <x:f>IF(I80="","",IF(I80&gt;=20,"Critical",IF(I80&gt;=12,"High",IF(I80&gt;=6,"Moderate","Low"))))</x:f>
      </x:c>
      <x:c r="K80" s="18"/>
      <x:c r="L80" s="18"/>
      <x:c r="M80" s="22"/>
      <x:c r="N80" s="18"/>
      <x:c r="O80" s="18"/>
      <x:c r="P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 t="str">
        <x:f>IF(OR(G81="",H81=""),"",G81*H81)</x:f>
      </x:c>
      <x:c r="J81" s="18" t="str">
        <x:f>IF(I81="","",IF(I81&gt;=20,"Critical",IF(I81&gt;=12,"High",IF(I81&gt;=6,"Moderate","Low"))))</x:f>
      </x:c>
      <x:c r="K81" s="18"/>
      <x:c r="L81" s="18"/>
      <x:c r="M81" s="22"/>
      <x:c r="N81" s="18"/>
      <x:c r="O81" s="18"/>
      <x:c r="P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 t="str">
        <x:f>IF(OR(G82="",H82=""),"",G82*H82)</x:f>
      </x:c>
      <x:c r="J82" s="18" t="str">
        <x:f>IF(I82="","",IF(I82&gt;=20,"Critical",IF(I82&gt;=12,"High",IF(I82&gt;=6,"Moderate","Low"))))</x:f>
      </x:c>
      <x:c r="K82" s="18"/>
      <x:c r="L82" s="18"/>
      <x:c r="M82" s="22"/>
      <x:c r="N82" s="18"/>
      <x:c r="O82" s="18"/>
      <x:c r="P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 t="str">
        <x:f>IF(OR(G83="",H83=""),"",G83*H83)</x:f>
      </x:c>
      <x:c r="J83" s="18" t="str">
        <x:f>IF(I83="","",IF(I83&gt;=20,"Critical",IF(I83&gt;=12,"High",IF(I83&gt;=6,"Moderate","Low"))))</x:f>
      </x:c>
      <x:c r="K83" s="18"/>
      <x:c r="L83" s="18"/>
      <x:c r="M83" s="22"/>
      <x:c r="N83" s="18"/>
      <x:c r="O83" s="18"/>
      <x:c r="P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 t="str">
        <x:f>IF(OR(G84="",H84=""),"",G84*H84)</x:f>
      </x:c>
      <x:c r="J84" s="18" t="str">
        <x:f>IF(I84="","",IF(I84&gt;=20,"Critical",IF(I84&gt;=12,"High",IF(I84&gt;=6,"Moderate","Low"))))</x:f>
      </x:c>
      <x:c r="K84" s="18"/>
      <x:c r="L84" s="18"/>
      <x:c r="M84" s="22"/>
      <x:c r="N84" s="18"/>
      <x:c r="O84" s="18"/>
      <x:c r="P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 t="str">
        <x:f>IF(OR(G85="",H85=""),"",G85*H85)</x:f>
      </x:c>
      <x:c r="J85" s="18" t="str">
        <x:f>IF(I85="","",IF(I85&gt;=20,"Critical",IF(I85&gt;=12,"High",IF(I85&gt;=6,"Moderate","Low"))))</x:f>
      </x:c>
      <x:c r="K85" s="18"/>
      <x:c r="L85" s="18"/>
      <x:c r="M85" s="22"/>
      <x:c r="N85" s="18"/>
      <x:c r="O85" s="18"/>
      <x:c r="P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 t="str">
        <x:f>IF(OR(G86="",H86=""),"",G86*H86)</x:f>
      </x:c>
      <x:c r="J86" s="18" t="str">
        <x:f>IF(I86="","",IF(I86&gt;=20,"Critical",IF(I86&gt;=12,"High",IF(I86&gt;=6,"Moderate","Low"))))</x:f>
      </x:c>
      <x:c r="K86" s="18"/>
      <x:c r="L86" s="18"/>
      <x:c r="M86" s="22"/>
      <x:c r="N86" s="18"/>
      <x:c r="O86" s="18"/>
      <x:c r="P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 t="str">
        <x:f>IF(OR(G87="",H87=""),"",G87*H87)</x:f>
      </x:c>
      <x:c r="J87" s="18" t="str">
        <x:f>IF(I87="","",IF(I87&gt;=20,"Critical",IF(I87&gt;=12,"High",IF(I87&gt;=6,"Moderate","Low"))))</x:f>
      </x:c>
      <x:c r="K87" s="18"/>
      <x:c r="L87" s="18"/>
      <x:c r="M87" s="22"/>
      <x:c r="N87" s="18"/>
      <x:c r="O87" s="18"/>
      <x:c r="P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 t="str">
        <x:f>IF(OR(G88="",H88=""),"",G88*H88)</x:f>
      </x:c>
      <x:c r="J88" s="18" t="str">
        <x:f>IF(I88="","",IF(I88&gt;=20,"Critical",IF(I88&gt;=12,"High",IF(I88&gt;=6,"Moderate","Low"))))</x:f>
      </x:c>
      <x:c r="K88" s="18"/>
      <x:c r="L88" s="18"/>
      <x:c r="M88" s="22"/>
      <x:c r="N88" s="18"/>
      <x:c r="O88" s="18"/>
      <x:c r="P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 t="str">
        <x:f>IF(OR(G89="",H89=""),"",G89*H89)</x:f>
      </x:c>
      <x:c r="J89" s="18" t="str">
        <x:f>IF(I89="","",IF(I89&gt;=20,"Critical",IF(I89&gt;=12,"High",IF(I89&gt;=6,"Moderate","Low"))))</x:f>
      </x:c>
      <x:c r="K89" s="18"/>
      <x:c r="L89" s="18"/>
      <x:c r="M89" s="22"/>
      <x:c r="N89" s="18"/>
      <x:c r="O89" s="18"/>
      <x:c r="P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 t="str">
        <x:f>IF(OR(G90="",H90=""),"",G90*H90)</x:f>
      </x:c>
      <x:c r="J90" s="18" t="str">
        <x:f>IF(I90="","",IF(I90&gt;=20,"Critical",IF(I90&gt;=12,"High",IF(I90&gt;=6,"Moderate","Low"))))</x:f>
      </x:c>
      <x:c r="K90" s="18"/>
      <x:c r="L90" s="18"/>
      <x:c r="M90" s="22"/>
      <x:c r="N90" s="18"/>
      <x:c r="O90" s="18"/>
      <x:c r="P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 t="str">
        <x:f>IF(OR(G91="",H91=""),"",G91*H91)</x:f>
      </x:c>
      <x:c r="J91" s="18" t="str">
        <x:f>IF(I91="","",IF(I91&gt;=20,"Critical",IF(I91&gt;=12,"High",IF(I91&gt;=6,"Moderate","Low"))))</x:f>
      </x:c>
      <x:c r="K91" s="18"/>
      <x:c r="L91" s="18"/>
      <x:c r="M91" s="22"/>
      <x:c r="N91" s="18"/>
      <x:c r="O91" s="18"/>
      <x:c r="P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 t="str">
        <x:f>IF(OR(G92="",H92=""),"",G92*H92)</x:f>
      </x:c>
      <x:c r="J92" s="18" t="str">
        <x:f>IF(I92="","",IF(I92&gt;=20,"Critical",IF(I92&gt;=12,"High",IF(I92&gt;=6,"Moderate","Low"))))</x:f>
      </x:c>
      <x:c r="K92" s="18"/>
      <x:c r="L92" s="18"/>
      <x:c r="M92" s="22"/>
      <x:c r="N92" s="18"/>
      <x:c r="O92" s="18"/>
      <x:c r="P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 t="str">
        <x:f>IF(OR(G93="",H93=""),"",G93*H93)</x:f>
      </x:c>
      <x:c r="J93" s="18" t="str">
        <x:f>IF(I93="","",IF(I93&gt;=20,"Critical",IF(I93&gt;=12,"High",IF(I93&gt;=6,"Moderate","Low"))))</x:f>
      </x:c>
      <x:c r="K93" s="18"/>
      <x:c r="L93" s="18"/>
      <x:c r="M93" s="22"/>
      <x:c r="N93" s="18"/>
      <x:c r="O93" s="18"/>
      <x:c r="P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 t="str">
        <x:f>IF(OR(G94="",H94=""),"",G94*H94)</x:f>
      </x:c>
      <x:c r="J94" s="18" t="str">
        <x:f>IF(I94="","",IF(I94&gt;=20,"Critical",IF(I94&gt;=12,"High",IF(I94&gt;=6,"Moderate","Low"))))</x:f>
      </x:c>
      <x:c r="K94" s="18"/>
      <x:c r="L94" s="18"/>
      <x:c r="M94" s="22"/>
      <x:c r="N94" s="18"/>
      <x:c r="O94" s="18"/>
      <x:c r="P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 t="str">
        <x:f>IF(OR(G95="",H95=""),"",G95*H95)</x:f>
      </x:c>
      <x:c r="J95" s="18" t="str">
        <x:f>IF(I95="","",IF(I95&gt;=20,"Critical",IF(I95&gt;=12,"High",IF(I95&gt;=6,"Moderate","Low"))))</x:f>
      </x:c>
      <x:c r="K95" s="18"/>
      <x:c r="L95" s="18"/>
      <x:c r="M95" s="22"/>
      <x:c r="N95" s="18"/>
      <x:c r="O95" s="18"/>
      <x:c r="P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 t="str">
        <x:f>IF(OR(G96="",H96=""),"",G96*H96)</x:f>
      </x:c>
      <x:c r="J96" s="18" t="str">
        <x:f>IF(I96="","",IF(I96&gt;=20,"Critical",IF(I96&gt;=12,"High",IF(I96&gt;=6,"Moderate","Low"))))</x:f>
      </x:c>
      <x:c r="K96" s="18"/>
      <x:c r="L96" s="18"/>
      <x:c r="M96" s="22"/>
      <x:c r="N96" s="18"/>
      <x:c r="O96" s="18"/>
      <x:c r="P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 t="str">
        <x:f>IF(OR(G97="",H97=""),"",G97*H97)</x:f>
      </x:c>
      <x:c r="J97" s="18" t="str">
        <x:f>IF(I97="","",IF(I97&gt;=20,"Critical",IF(I97&gt;=12,"High",IF(I97&gt;=6,"Moderate","Low"))))</x:f>
      </x:c>
      <x:c r="K97" s="18"/>
      <x:c r="L97" s="18"/>
      <x:c r="M97" s="22"/>
      <x:c r="N97" s="18"/>
      <x:c r="O97" s="18"/>
      <x:c r="P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 t="str">
        <x:f>IF(OR(G98="",H98=""),"",G98*H98)</x:f>
      </x:c>
      <x:c r="J98" s="18" t="str">
        <x:f>IF(I98="","",IF(I98&gt;=20,"Critical",IF(I98&gt;=12,"High",IF(I98&gt;=6,"Moderate","Low"))))</x:f>
      </x:c>
      <x:c r="K98" s="18"/>
      <x:c r="L98" s="18"/>
      <x:c r="M98" s="22"/>
      <x:c r="N98" s="18"/>
      <x:c r="O98" s="18"/>
      <x:c r="P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 t="str">
        <x:f>IF(OR(G99="",H99=""),"",G99*H99)</x:f>
      </x:c>
      <x:c r="J99" s="18" t="str">
        <x:f>IF(I99="","",IF(I99&gt;=20,"Critical",IF(I99&gt;=12,"High",IF(I99&gt;=6,"Moderate","Low"))))</x:f>
      </x:c>
      <x:c r="K99" s="18"/>
      <x:c r="L99" s="18"/>
      <x:c r="M99" s="22"/>
      <x:c r="N99" s="18"/>
      <x:c r="O99" s="18"/>
      <x:c r="P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 t="str">
        <x:f>IF(OR(G100="",H100=""),"",G100*H100)</x:f>
      </x:c>
      <x:c r="J100" s="18" t="str">
        <x:f>IF(I100="","",IF(I100&gt;=20,"Critical",IF(I100&gt;=12,"High",IF(I100&gt;=6,"Moderate","Low"))))</x:f>
      </x:c>
      <x:c r="K100" s="18"/>
      <x:c r="L100" s="18"/>
      <x:c r="M100" s="22"/>
      <x:c r="N100" s="18"/>
      <x:c r="O100" s="18"/>
      <x:c r="P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 t="str">
        <x:f>IF(OR(G101="",H101=""),"",G101*H101)</x:f>
      </x:c>
      <x:c r="J101" s="18" t="str">
        <x:f>IF(I101="","",IF(I101&gt;=20,"Critical",IF(I101&gt;=12,"High",IF(I101&gt;=6,"Moderate","Low"))))</x:f>
      </x:c>
      <x:c r="K101" s="18"/>
      <x:c r="L101" s="18"/>
      <x:c r="M101" s="22"/>
      <x:c r="N101" s="18"/>
      <x:c r="O101" s="18"/>
      <x:c r="P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 t="str">
        <x:f>IF(OR(G102="",H102=""),"",G102*H102)</x:f>
      </x:c>
      <x:c r="J102" s="18" t="str">
        <x:f>IF(I102="","",IF(I102&gt;=20,"Critical",IF(I102&gt;=12,"High",IF(I102&gt;=6,"Moderate","Low"))))</x:f>
      </x:c>
      <x:c r="K102" s="18"/>
      <x:c r="L102" s="18"/>
      <x:c r="M102" s="22"/>
      <x:c r="N102" s="18"/>
      <x:c r="O102" s="18"/>
      <x:c r="P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 t="str">
        <x:f>IF(OR(G103="",H103=""),"",G103*H103)</x:f>
      </x:c>
      <x:c r="J103" s="18" t="str">
        <x:f>IF(I103="","",IF(I103&gt;=20,"Critical",IF(I103&gt;=12,"High",IF(I103&gt;=6,"Moderate","Low"))))</x:f>
      </x:c>
      <x:c r="K103" s="18"/>
      <x:c r="L103" s="18"/>
      <x:c r="M103" s="22"/>
      <x:c r="N103" s="18"/>
      <x:c r="O103" s="18"/>
      <x:c r="P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 t="str">
        <x:f>IF(OR(G104="",H104=""),"",G104*H104)</x:f>
      </x:c>
      <x:c r="J104" s="18" t="str">
        <x:f>IF(I104="","",IF(I104&gt;=20,"Critical",IF(I104&gt;=12,"High",IF(I104&gt;=6,"Moderate","Low"))))</x:f>
      </x:c>
      <x:c r="K104" s="18"/>
      <x:c r="L104" s="18"/>
      <x:c r="M104" s="22"/>
      <x:c r="N104" s="18"/>
      <x:c r="O104" s="18"/>
      <x:c r="P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 t="str">
        <x:f>IF(OR(G105="",H105=""),"",G105*H105)</x:f>
      </x:c>
      <x:c r="J105" s="18" t="str">
        <x:f>IF(I105="","",IF(I105&gt;=20,"Critical",IF(I105&gt;=12,"High",IF(I105&gt;=6,"Moderate","Low"))))</x:f>
      </x:c>
      <x:c r="K105" s="18"/>
      <x:c r="L105" s="18"/>
      <x:c r="M105" s="22"/>
      <x:c r="N105" s="18"/>
      <x:c r="O105" s="18"/>
      <x:c r="P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 t="str">
        <x:f>IF(OR(G106="",H106=""),"",G106*H106)</x:f>
      </x:c>
      <x:c r="J106" s="18" t="str">
        <x:f>IF(I106="","",IF(I106&gt;=20,"Critical",IF(I106&gt;=12,"High",IF(I106&gt;=6,"Moderate","Low"))))</x:f>
      </x:c>
      <x:c r="K106" s="18"/>
      <x:c r="L106" s="18"/>
      <x:c r="M106" s="22"/>
      <x:c r="N106" s="18"/>
      <x:c r="O106" s="18"/>
      <x:c r="P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 t="str">
        <x:f>IF(OR(G107="",H107=""),"",G107*H107)</x:f>
      </x:c>
      <x:c r="J107" s="18" t="str">
        <x:f>IF(I107="","",IF(I107&gt;=20,"Critical",IF(I107&gt;=12,"High",IF(I107&gt;=6,"Moderate","Low"))))</x:f>
      </x:c>
      <x:c r="K107" s="18"/>
      <x:c r="L107" s="18"/>
      <x:c r="M107" s="22"/>
      <x:c r="N107" s="18"/>
      <x:c r="O107" s="18"/>
      <x:c r="P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 t="str">
        <x:f>IF(OR(G108="",H108=""),"",G108*H108)</x:f>
      </x:c>
      <x:c r="J108" s="18" t="str">
        <x:f>IF(I108="","",IF(I108&gt;=20,"Critical",IF(I108&gt;=12,"High",IF(I108&gt;=6,"Moderate","Low"))))</x:f>
      </x:c>
      <x:c r="K108" s="18"/>
      <x:c r="L108" s="18"/>
      <x:c r="M108" s="22"/>
      <x:c r="N108" s="18"/>
      <x:c r="O108" s="18"/>
      <x:c r="P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 t="str">
        <x:f>IF(OR(G109="",H109=""),"",G109*H109)</x:f>
      </x:c>
      <x:c r="J109" s="18" t="str">
        <x:f>IF(I109="","",IF(I109&gt;=20,"Critical",IF(I109&gt;=12,"High",IF(I109&gt;=6,"Moderate","Low"))))</x:f>
      </x:c>
      <x:c r="K109" s="18"/>
      <x:c r="L109" s="18"/>
      <x:c r="M109" s="22"/>
      <x:c r="N109" s="18"/>
      <x:c r="O109" s="18"/>
      <x:c r="P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 t="str">
        <x:f>IF(OR(G110="",H110=""),"",G110*H110)</x:f>
      </x:c>
      <x:c r="J110" s="18" t="str">
        <x:f>IF(I110="","",IF(I110&gt;=20,"Critical",IF(I110&gt;=12,"High",IF(I110&gt;=6,"Moderate","Low"))))</x:f>
      </x:c>
      <x:c r="K110" s="18"/>
      <x:c r="L110" s="18"/>
      <x:c r="M110" s="22"/>
      <x:c r="N110" s="18"/>
      <x:c r="O110" s="18"/>
      <x:c r="P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 t="str">
        <x:f>IF(OR(G111="",H111=""),"",G111*H111)</x:f>
      </x:c>
      <x:c r="J111" s="18" t="str">
        <x:f>IF(I111="","",IF(I111&gt;=20,"Critical",IF(I111&gt;=12,"High",IF(I111&gt;=6,"Moderate","Low"))))</x:f>
      </x:c>
      <x:c r="K111" s="18"/>
      <x:c r="L111" s="18"/>
      <x:c r="M111" s="22"/>
      <x:c r="N111" s="18"/>
      <x:c r="O111" s="18"/>
      <x:c r="P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 t="str">
        <x:f>IF(OR(G112="",H112=""),"",G112*H112)</x:f>
      </x:c>
      <x:c r="J112" s="18" t="str">
        <x:f>IF(I112="","",IF(I112&gt;=20,"Critical",IF(I112&gt;=12,"High",IF(I112&gt;=6,"Moderate","Low"))))</x:f>
      </x:c>
      <x:c r="K112" s="18"/>
      <x:c r="L112" s="18"/>
      <x:c r="M112" s="22"/>
      <x:c r="N112" s="18"/>
      <x:c r="O112" s="18"/>
      <x:c r="P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 t="str">
        <x:f>IF(OR(G113="",H113=""),"",G113*H113)</x:f>
      </x:c>
      <x:c r="J113" s="18" t="str">
        <x:f>IF(I113="","",IF(I113&gt;=20,"Critical",IF(I113&gt;=12,"High",IF(I113&gt;=6,"Moderate","Low"))))</x:f>
      </x:c>
      <x:c r="K113" s="18"/>
      <x:c r="L113" s="18"/>
      <x:c r="M113" s="22"/>
      <x:c r="N113" s="18"/>
      <x:c r="O113" s="18"/>
      <x:c r="P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 t="str">
        <x:f>IF(OR(G114="",H114=""),"",G114*H114)</x:f>
      </x:c>
      <x:c r="J114" s="18" t="str">
        <x:f>IF(I114="","",IF(I114&gt;=20,"Critical",IF(I114&gt;=12,"High",IF(I114&gt;=6,"Moderate","Low"))))</x:f>
      </x:c>
      <x:c r="K114" s="18"/>
      <x:c r="L114" s="18"/>
      <x:c r="M114" s="22"/>
      <x:c r="N114" s="18"/>
      <x:c r="O114" s="18"/>
      <x:c r="P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 t="str">
        <x:f>IF(OR(G115="",H115=""),"",G115*H115)</x:f>
      </x:c>
      <x:c r="J115" s="18" t="str">
        <x:f>IF(I115="","",IF(I115&gt;=20,"Critical",IF(I115&gt;=12,"High",IF(I115&gt;=6,"Moderate","Low"))))</x:f>
      </x:c>
      <x:c r="K115" s="18"/>
      <x:c r="L115" s="18"/>
      <x:c r="M115" s="22"/>
      <x:c r="N115" s="18"/>
      <x:c r="O115" s="18"/>
      <x:c r="P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 t="str">
        <x:f>IF(OR(G116="",H116=""),"",G116*H116)</x:f>
      </x:c>
      <x:c r="J116" s="18" t="str">
        <x:f>IF(I116="","",IF(I116&gt;=20,"Critical",IF(I116&gt;=12,"High",IF(I116&gt;=6,"Moderate","Low"))))</x:f>
      </x:c>
      <x:c r="K116" s="18"/>
      <x:c r="L116" s="18"/>
      <x:c r="M116" s="22"/>
      <x:c r="N116" s="18"/>
      <x:c r="O116" s="18"/>
      <x:c r="P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 t="str">
        <x:f>IF(OR(G117="",H117=""),"",G117*H117)</x:f>
      </x:c>
      <x:c r="J117" s="18" t="str">
        <x:f>IF(I117="","",IF(I117&gt;=20,"Critical",IF(I117&gt;=12,"High",IF(I117&gt;=6,"Moderate","Low"))))</x:f>
      </x:c>
      <x:c r="K117" s="18"/>
      <x:c r="L117" s="18"/>
      <x:c r="M117" s="22"/>
      <x:c r="N117" s="18"/>
      <x:c r="O117" s="18"/>
      <x:c r="P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 t="str">
        <x:f>IF(OR(G118="",H118=""),"",G118*H118)</x:f>
      </x:c>
      <x:c r="J118" s="18" t="str">
        <x:f>IF(I118="","",IF(I118&gt;=20,"Critical",IF(I118&gt;=12,"High",IF(I118&gt;=6,"Moderate","Low"))))</x:f>
      </x:c>
      <x:c r="K118" s="18"/>
      <x:c r="L118" s="18"/>
      <x:c r="M118" s="22"/>
      <x:c r="N118" s="18"/>
      <x:c r="O118" s="18"/>
      <x:c r="P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 t="str">
        <x:f>IF(OR(G119="",H119=""),"",G119*H119)</x:f>
      </x:c>
      <x:c r="J119" s="18" t="str">
        <x:f>IF(I119="","",IF(I119&gt;=20,"Critical",IF(I119&gt;=12,"High",IF(I119&gt;=6,"Moderate","Low"))))</x:f>
      </x:c>
      <x:c r="K119" s="18"/>
      <x:c r="L119" s="18"/>
      <x:c r="M119" s="22"/>
      <x:c r="N119" s="18"/>
      <x:c r="O119" s="18"/>
      <x:c r="P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 t="str">
        <x:f>IF(OR(G120="",H120=""),"",G120*H120)</x:f>
      </x:c>
      <x:c r="J120" s="18" t="str">
        <x:f>IF(I120="","",IF(I120&gt;=20,"Critical",IF(I120&gt;=12,"High",IF(I120&gt;=6,"Moderate","Low"))))</x:f>
      </x:c>
      <x:c r="K120" s="18"/>
      <x:c r="L120" s="18"/>
      <x:c r="M120" s="22"/>
      <x:c r="N120" s="18"/>
      <x:c r="O120" s="18"/>
      <x:c r="P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 t="str">
        <x:f>IF(OR(G121="",H121=""),"",G121*H121)</x:f>
      </x:c>
      <x:c r="J121" s="18" t="str">
        <x:f>IF(I121="","",IF(I121&gt;=20,"Critical",IF(I121&gt;=12,"High",IF(I121&gt;=6,"Moderate","Low"))))</x:f>
      </x:c>
      <x:c r="K121" s="18"/>
      <x:c r="L121" s="18"/>
      <x:c r="M121" s="22"/>
      <x:c r="N121" s="18"/>
      <x:c r="O121" s="18"/>
      <x:c r="P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 t="str">
        <x:f>IF(OR(G122="",H122=""),"",G122*H122)</x:f>
      </x:c>
      <x:c r="J122" s="18" t="str">
        <x:f>IF(I122="","",IF(I122&gt;=20,"Critical",IF(I122&gt;=12,"High",IF(I122&gt;=6,"Moderate","Low"))))</x:f>
      </x:c>
      <x:c r="K122" s="18"/>
      <x:c r="L122" s="18"/>
      <x:c r="M122" s="22"/>
      <x:c r="N122" s="18"/>
      <x:c r="O122" s="18"/>
      <x:c r="P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 t="str">
        <x:f>IF(OR(G123="",H123=""),"",G123*H123)</x:f>
      </x:c>
      <x:c r="J123" s="18" t="str">
        <x:f>IF(I123="","",IF(I123&gt;=20,"Critical",IF(I123&gt;=12,"High",IF(I123&gt;=6,"Moderate","Low"))))</x:f>
      </x:c>
      <x:c r="K123" s="18"/>
      <x:c r="L123" s="18"/>
      <x:c r="M123" s="22"/>
      <x:c r="N123" s="18"/>
      <x:c r="O123" s="18"/>
      <x:c r="P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 t="str">
        <x:f>IF(OR(G124="",H124=""),"",G124*H124)</x:f>
      </x:c>
      <x:c r="J124" s="18" t="str">
        <x:f>IF(I124="","",IF(I124&gt;=20,"Critical",IF(I124&gt;=12,"High",IF(I124&gt;=6,"Moderate","Low"))))</x:f>
      </x:c>
      <x:c r="K124" s="18"/>
      <x:c r="L124" s="18"/>
      <x:c r="M124" s="22"/>
      <x:c r="N124" s="18"/>
      <x:c r="O124" s="18"/>
      <x:c r="P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 t="str">
        <x:f>IF(OR(G125="",H125=""),"",G125*H125)</x:f>
      </x:c>
      <x:c r="J125" s="18" t="str">
        <x:f>IF(I125="","",IF(I125&gt;=20,"Critical",IF(I125&gt;=12,"High",IF(I125&gt;=6,"Moderate","Low"))))</x:f>
      </x:c>
      <x:c r="K125" s="18"/>
      <x:c r="L125" s="18"/>
      <x:c r="M125" s="22"/>
      <x:c r="N125" s="18"/>
      <x:c r="O125" s="18"/>
      <x:c r="P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 t="str">
        <x:f>IF(OR(G126="",H126=""),"",G126*H126)</x:f>
      </x:c>
      <x:c r="J126" s="18" t="str">
        <x:f>IF(I126="","",IF(I126&gt;=20,"Critical",IF(I126&gt;=12,"High",IF(I126&gt;=6,"Moderate","Low"))))</x:f>
      </x:c>
      <x:c r="K126" s="18"/>
      <x:c r="L126" s="18"/>
      <x:c r="M126" s="22"/>
      <x:c r="N126" s="18"/>
      <x:c r="O126" s="18"/>
      <x:c r="P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 t="str">
        <x:f>IF(OR(G127="",H127=""),"",G127*H127)</x:f>
      </x:c>
      <x:c r="J127" s="18" t="str">
        <x:f>IF(I127="","",IF(I127&gt;=20,"Critical",IF(I127&gt;=12,"High",IF(I127&gt;=6,"Moderate","Low"))))</x:f>
      </x:c>
      <x:c r="K127" s="18"/>
      <x:c r="L127" s="18"/>
      <x:c r="M127" s="22"/>
      <x:c r="N127" s="18"/>
      <x:c r="O127" s="18"/>
      <x:c r="P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 t="str">
        <x:f>IF(OR(G128="",H128=""),"",G128*H128)</x:f>
      </x:c>
      <x:c r="J128" s="18" t="str">
        <x:f>IF(I128="","",IF(I128&gt;=20,"Critical",IF(I128&gt;=12,"High",IF(I128&gt;=6,"Moderate","Low"))))</x:f>
      </x:c>
      <x:c r="K128" s="18"/>
      <x:c r="L128" s="18"/>
      <x:c r="M128" s="22"/>
      <x:c r="N128" s="18"/>
      <x:c r="O128" s="18"/>
      <x:c r="P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 t="str">
        <x:f>IF(OR(G129="",H129=""),"",G129*H129)</x:f>
      </x:c>
      <x:c r="J129" s="18" t="str">
        <x:f>IF(I129="","",IF(I129&gt;=20,"Critical",IF(I129&gt;=12,"High",IF(I129&gt;=6,"Moderate","Low"))))</x:f>
      </x:c>
      <x:c r="K129" s="18"/>
      <x:c r="L129" s="18"/>
      <x:c r="M129" s="22"/>
      <x:c r="N129" s="18"/>
      <x:c r="O129" s="18"/>
      <x:c r="P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 t="str">
        <x:f>IF(OR(G130="",H130=""),"",G130*H130)</x:f>
      </x:c>
      <x:c r="J130" s="18" t="str">
        <x:f>IF(I130="","",IF(I130&gt;=20,"Critical",IF(I130&gt;=12,"High",IF(I130&gt;=6,"Moderate","Low"))))</x:f>
      </x:c>
      <x:c r="K130" s="18"/>
      <x:c r="L130" s="18"/>
      <x:c r="M130" s="22"/>
      <x:c r="N130" s="18"/>
      <x:c r="O130" s="18"/>
      <x:c r="P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 t="str">
        <x:f>IF(OR(G131="",H131=""),"",G131*H131)</x:f>
      </x:c>
      <x:c r="J131" s="18" t="str">
        <x:f>IF(I131="","",IF(I131&gt;=20,"Critical",IF(I131&gt;=12,"High",IF(I131&gt;=6,"Moderate","Low"))))</x:f>
      </x:c>
      <x:c r="K131" s="18"/>
      <x:c r="L131" s="18"/>
      <x:c r="M131" s="22"/>
      <x:c r="N131" s="18"/>
      <x:c r="O131" s="18"/>
      <x:c r="P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 t="str">
        <x:f>IF(OR(G132="",H132=""),"",G132*H132)</x:f>
      </x:c>
      <x:c r="J132" s="18" t="str">
        <x:f>IF(I132="","",IF(I132&gt;=20,"Critical",IF(I132&gt;=12,"High",IF(I132&gt;=6,"Moderate","Low"))))</x:f>
      </x:c>
      <x:c r="K132" s="18"/>
      <x:c r="L132" s="18"/>
      <x:c r="M132" s="22"/>
      <x:c r="N132" s="18"/>
      <x:c r="O132" s="18"/>
      <x:c r="P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 t="str">
        <x:f>IF(OR(G133="",H133=""),"",G133*H133)</x:f>
      </x:c>
      <x:c r="J133" s="18" t="str">
        <x:f>IF(I133="","",IF(I133&gt;=20,"Critical",IF(I133&gt;=12,"High",IF(I133&gt;=6,"Moderate","Low"))))</x:f>
      </x:c>
      <x:c r="K133" s="18"/>
      <x:c r="L133" s="18"/>
      <x:c r="M133" s="22"/>
      <x:c r="N133" s="18"/>
      <x:c r="O133" s="18"/>
      <x:c r="P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 t="str">
        <x:f>IF(OR(G134="",H134=""),"",G134*H134)</x:f>
      </x:c>
      <x:c r="J134" s="18" t="str">
        <x:f>IF(I134="","",IF(I134&gt;=20,"Critical",IF(I134&gt;=12,"High",IF(I134&gt;=6,"Moderate","Low"))))</x:f>
      </x:c>
      <x:c r="K134" s="18"/>
      <x:c r="L134" s="18"/>
      <x:c r="M134" s="22"/>
      <x:c r="N134" s="18"/>
      <x:c r="O134" s="18"/>
      <x:c r="P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 t="str">
        <x:f>IF(OR(G135="",H135=""),"",G135*H135)</x:f>
      </x:c>
      <x:c r="J135" s="18" t="str">
        <x:f>IF(I135="","",IF(I135&gt;=20,"Critical",IF(I135&gt;=12,"High",IF(I135&gt;=6,"Moderate","Low"))))</x:f>
      </x:c>
      <x:c r="K135" s="18"/>
      <x:c r="L135" s="18"/>
      <x:c r="M135" s="22"/>
      <x:c r="N135" s="18"/>
      <x:c r="O135" s="18"/>
      <x:c r="P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 t="str">
        <x:f>IF(OR(G136="",H136=""),"",G136*H136)</x:f>
      </x:c>
      <x:c r="J136" s="18" t="str">
        <x:f>IF(I136="","",IF(I136&gt;=20,"Critical",IF(I136&gt;=12,"High",IF(I136&gt;=6,"Moderate","Low"))))</x:f>
      </x:c>
      <x:c r="K136" s="18"/>
      <x:c r="L136" s="18"/>
      <x:c r="M136" s="22"/>
      <x:c r="N136" s="18"/>
      <x:c r="O136" s="18"/>
      <x:c r="P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 t="str">
        <x:f>IF(OR(G137="",H137=""),"",G137*H137)</x:f>
      </x:c>
      <x:c r="J137" s="18" t="str">
        <x:f>IF(I137="","",IF(I137&gt;=20,"Critical",IF(I137&gt;=12,"High",IF(I137&gt;=6,"Moderate","Low"))))</x:f>
      </x:c>
      <x:c r="K137" s="18"/>
      <x:c r="L137" s="18"/>
      <x:c r="M137" s="22"/>
      <x:c r="N137" s="18"/>
      <x:c r="O137" s="18"/>
      <x:c r="P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 t="str">
        <x:f>IF(OR(G138="",H138=""),"",G138*H138)</x:f>
      </x:c>
      <x:c r="J138" s="18" t="str">
        <x:f>IF(I138="","",IF(I138&gt;=20,"Critical",IF(I138&gt;=12,"High",IF(I138&gt;=6,"Moderate","Low"))))</x:f>
      </x:c>
      <x:c r="K138" s="18"/>
      <x:c r="L138" s="18"/>
      <x:c r="M138" s="22"/>
      <x:c r="N138" s="18"/>
      <x:c r="O138" s="18"/>
      <x:c r="P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 t="str">
        <x:f>IF(OR(G139="",H139=""),"",G139*H139)</x:f>
      </x:c>
      <x:c r="J139" s="18" t="str">
        <x:f>IF(I139="","",IF(I139&gt;=20,"Critical",IF(I139&gt;=12,"High",IF(I139&gt;=6,"Moderate","Low"))))</x:f>
      </x:c>
      <x:c r="K139" s="18"/>
      <x:c r="L139" s="18"/>
      <x:c r="M139" s="22"/>
      <x:c r="N139" s="18"/>
      <x:c r="O139" s="18"/>
      <x:c r="P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 t="str">
        <x:f>IF(OR(G140="",H140=""),"",G140*H140)</x:f>
      </x:c>
      <x:c r="J140" s="18" t="str">
        <x:f>IF(I140="","",IF(I140&gt;=20,"Critical",IF(I140&gt;=12,"High",IF(I140&gt;=6,"Moderate","Low"))))</x:f>
      </x:c>
      <x:c r="K140" s="18"/>
      <x:c r="L140" s="18"/>
      <x:c r="M140" s="22"/>
      <x:c r="N140" s="18"/>
      <x:c r="O140" s="18"/>
      <x:c r="P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 t="str">
        <x:f>IF(OR(G141="",H141=""),"",G141*H141)</x:f>
      </x:c>
      <x:c r="J141" s="18" t="str">
        <x:f>IF(I141="","",IF(I141&gt;=20,"Critical",IF(I141&gt;=12,"High",IF(I141&gt;=6,"Moderate","Low"))))</x:f>
      </x:c>
      <x:c r="K141" s="18"/>
      <x:c r="L141" s="18"/>
      <x:c r="M141" s="22"/>
      <x:c r="N141" s="18"/>
      <x:c r="O141" s="18"/>
      <x:c r="P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 t="str">
        <x:f>IF(OR(G142="",H142=""),"",G142*H142)</x:f>
      </x:c>
      <x:c r="J142" s="18" t="str">
        <x:f>IF(I142="","",IF(I142&gt;=20,"Critical",IF(I142&gt;=12,"High",IF(I142&gt;=6,"Moderate","Low"))))</x:f>
      </x:c>
      <x:c r="K142" s="18"/>
      <x:c r="L142" s="18"/>
      <x:c r="M142" s="22"/>
      <x:c r="N142" s="18"/>
      <x:c r="O142" s="18"/>
      <x:c r="P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 t="str">
        <x:f>IF(OR(G143="",H143=""),"",G143*H143)</x:f>
      </x:c>
      <x:c r="J143" s="18" t="str">
        <x:f>IF(I143="","",IF(I143&gt;=20,"Critical",IF(I143&gt;=12,"High",IF(I143&gt;=6,"Moderate","Low"))))</x:f>
      </x:c>
      <x:c r="K143" s="18"/>
      <x:c r="L143" s="18"/>
      <x:c r="M143" s="22"/>
      <x:c r="N143" s="18"/>
      <x:c r="O143" s="18"/>
      <x:c r="P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 t="str">
        <x:f>IF(OR(G144="",H144=""),"",G144*H144)</x:f>
      </x:c>
      <x:c r="J144" s="18" t="str">
        <x:f>IF(I144="","",IF(I144&gt;=20,"Critical",IF(I144&gt;=12,"High",IF(I144&gt;=6,"Moderate","Low"))))</x:f>
      </x:c>
      <x:c r="K144" s="18"/>
      <x:c r="L144" s="18"/>
      <x:c r="M144" s="22"/>
      <x:c r="N144" s="18"/>
      <x:c r="O144" s="18"/>
      <x:c r="P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 t="str">
        <x:f>IF(OR(G145="",H145=""),"",G145*H145)</x:f>
      </x:c>
      <x:c r="J145" s="18" t="str">
        <x:f>IF(I145="","",IF(I145&gt;=20,"Critical",IF(I145&gt;=12,"High",IF(I145&gt;=6,"Moderate","Low"))))</x:f>
      </x:c>
      <x:c r="K145" s="18"/>
      <x:c r="L145" s="18"/>
      <x:c r="M145" s="22"/>
      <x:c r="N145" s="18"/>
      <x:c r="O145" s="18"/>
      <x:c r="P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 t="str">
        <x:f>IF(OR(G146="",H146=""),"",G146*H146)</x:f>
      </x:c>
      <x:c r="J146" s="18" t="str">
        <x:f>IF(I146="","",IF(I146&gt;=20,"Critical",IF(I146&gt;=12,"High",IF(I146&gt;=6,"Moderate","Low"))))</x:f>
      </x:c>
      <x:c r="K146" s="18"/>
      <x:c r="L146" s="18"/>
      <x:c r="M146" s="22"/>
      <x:c r="N146" s="18"/>
      <x:c r="O146" s="18"/>
      <x:c r="P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 t="str">
        <x:f>IF(OR(G147="",H147=""),"",G147*H147)</x:f>
      </x:c>
      <x:c r="J147" s="18" t="str">
        <x:f>IF(I147="","",IF(I147&gt;=20,"Critical",IF(I147&gt;=12,"High",IF(I147&gt;=6,"Moderate","Low"))))</x:f>
      </x:c>
      <x:c r="K147" s="18"/>
      <x:c r="L147" s="18"/>
      <x:c r="M147" s="22"/>
      <x:c r="N147" s="18"/>
      <x:c r="O147" s="18"/>
      <x:c r="P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 t="str">
        <x:f>IF(OR(G148="",H148=""),"",G148*H148)</x:f>
      </x:c>
      <x:c r="J148" s="18" t="str">
        <x:f>IF(I148="","",IF(I148&gt;=20,"Critical",IF(I148&gt;=12,"High",IF(I148&gt;=6,"Moderate","Low"))))</x:f>
      </x:c>
      <x:c r="K148" s="18"/>
      <x:c r="L148" s="18"/>
      <x:c r="M148" s="22"/>
      <x:c r="N148" s="18"/>
      <x:c r="O148" s="18"/>
      <x:c r="P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 t="str">
        <x:f>IF(OR(G149="",H149=""),"",G149*H149)</x:f>
      </x:c>
      <x:c r="J149" s="18" t="str">
        <x:f>IF(I149="","",IF(I149&gt;=20,"Critical",IF(I149&gt;=12,"High",IF(I149&gt;=6,"Moderate","Low"))))</x:f>
      </x:c>
      <x:c r="K149" s="18"/>
      <x:c r="L149" s="18"/>
      <x:c r="M149" s="22"/>
      <x:c r="N149" s="18"/>
      <x:c r="O149" s="18"/>
      <x:c r="P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 t="str">
        <x:f>IF(OR(G150="",H150=""),"",G150*H150)</x:f>
      </x:c>
      <x:c r="J150" s="18" t="str">
        <x:f>IF(I150="","",IF(I150&gt;=20,"Critical",IF(I150&gt;=12,"High",IF(I150&gt;=6,"Moderate","Low"))))</x:f>
      </x:c>
      <x:c r="K150" s="18"/>
      <x:c r="L150" s="18"/>
      <x:c r="M150" s="22"/>
      <x:c r="N150" s="18"/>
      <x:c r="O150" s="18"/>
      <x:c r="P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 t="str">
        <x:f>IF(OR(G151="",H151=""),"",G151*H151)</x:f>
      </x:c>
      <x:c r="J151" s="18" t="str">
        <x:f>IF(I151="","",IF(I151&gt;=20,"Critical",IF(I151&gt;=12,"High",IF(I151&gt;=6,"Moderate","Low"))))</x:f>
      </x:c>
      <x:c r="K151" s="18"/>
      <x:c r="L151" s="18"/>
      <x:c r="M151" s="22"/>
      <x:c r="N151" s="18"/>
      <x:c r="O151" s="18"/>
      <x:c r="P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 t="str">
        <x:f>IF(OR(G152="",H152=""),"",G152*H152)</x:f>
      </x:c>
      <x:c r="J152" s="18" t="str">
        <x:f>IF(I152="","",IF(I152&gt;=20,"Critical",IF(I152&gt;=12,"High",IF(I152&gt;=6,"Moderate","Low"))))</x:f>
      </x:c>
      <x:c r="K152" s="18"/>
      <x:c r="L152" s="18"/>
      <x:c r="M152" s="22"/>
      <x:c r="N152" s="18"/>
      <x:c r="O152" s="18"/>
      <x:c r="P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 t="str">
        <x:f>IF(OR(G153="",H153=""),"",G153*H153)</x:f>
      </x:c>
      <x:c r="J153" s="18" t="str">
        <x:f>IF(I153="","",IF(I153&gt;=20,"Critical",IF(I153&gt;=12,"High",IF(I153&gt;=6,"Moderate","Low"))))</x:f>
      </x:c>
      <x:c r="K153" s="18"/>
      <x:c r="L153" s="18"/>
      <x:c r="M153" s="22"/>
      <x:c r="N153" s="18"/>
      <x:c r="O153" s="18"/>
      <x:c r="P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 t="str">
        <x:f>IF(OR(G154="",H154=""),"",G154*H154)</x:f>
      </x:c>
      <x:c r="J154" s="18" t="str">
        <x:f>IF(I154="","",IF(I154&gt;=20,"Critical",IF(I154&gt;=12,"High",IF(I154&gt;=6,"Moderate","Low"))))</x:f>
      </x:c>
      <x:c r="K154" s="18"/>
      <x:c r="L154" s="18"/>
      <x:c r="M154" s="22"/>
      <x:c r="N154" s="18"/>
      <x:c r="O154" s="18"/>
      <x:c r="P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 t="str">
        <x:f>IF(OR(G155="",H155=""),"",G155*H155)</x:f>
      </x:c>
      <x:c r="J155" s="18" t="str">
        <x:f>IF(I155="","",IF(I155&gt;=20,"Critical",IF(I155&gt;=12,"High",IF(I155&gt;=6,"Moderate","Low"))))</x:f>
      </x:c>
      <x:c r="K155" s="18"/>
      <x:c r="L155" s="18"/>
      <x:c r="M155" s="22"/>
      <x:c r="N155" s="18"/>
      <x:c r="O155" s="18"/>
      <x:c r="P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 t="str">
        <x:f>IF(OR(G156="",H156=""),"",G156*H156)</x:f>
      </x:c>
      <x:c r="J156" s="18" t="str">
        <x:f>IF(I156="","",IF(I156&gt;=20,"Critical",IF(I156&gt;=12,"High",IF(I156&gt;=6,"Moderate","Low"))))</x:f>
      </x:c>
      <x:c r="K156" s="18"/>
      <x:c r="L156" s="18"/>
      <x:c r="M156" s="22"/>
      <x:c r="N156" s="18"/>
      <x:c r="O156" s="18"/>
      <x:c r="P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 t="str">
        <x:f>IF(OR(G157="",H157=""),"",G157*H157)</x:f>
      </x:c>
      <x:c r="J157" s="18" t="str">
        <x:f>IF(I157="","",IF(I157&gt;=20,"Critical",IF(I157&gt;=12,"High",IF(I157&gt;=6,"Moderate","Low"))))</x:f>
      </x:c>
      <x:c r="K157" s="18"/>
      <x:c r="L157" s="18"/>
      <x:c r="M157" s="22"/>
      <x:c r="N157" s="18"/>
      <x:c r="O157" s="18"/>
      <x:c r="P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 t="str">
        <x:f>IF(OR(G158="",H158=""),"",G158*H158)</x:f>
      </x:c>
      <x:c r="J158" s="18" t="str">
        <x:f>IF(I158="","",IF(I158&gt;=20,"Critical",IF(I158&gt;=12,"High",IF(I158&gt;=6,"Moderate","Low"))))</x:f>
      </x:c>
      <x:c r="K158" s="18"/>
      <x:c r="L158" s="18"/>
      <x:c r="M158" s="22"/>
      <x:c r="N158" s="18"/>
      <x:c r="O158" s="18"/>
      <x:c r="P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 t="str">
        <x:f>IF(OR(G159="",H159=""),"",G159*H159)</x:f>
      </x:c>
      <x:c r="J159" s="18" t="str">
        <x:f>IF(I159="","",IF(I159&gt;=20,"Critical",IF(I159&gt;=12,"High",IF(I159&gt;=6,"Moderate","Low"))))</x:f>
      </x:c>
      <x:c r="K159" s="18"/>
      <x:c r="L159" s="18"/>
      <x:c r="M159" s="22"/>
      <x:c r="N159" s="18"/>
      <x:c r="O159" s="18"/>
      <x:c r="P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 t="str">
        <x:f>IF(OR(G160="",H160=""),"",G160*H160)</x:f>
      </x:c>
      <x:c r="J160" s="18" t="str">
        <x:f>IF(I160="","",IF(I160&gt;=20,"Critical",IF(I160&gt;=12,"High",IF(I160&gt;=6,"Moderate","Low"))))</x:f>
      </x:c>
      <x:c r="K160" s="18"/>
      <x:c r="L160" s="18"/>
      <x:c r="M160" s="22"/>
      <x:c r="N160" s="18"/>
      <x:c r="O160" s="18"/>
      <x:c r="P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 t="str">
        <x:f>IF(OR(G161="",H161=""),"",G161*H161)</x:f>
      </x:c>
      <x:c r="J161" s="18" t="str">
        <x:f>IF(I161="","",IF(I161&gt;=20,"Critical",IF(I161&gt;=12,"High",IF(I161&gt;=6,"Moderate","Low"))))</x:f>
      </x:c>
      <x:c r="K161" s="18"/>
      <x:c r="L161" s="18"/>
      <x:c r="M161" s="22"/>
      <x:c r="N161" s="18"/>
      <x:c r="O161" s="18"/>
      <x:c r="P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 t="str">
        <x:f>IF(OR(G162="",H162=""),"",G162*H162)</x:f>
      </x:c>
      <x:c r="J162" s="18" t="str">
        <x:f>IF(I162="","",IF(I162&gt;=20,"Critical",IF(I162&gt;=12,"High",IF(I162&gt;=6,"Moderate","Low"))))</x:f>
      </x:c>
      <x:c r="K162" s="18"/>
      <x:c r="L162" s="18"/>
      <x:c r="M162" s="22"/>
      <x:c r="N162" s="18"/>
      <x:c r="O162" s="18"/>
      <x:c r="P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 t="str">
        <x:f>IF(OR(G163="",H163=""),"",G163*H163)</x:f>
      </x:c>
      <x:c r="J163" s="18" t="str">
        <x:f>IF(I163="","",IF(I163&gt;=20,"Critical",IF(I163&gt;=12,"High",IF(I163&gt;=6,"Moderate","Low"))))</x:f>
      </x:c>
      <x:c r="K163" s="18"/>
      <x:c r="L163" s="18"/>
      <x:c r="M163" s="22"/>
      <x:c r="N163" s="18"/>
      <x:c r="O163" s="18"/>
      <x:c r="P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 t="str">
        <x:f>IF(OR(G164="",H164=""),"",G164*H164)</x:f>
      </x:c>
      <x:c r="J164" s="18" t="str">
        <x:f>IF(I164="","",IF(I164&gt;=20,"Critical",IF(I164&gt;=12,"High",IF(I164&gt;=6,"Moderate","Low"))))</x:f>
      </x:c>
      <x:c r="K164" s="18"/>
      <x:c r="L164" s="18"/>
      <x:c r="M164" s="22"/>
      <x:c r="N164" s="18"/>
      <x:c r="O164" s="18"/>
      <x:c r="P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 t="str">
        <x:f>IF(OR(G165="",H165=""),"",G165*H165)</x:f>
      </x:c>
      <x:c r="J165" s="18" t="str">
        <x:f>IF(I165="","",IF(I165&gt;=20,"Critical",IF(I165&gt;=12,"High",IF(I165&gt;=6,"Moderate","Low"))))</x:f>
      </x:c>
      <x:c r="K165" s="18"/>
      <x:c r="L165" s="18"/>
      <x:c r="M165" s="22"/>
      <x:c r="N165" s="18"/>
      <x:c r="O165" s="18"/>
      <x:c r="P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 t="str">
        <x:f>IF(OR(G166="",H166=""),"",G166*H166)</x:f>
      </x:c>
      <x:c r="J166" s="18" t="str">
        <x:f>IF(I166="","",IF(I166&gt;=20,"Critical",IF(I166&gt;=12,"High",IF(I166&gt;=6,"Moderate","Low"))))</x:f>
      </x:c>
      <x:c r="K166" s="18"/>
      <x:c r="L166" s="18"/>
      <x:c r="M166" s="22"/>
      <x:c r="N166" s="18"/>
      <x:c r="O166" s="18"/>
      <x:c r="P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 t="str">
        <x:f>IF(OR(G167="",H167=""),"",G167*H167)</x:f>
      </x:c>
      <x:c r="J167" s="18" t="str">
        <x:f>IF(I167="","",IF(I167&gt;=20,"Critical",IF(I167&gt;=12,"High",IF(I167&gt;=6,"Moderate","Low"))))</x:f>
      </x:c>
      <x:c r="K167" s="18"/>
      <x:c r="L167" s="18"/>
      <x:c r="M167" s="22"/>
      <x:c r="N167" s="18"/>
      <x:c r="O167" s="18"/>
      <x:c r="P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 t="str">
        <x:f>IF(OR(G168="",H168=""),"",G168*H168)</x:f>
      </x:c>
      <x:c r="J168" s="18" t="str">
        <x:f>IF(I168="","",IF(I168&gt;=20,"Critical",IF(I168&gt;=12,"High",IF(I168&gt;=6,"Moderate","Low"))))</x:f>
      </x:c>
      <x:c r="K168" s="18"/>
      <x:c r="L168" s="18"/>
      <x:c r="M168" s="22"/>
      <x:c r="N168" s="18"/>
      <x:c r="O168" s="18"/>
      <x:c r="P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 t="str">
        <x:f>IF(OR(G169="",H169=""),"",G169*H169)</x:f>
      </x:c>
      <x:c r="J169" s="18" t="str">
        <x:f>IF(I169="","",IF(I169&gt;=20,"Critical",IF(I169&gt;=12,"High",IF(I169&gt;=6,"Moderate","Low"))))</x:f>
      </x:c>
      <x:c r="K169" s="18"/>
      <x:c r="L169" s="18"/>
      <x:c r="M169" s="22"/>
      <x:c r="N169" s="18"/>
      <x:c r="O169" s="18"/>
      <x:c r="P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 t="str">
        <x:f>IF(OR(G170="",H170=""),"",G170*H170)</x:f>
      </x:c>
      <x:c r="J170" s="18" t="str">
        <x:f>IF(I170="","",IF(I170&gt;=20,"Critical",IF(I170&gt;=12,"High",IF(I170&gt;=6,"Moderate","Low"))))</x:f>
      </x:c>
      <x:c r="K170" s="18"/>
      <x:c r="L170" s="18"/>
      <x:c r="M170" s="22"/>
      <x:c r="N170" s="18"/>
      <x:c r="O170" s="18"/>
      <x:c r="P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 t="str">
        <x:f>IF(OR(G171="",H171=""),"",G171*H171)</x:f>
      </x:c>
      <x:c r="J171" s="18" t="str">
        <x:f>IF(I171="","",IF(I171&gt;=20,"Critical",IF(I171&gt;=12,"High",IF(I171&gt;=6,"Moderate","Low"))))</x:f>
      </x:c>
      <x:c r="K171" s="18"/>
      <x:c r="L171" s="18"/>
      <x:c r="M171" s="22"/>
      <x:c r="N171" s="18"/>
      <x:c r="O171" s="18"/>
      <x:c r="P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 t="str">
        <x:f>IF(OR(G172="",H172=""),"",G172*H172)</x:f>
      </x:c>
      <x:c r="J172" s="18" t="str">
        <x:f>IF(I172="","",IF(I172&gt;=20,"Critical",IF(I172&gt;=12,"High",IF(I172&gt;=6,"Moderate","Low"))))</x:f>
      </x:c>
      <x:c r="K172" s="18"/>
      <x:c r="L172" s="18"/>
      <x:c r="M172" s="22"/>
      <x:c r="N172" s="18"/>
      <x:c r="O172" s="18"/>
      <x:c r="P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 t="str">
        <x:f>IF(OR(G173="",H173=""),"",G173*H173)</x:f>
      </x:c>
      <x:c r="J173" s="18" t="str">
        <x:f>IF(I173="","",IF(I173&gt;=20,"Critical",IF(I173&gt;=12,"High",IF(I173&gt;=6,"Moderate","Low"))))</x:f>
      </x:c>
      <x:c r="K173" s="18"/>
      <x:c r="L173" s="18"/>
      <x:c r="M173" s="22"/>
      <x:c r="N173" s="18"/>
      <x:c r="O173" s="18"/>
      <x:c r="P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 t="str">
        <x:f>IF(OR(G174="",H174=""),"",G174*H174)</x:f>
      </x:c>
      <x:c r="J174" s="18" t="str">
        <x:f>IF(I174="","",IF(I174&gt;=20,"Critical",IF(I174&gt;=12,"High",IF(I174&gt;=6,"Moderate","Low"))))</x:f>
      </x:c>
      <x:c r="K174" s="18"/>
      <x:c r="L174" s="18"/>
      <x:c r="M174" s="22"/>
      <x:c r="N174" s="18"/>
      <x:c r="O174" s="18"/>
      <x:c r="P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 t="str">
        <x:f>IF(OR(G175="",H175=""),"",G175*H175)</x:f>
      </x:c>
      <x:c r="J175" s="18" t="str">
        <x:f>IF(I175="","",IF(I175&gt;=20,"Critical",IF(I175&gt;=12,"High",IF(I175&gt;=6,"Moderate","Low"))))</x:f>
      </x:c>
      <x:c r="K175" s="18"/>
      <x:c r="L175" s="18"/>
      <x:c r="M175" s="22"/>
      <x:c r="N175" s="18"/>
      <x:c r="O175" s="18"/>
      <x:c r="P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 t="str">
        <x:f>IF(OR(G176="",H176=""),"",G176*H176)</x:f>
      </x:c>
      <x:c r="J176" s="18" t="str">
        <x:f>IF(I176="","",IF(I176&gt;=20,"Critical",IF(I176&gt;=12,"High",IF(I176&gt;=6,"Moderate","Low"))))</x:f>
      </x:c>
      <x:c r="K176" s="18"/>
      <x:c r="L176" s="18"/>
      <x:c r="M176" s="22"/>
      <x:c r="N176" s="18"/>
      <x:c r="O176" s="18"/>
      <x:c r="P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 t="str">
        <x:f>IF(OR(G177="",H177=""),"",G177*H177)</x:f>
      </x:c>
      <x:c r="J177" s="18" t="str">
        <x:f>IF(I177="","",IF(I177&gt;=20,"Critical",IF(I177&gt;=12,"High",IF(I177&gt;=6,"Moderate","Low"))))</x:f>
      </x:c>
      <x:c r="K177" s="18"/>
      <x:c r="L177" s="18"/>
      <x:c r="M177" s="22"/>
      <x:c r="N177" s="18"/>
      <x:c r="O177" s="18"/>
      <x:c r="P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 t="str">
        <x:f>IF(OR(G178="",H178=""),"",G178*H178)</x:f>
      </x:c>
      <x:c r="J178" s="18" t="str">
        <x:f>IF(I178="","",IF(I178&gt;=20,"Critical",IF(I178&gt;=12,"High",IF(I178&gt;=6,"Moderate","Low"))))</x:f>
      </x:c>
      <x:c r="K178" s="18"/>
      <x:c r="L178" s="18"/>
      <x:c r="M178" s="22"/>
      <x:c r="N178" s="18"/>
      <x:c r="O178" s="18"/>
      <x:c r="P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 t="str">
        <x:f>IF(OR(G179="",H179=""),"",G179*H179)</x:f>
      </x:c>
      <x:c r="J179" s="18" t="str">
        <x:f>IF(I179="","",IF(I179&gt;=20,"Critical",IF(I179&gt;=12,"High",IF(I179&gt;=6,"Moderate","Low"))))</x:f>
      </x:c>
      <x:c r="K179" s="18"/>
      <x:c r="L179" s="18"/>
      <x:c r="M179" s="22"/>
      <x:c r="N179" s="18"/>
      <x:c r="O179" s="18"/>
      <x:c r="P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 t="str">
        <x:f>IF(OR(G180="",H180=""),"",G180*H180)</x:f>
      </x:c>
      <x:c r="J180" s="18" t="str">
        <x:f>IF(I180="","",IF(I180&gt;=20,"Critical",IF(I180&gt;=12,"High",IF(I180&gt;=6,"Moderate","Low"))))</x:f>
      </x:c>
      <x:c r="K180" s="18"/>
      <x:c r="L180" s="18"/>
      <x:c r="M180" s="22"/>
      <x:c r="N180" s="18"/>
      <x:c r="O180" s="18"/>
      <x:c r="P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 t="str">
        <x:f>IF(OR(G181="",H181=""),"",G181*H181)</x:f>
      </x:c>
      <x:c r="J181" s="18" t="str">
        <x:f>IF(I181="","",IF(I181&gt;=20,"Critical",IF(I181&gt;=12,"High",IF(I181&gt;=6,"Moderate","Low"))))</x:f>
      </x:c>
      <x:c r="K181" s="18"/>
      <x:c r="L181" s="18"/>
      <x:c r="M181" s="22"/>
      <x:c r="N181" s="18"/>
      <x:c r="O181" s="18"/>
      <x:c r="P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 t="str">
        <x:f>IF(OR(G182="",H182=""),"",G182*H182)</x:f>
      </x:c>
      <x:c r="J182" s="18" t="str">
        <x:f>IF(I182="","",IF(I182&gt;=20,"Critical",IF(I182&gt;=12,"High",IF(I182&gt;=6,"Moderate","Low"))))</x:f>
      </x:c>
      <x:c r="K182" s="18"/>
      <x:c r="L182" s="18"/>
      <x:c r="M182" s="22"/>
      <x:c r="N182" s="18"/>
      <x:c r="O182" s="18"/>
      <x:c r="P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 t="str">
        <x:f>IF(OR(G183="",H183=""),"",G183*H183)</x:f>
      </x:c>
      <x:c r="J183" s="18" t="str">
        <x:f>IF(I183="","",IF(I183&gt;=20,"Critical",IF(I183&gt;=12,"High",IF(I183&gt;=6,"Moderate","Low"))))</x:f>
      </x:c>
      <x:c r="K183" s="18"/>
      <x:c r="L183" s="18"/>
      <x:c r="M183" s="22"/>
      <x:c r="N183" s="18"/>
      <x:c r="O183" s="18"/>
      <x:c r="P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 t="str">
        <x:f>IF(OR(G184="",H184=""),"",G184*H184)</x:f>
      </x:c>
      <x:c r="J184" s="18" t="str">
        <x:f>IF(I184="","",IF(I184&gt;=20,"Critical",IF(I184&gt;=12,"High",IF(I184&gt;=6,"Moderate","Low"))))</x:f>
      </x:c>
      <x:c r="K184" s="18"/>
      <x:c r="L184" s="18"/>
      <x:c r="M184" s="22"/>
      <x:c r="N184" s="18"/>
      <x:c r="O184" s="18"/>
      <x:c r="P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 t="str">
        <x:f>IF(OR(G185="",H185=""),"",G185*H185)</x:f>
      </x:c>
      <x:c r="J185" s="18" t="str">
        <x:f>IF(I185="","",IF(I185&gt;=20,"Critical",IF(I185&gt;=12,"High",IF(I185&gt;=6,"Moderate","Low"))))</x:f>
      </x:c>
      <x:c r="K185" s="18"/>
      <x:c r="L185" s="18"/>
      <x:c r="M185" s="22"/>
      <x:c r="N185" s="18"/>
      <x:c r="O185" s="18"/>
      <x:c r="P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 t="str">
        <x:f>IF(OR(G186="",H186=""),"",G186*H186)</x:f>
      </x:c>
      <x:c r="J186" s="18" t="str">
        <x:f>IF(I186="","",IF(I186&gt;=20,"Critical",IF(I186&gt;=12,"High",IF(I186&gt;=6,"Moderate","Low"))))</x:f>
      </x:c>
      <x:c r="K186" s="18"/>
      <x:c r="L186" s="18"/>
      <x:c r="M186" s="22"/>
      <x:c r="N186" s="18"/>
      <x:c r="O186" s="18"/>
      <x:c r="P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 t="str">
        <x:f>IF(OR(G187="",H187=""),"",G187*H187)</x:f>
      </x:c>
      <x:c r="J187" s="18" t="str">
        <x:f>IF(I187="","",IF(I187&gt;=20,"Critical",IF(I187&gt;=12,"High",IF(I187&gt;=6,"Moderate","Low"))))</x:f>
      </x:c>
      <x:c r="K187" s="18"/>
      <x:c r="L187" s="18"/>
      <x:c r="M187" s="22"/>
      <x:c r="N187" s="18"/>
      <x:c r="O187" s="18"/>
      <x:c r="P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 t="str">
        <x:f>IF(OR(G188="",H188=""),"",G188*H188)</x:f>
      </x:c>
      <x:c r="J188" s="18" t="str">
        <x:f>IF(I188="","",IF(I188&gt;=20,"Critical",IF(I188&gt;=12,"High",IF(I188&gt;=6,"Moderate","Low"))))</x:f>
      </x:c>
      <x:c r="K188" s="18"/>
      <x:c r="L188" s="18"/>
      <x:c r="M188" s="22"/>
      <x:c r="N188" s="18"/>
      <x:c r="O188" s="18"/>
      <x:c r="P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 t="str">
        <x:f>IF(OR(G189="",H189=""),"",G189*H189)</x:f>
      </x:c>
      <x:c r="J189" s="18" t="str">
        <x:f>IF(I189="","",IF(I189&gt;=20,"Critical",IF(I189&gt;=12,"High",IF(I189&gt;=6,"Moderate","Low"))))</x:f>
      </x:c>
      <x:c r="K189" s="18"/>
      <x:c r="L189" s="18"/>
      <x:c r="M189" s="22"/>
      <x:c r="N189" s="18"/>
      <x:c r="O189" s="18"/>
      <x:c r="P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 t="str">
        <x:f>IF(OR(G190="",H190=""),"",G190*H190)</x:f>
      </x:c>
      <x:c r="J190" s="18" t="str">
        <x:f>IF(I190="","",IF(I190&gt;=20,"Critical",IF(I190&gt;=12,"High",IF(I190&gt;=6,"Moderate","Low"))))</x:f>
      </x:c>
      <x:c r="K190" s="18"/>
      <x:c r="L190" s="18"/>
      <x:c r="M190" s="22"/>
      <x:c r="N190" s="18"/>
      <x:c r="O190" s="18"/>
      <x:c r="P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 t="str">
        <x:f>IF(OR(G191="",H191=""),"",G191*H191)</x:f>
      </x:c>
      <x:c r="J191" s="18" t="str">
        <x:f>IF(I191="","",IF(I191&gt;=20,"Critical",IF(I191&gt;=12,"High",IF(I191&gt;=6,"Moderate","Low"))))</x:f>
      </x:c>
      <x:c r="K191" s="18"/>
      <x:c r="L191" s="18"/>
      <x:c r="M191" s="22"/>
      <x:c r="N191" s="18"/>
      <x:c r="O191" s="18"/>
      <x:c r="P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 t="str">
        <x:f>IF(OR(G192="",H192=""),"",G192*H192)</x:f>
      </x:c>
      <x:c r="J192" s="18" t="str">
        <x:f>IF(I192="","",IF(I192&gt;=20,"Critical",IF(I192&gt;=12,"High",IF(I192&gt;=6,"Moderate","Low"))))</x:f>
      </x:c>
      <x:c r="K192" s="18"/>
      <x:c r="L192" s="18"/>
      <x:c r="M192" s="22"/>
      <x:c r="N192" s="18"/>
      <x:c r="O192" s="18"/>
      <x:c r="P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 t="str">
        <x:f>IF(OR(G193="",H193=""),"",G193*H193)</x:f>
      </x:c>
      <x:c r="J193" s="18" t="str">
        <x:f>IF(I193="","",IF(I193&gt;=20,"Critical",IF(I193&gt;=12,"High",IF(I193&gt;=6,"Moderate","Low"))))</x:f>
      </x:c>
      <x:c r="K193" s="18"/>
      <x:c r="L193" s="18"/>
      <x:c r="M193" s="22"/>
      <x:c r="N193" s="18"/>
      <x:c r="O193" s="18"/>
      <x:c r="P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 t="str">
        <x:f>IF(OR(G194="",H194=""),"",G194*H194)</x:f>
      </x:c>
      <x:c r="J194" s="18" t="str">
        <x:f>IF(I194="","",IF(I194&gt;=20,"Critical",IF(I194&gt;=12,"High",IF(I194&gt;=6,"Moderate","Low"))))</x:f>
      </x:c>
      <x:c r="K194" s="18"/>
      <x:c r="L194" s="18"/>
      <x:c r="M194" s="22"/>
      <x:c r="N194" s="18"/>
      <x:c r="O194" s="18"/>
      <x:c r="P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 t="str">
        <x:f>IF(OR(G195="",H195=""),"",G195*H195)</x:f>
      </x:c>
      <x:c r="J195" s="18" t="str">
        <x:f>IF(I195="","",IF(I195&gt;=20,"Critical",IF(I195&gt;=12,"High",IF(I195&gt;=6,"Moderate","Low"))))</x:f>
      </x:c>
      <x:c r="K195" s="18"/>
      <x:c r="L195" s="18"/>
      <x:c r="M195" s="22"/>
      <x:c r="N195" s="18"/>
      <x:c r="O195" s="18"/>
      <x:c r="P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 t="str">
        <x:f>IF(OR(G196="",H196=""),"",G196*H196)</x:f>
      </x:c>
      <x:c r="J196" s="18" t="str">
        <x:f>IF(I196="","",IF(I196&gt;=20,"Critical",IF(I196&gt;=12,"High",IF(I196&gt;=6,"Moderate","Low"))))</x:f>
      </x:c>
      <x:c r="K196" s="18"/>
      <x:c r="L196" s="18"/>
      <x:c r="M196" s="22"/>
      <x:c r="N196" s="18"/>
      <x:c r="O196" s="18"/>
      <x:c r="P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 t="str">
        <x:f>IF(OR(G197="",H197=""),"",G197*H197)</x:f>
      </x:c>
      <x:c r="J197" s="18" t="str">
        <x:f>IF(I197="","",IF(I197&gt;=20,"Critical",IF(I197&gt;=12,"High",IF(I197&gt;=6,"Moderate","Low"))))</x:f>
      </x:c>
      <x:c r="K197" s="18"/>
      <x:c r="L197" s="18"/>
      <x:c r="M197" s="22"/>
      <x:c r="N197" s="18"/>
      <x:c r="O197" s="18"/>
      <x:c r="P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 t="str">
        <x:f>IF(OR(G198="",H198=""),"",G198*H198)</x:f>
      </x:c>
      <x:c r="J198" s="18" t="str">
        <x:f>IF(I198="","",IF(I198&gt;=20,"Critical",IF(I198&gt;=12,"High",IF(I198&gt;=6,"Moderate","Low"))))</x:f>
      </x:c>
      <x:c r="K198" s="18"/>
      <x:c r="L198" s="18"/>
      <x:c r="M198" s="22"/>
      <x:c r="N198" s="18"/>
      <x:c r="O198" s="18"/>
      <x:c r="P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 t="str">
        <x:f>IF(OR(G199="",H199=""),"",G199*H199)</x:f>
      </x:c>
      <x:c r="J199" s="18" t="str">
        <x:f>IF(I199="","",IF(I199&gt;=20,"Critical",IF(I199&gt;=12,"High",IF(I199&gt;=6,"Moderate","Low"))))</x:f>
      </x:c>
      <x:c r="K199" s="18"/>
      <x:c r="L199" s="18"/>
      <x:c r="M199" s="22"/>
      <x:c r="N199" s="18"/>
      <x:c r="O199" s="18"/>
      <x:c r="P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 t="str">
        <x:f>IF(OR(G200="",H200=""),"",G200*H200)</x:f>
      </x:c>
      <x:c r="J200" s="18" t="str">
        <x:f>IF(I200="","",IF(I200&gt;=20,"Critical",IF(I200&gt;=12,"High",IF(I200&gt;=6,"Moderate","Low"))))</x:f>
      </x:c>
      <x:c r="K200" s="18"/>
      <x:c r="L200" s="18"/>
      <x:c r="M200" s="22"/>
      <x:c r="N200" s="18"/>
      <x:c r="O200" s="18"/>
      <x:c r="P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 t="str">
        <x:f>IF(OR(G201="",H201=""),"",G201*H201)</x:f>
      </x:c>
      <x:c r="J201" s="18" t="str">
        <x:f>IF(I201="","",IF(I201&gt;=20,"Critical",IF(I201&gt;=12,"High",IF(I201&gt;=6,"Moderate","Low"))))</x:f>
      </x:c>
      <x:c r="K201" s="18"/>
      <x:c r="L201" s="18"/>
      <x:c r="M201" s="22"/>
      <x:c r="N201" s="18"/>
      <x:c r="O201" s="18"/>
      <x:c r="P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 t="str">
        <x:f>IF(OR(G202="",H202=""),"",G202*H202)</x:f>
      </x:c>
      <x:c r="J202" s="18" t="str">
        <x:f>IF(I202="","",IF(I202&gt;=20,"Critical",IF(I202&gt;=12,"High",IF(I202&gt;=6,"Moderate","Low"))))</x:f>
      </x:c>
      <x:c r="K202" s="18"/>
      <x:c r="L202" s="18"/>
      <x:c r="M202" s="22"/>
      <x:c r="N202" s="18"/>
      <x:c r="O202" s="18"/>
      <x:c r="P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 t="str">
        <x:f>IF(OR(G203="",H203=""),"",G203*H203)</x:f>
      </x:c>
      <x:c r="J203" s="18" t="str">
        <x:f>IF(I203="","",IF(I203&gt;=20,"Critical",IF(I203&gt;=12,"High",IF(I203&gt;=6,"Moderate","Low"))))</x:f>
      </x:c>
      <x:c r="K203" s="18"/>
      <x:c r="L203" s="18"/>
      <x:c r="M203" s="22"/>
      <x:c r="N203" s="18"/>
      <x:c r="O203" s="18"/>
      <x:c r="P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 t="str">
        <x:f>IF(OR(G204="",H204=""),"",G204*H204)</x:f>
      </x:c>
      <x:c r="J204" s="18" t="str">
        <x:f>IF(I204="","",IF(I204&gt;=20,"Critical",IF(I204&gt;=12,"High",IF(I204&gt;=6,"Moderate","Low"))))</x:f>
      </x:c>
      <x:c r="K204" s="18"/>
      <x:c r="L204" s="18"/>
      <x:c r="M204" s="22"/>
      <x:c r="N204" s="18"/>
      <x:c r="O204" s="18"/>
      <x:c r="P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 t="str">
        <x:f>IF(OR(G205="",H205=""),"",G205*H205)</x:f>
      </x:c>
      <x:c r="J205" s="18" t="str">
        <x:f>IF(I205="","",IF(I205&gt;=20,"Critical",IF(I205&gt;=12,"High",IF(I205&gt;=6,"Moderate","Low"))))</x:f>
      </x:c>
      <x:c r="K205" s="18"/>
      <x:c r="L205" s="18"/>
      <x:c r="M205" s="22"/>
      <x:c r="N205" s="18"/>
      <x:c r="O205" s="18"/>
      <x:c r="P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 t="str">
        <x:f>IF(OR(G206="",H206=""),"",G206*H206)</x:f>
      </x:c>
      <x:c r="J206" s="18" t="str">
        <x:f>IF(I206="","",IF(I206&gt;=20,"Critical",IF(I206&gt;=12,"High",IF(I206&gt;=6,"Moderate","Low"))))</x:f>
      </x:c>
      <x:c r="K206" s="18"/>
      <x:c r="L206" s="18"/>
      <x:c r="M206" s="22"/>
      <x:c r="N206" s="18"/>
      <x:c r="O206" s="18"/>
      <x:c r="P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 t="str">
        <x:f>IF(OR(G207="",H207=""),"",G207*H207)</x:f>
      </x:c>
      <x:c r="J207" s="18" t="str">
        <x:f>IF(I207="","",IF(I207&gt;=20,"Critical",IF(I207&gt;=12,"High",IF(I207&gt;=6,"Moderate","Low"))))</x:f>
      </x:c>
      <x:c r="K207" s="18"/>
      <x:c r="L207" s="18"/>
      <x:c r="M207" s="22"/>
      <x:c r="N207" s="18"/>
      <x:c r="O207" s="18"/>
      <x:c r="P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 t="str">
        <x:f>IF(OR(G208="",H208=""),"",G208*H208)</x:f>
      </x:c>
      <x:c r="J208" s="18" t="str">
        <x:f>IF(I208="","",IF(I208&gt;=20,"Critical",IF(I208&gt;=12,"High",IF(I208&gt;=6,"Moderate","Low"))))</x:f>
      </x:c>
      <x:c r="K208" s="18"/>
      <x:c r="L208" s="18"/>
      <x:c r="M208" s="22"/>
      <x:c r="N208" s="18"/>
      <x:c r="O208" s="18"/>
      <x:c r="P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 t="str">
        <x:f>IF(OR(G209="",H209=""),"",G209*H209)</x:f>
      </x:c>
      <x:c r="J209" s="18" t="str">
        <x:f>IF(I209="","",IF(I209&gt;=20,"Critical",IF(I209&gt;=12,"High",IF(I209&gt;=6,"Moderate","Low"))))</x:f>
      </x:c>
      <x:c r="K209" s="18"/>
      <x:c r="L209" s="18"/>
      <x:c r="M209" s="22"/>
      <x:c r="N209" s="18"/>
      <x:c r="O209" s="18"/>
      <x:c r="P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 t="str">
        <x:f>IF(OR(G210="",H210=""),"",G210*H210)</x:f>
      </x:c>
      <x:c r="J210" s="18" t="str">
        <x:f>IF(I210="","",IF(I210&gt;=20,"Critical",IF(I210&gt;=12,"High",IF(I210&gt;=6,"Moderate","Low"))))</x:f>
      </x:c>
      <x:c r="K210" s="18"/>
      <x:c r="L210" s="18"/>
      <x:c r="M210" s="22"/>
      <x:c r="N210" s="18"/>
      <x:c r="O210" s="18"/>
      <x:c r="P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 t="str">
        <x:f>IF(OR(G211="",H211=""),"",G211*H211)</x:f>
      </x:c>
      <x:c r="J211" s="18" t="str">
        <x:f>IF(I211="","",IF(I211&gt;=20,"Critical",IF(I211&gt;=12,"High",IF(I211&gt;=6,"Moderate","Low"))))</x:f>
      </x:c>
      <x:c r="K211" s="18"/>
      <x:c r="L211" s="18"/>
      <x:c r="M211" s="22"/>
      <x:c r="N211" s="18"/>
      <x:c r="O211" s="18"/>
      <x:c r="P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 t="str">
        <x:f>IF(OR(G212="",H212=""),"",G212*H212)</x:f>
      </x:c>
      <x:c r="J212" s="18" t="str">
        <x:f>IF(I212="","",IF(I212&gt;=20,"Critical",IF(I212&gt;=12,"High",IF(I212&gt;=6,"Moderate","Low"))))</x:f>
      </x:c>
      <x:c r="K212" s="18"/>
      <x:c r="L212" s="18"/>
      <x:c r="M212" s="22"/>
      <x:c r="N212" s="18"/>
      <x:c r="O212" s="18"/>
      <x:c r="P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 t="str">
        <x:f>IF(OR(G213="",H213=""),"",G213*H213)</x:f>
      </x:c>
      <x:c r="J213" s="18" t="str">
        <x:f>IF(I213="","",IF(I213&gt;=20,"Critical",IF(I213&gt;=12,"High",IF(I213&gt;=6,"Moderate","Low"))))</x:f>
      </x:c>
      <x:c r="K213" s="18"/>
      <x:c r="L213" s="18"/>
      <x:c r="M213" s="22"/>
      <x:c r="N213" s="18"/>
      <x:c r="O213" s="18"/>
      <x:c r="P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 t="str">
        <x:f>IF(OR(G214="",H214=""),"",G214*H214)</x:f>
      </x:c>
      <x:c r="J214" s="18" t="str">
        <x:f>IF(I214="","",IF(I214&gt;=20,"Critical",IF(I214&gt;=12,"High",IF(I214&gt;=6,"Moderate","Low"))))</x:f>
      </x:c>
      <x:c r="K214" s="18"/>
      <x:c r="L214" s="18"/>
      <x:c r="M214" s="22"/>
      <x:c r="N214" s="18"/>
      <x:c r="O214" s="18"/>
      <x:c r="P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 t="str">
        <x:f>IF(OR(G215="",H215=""),"",G215*H215)</x:f>
      </x:c>
      <x:c r="J215" s="18" t="str">
        <x:f>IF(I215="","",IF(I215&gt;=20,"Critical",IF(I215&gt;=12,"High",IF(I215&gt;=6,"Moderate","Low"))))</x:f>
      </x:c>
      <x:c r="K215" s="18"/>
      <x:c r="L215" s="18"/>
      <x:c r="M215" s="22"/>
      <x:c r="N215" s="18"/>
      <x:c r="O215" s="18"/>
      <x:c r="P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 t="str">
        <x:f>IF(OR(G216="",H216=""),"",G216*H216)</x:f>
      </x:c>
      <x:c r="J216" s="18" t="str">
        <x:f>IF(I216="","",IF(I216&gt;=20,"Critical",IF(I216&gt;=12,"High",IF(I216&gt;=6,"Moderate","Low"))))</x:f>
      </x:c>
      <x:c r="K216" s="18"/>
      <x:c r="L216" s="18"/>
      <x:c r="M216" s="22"/>
      <x:c r="N216" s="18"/>
      <x:c r="O216" s="18"/>
      <x:c r="P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 t="str">
        <x:f>IF(OR(G217="",H217=""),"",G217*H217)</x:f>
      </x:c>
      <x:c r="J217" s="18" t="str">
        <x:f>IF(I217="","",IF(I217&gt;=20,"Critical",IF(I217&gt;=12,"High",IF(I217&gt;=6,"Moderate","Low"))))</x:f>
      </x:c>
      <x:c r="K217" s="18"/>
      <x:c r="L217" s="18"/>
      <x:c r="M217" s="22"/>
      <x:c r="N217" s="18"/>
      <x:c r="O217" s="18"/>
      <x:c r="P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 t="str">
        <x:f>IF(OR(G218="",H218=""),"",G218*H218)</x:f>
      </x:c>
      <x:c r="J218" s="18" t="str">
        <x:f>IF(I218="","",IF(I218&gt;=20,"Critical",IF(I218&gt;=12,"High",IF(I218&gt;=6,"Moderate","Low"))))</x:f>
      </x:c>
      <x:c r="K218" s="18"/>
      <x:c r="L218" s="18"/>
      <x:c r="M218" s="22"/>
      <x:c r="N218" s="18"/>
      <x:c r="O218" s="18"/>
      <x:c r="P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 t="str">
        <x:f>IF(OR(G219="",H219=""),"",G219*H219)</x:f>
      </x:c>
      <x:c r="J219" s="18" t="str">
        <x:f>IF(I219="","",IF(I219&gt;=20,"Critical",IF(I219&gt;=12,"High",IF(I219&gt;=6,"Moderate","Low"))))</x:f>
      </x:c>
      <x:c r="K219" s="18"/>
      <x:c r="L219" s="18"/>
      <x:c r="M219" s="22"/>
      <x:c r="N219" s="18"/>
      <x:c r="O219" s="18"/>
      <x:c r="P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 t="str">
        <x:f>IF(OR(G220="",H220=""),"",G220*H220)</x:f>
      </x:c>
      <x:c r="J220" s="18" t="str">
        <x:f>IF(I220="","",IF(I220&gt;=20,"Critical",IF(I220&gt;=12,"High",IF(I220&gt;=6,"Moderate","Low"))))</x:f>
      </x:c>
      <x:c r="K220" s="18"/>
      <x:c r="L220" s="18"/>
      <x:c r="M220" s="22"/>
      <x:c r="N220" s="18"/>
      <x:c r="O220" s="18"/>
      <x:c r="P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 t="str">
        <x:f>IF(OR(G221="",H221=""),"",G221*H221)</x:f>
      </x:c>
      <x:c r="J221" s="18" t="str">
        <x:f>IF(I221="","",IF(I221&gt;=20,"Critical",IF(I221&gt;=12,"High",IF(I221&gt;=6,"Moderate","Low"))))</x:f>
      </x:c>
      <x:c r="K221" s="18"/>
      <x:c r="L221" s="18"/>
      <x:c r="M221" s="22"/>
      <x:c r="N221" s="18"/>
      <x:c r="O221" s="18"/>
      <x:c r="P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 t="str">
        <x:f>IF(OR(G222="",H222=""),"",G222*H222)</x:f>
      </x:c>
      <x:c r="J222" s="18" t="str">
        <x:f>IF(I222="","",IF(I222&gt;=20,"Critical",IF(I222&gt;=12,"High",IF(I222&gt;=6,"Moderate","Low"))))</x:f>
      </x:c>
      <x:c r="K222" s="18"/>
      <x:c r="L222" s="18"/>
      <x:c r="M222" s="22"/>
      <x:c r="N222" s="18"/>
      <x:c r="O222" s="18"/>
      <x:c r="P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 t="str">
        <x:f>IF(OR(G223="",H223=""),"",G223*H223)</x:f>
      </x:c>
      <x:c r="J223" s="18" t="str">
        <x:f>IF(I223="","",IF(I223&gt;=20,"Critical",IF(I223&gt;=12,"High",IF(I223&gt;=6,"Moderate","Low"))))</x:f>
      </x:c>
      <x:c r="K223" s="18"/>
      <x:c r="L223" s="18"/>
      <x:c r="M223" s="22"/>
      <x:c r="N223" s="18"/>
      <x:c r="O223" s="18"/>
      <x:c r="P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 t="str">
        <x:f>IF(OR(G224="",H224=""),"",G224*H224)</x:f>
      </x:c>
      <x:c r="J224" s="18" t="str">
        <x:f>IF(I224="","",IF(I224&gt;=20,"Critical",IF(I224&gt;=12,"High",IF(I224&gt;=6,"Moderate","Low"))))</x:f>
      </x:c>
      <x:c r="K224" s="18"/>
      <x:c r="L224" s="18"/>
      <x:c r="M224" s="22"/>
      <x:c r="N224" s="18"/>
      <x:c r="O224" s="18"/>
      <x:c r="P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 t="str">
        <x:f>IF(OR(G225="",H225=""),"",G225*H225)</x:f>
      </x:c>
      <x:c r="J225" s="18" t="str">
        <x:f>IF(I225="","",IF(I225&gt;=20,"Critical",IF(I225&gt;=12,"High",IF(I225&gt;=6,"Moderate","Low"))))</x:f>
      </x:c>
      <x:c r="K225" s="18"/>
      <x:c r="L225" s="18"/>
      <x:c r="M225" s="22"/>
      <x:c r="N225" s="18"/>
      <x:c r="O225" s="18"/>
      <x:c r="P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 t="str">
        <x:f>IF(OR(G226="",H226=""),"",G226*H226)</x:f>
      </x:c>
      <x:c r="J226" s="18" t="str">
        <x:f>IF(I226="","",IF(I226&gt;=20,"Critical",IF(I226&gt;=12,"High",IF(I226&gt;=6,"Moderate","Low"))))</x:f>
      </x:c>
      <x:c r="K226" s="18"/>
      <x:c r="L226" s="18"/>
      <x:c r="M226" s="22"/>
      <x:c r="N226" s="18"/>
      <x:c r="O226" s="18"/>
      <x:c r="P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 t="str">
        <x:f>IF(OR(G227="",H227=""),"",G227*H227)</x:f>
      </x:c>
      <x:c r="J227" s="18" t="str">
        <x:f>IF(I227="","",IF(I227&gt;=20,"Critical",IF(I227&gt;=12,"High",IF(I227&gt;=6,"Moderate","Low"))))</x:f>
      </x:c>
      <x:c r="K227" s="18"/>
      <x:c r="L227" s="18"/>
      <x:c r="M227" s="22"/>
      <x:c r="N227" s="18"/>
      <x:c r="O227" s="18"/>
      <x:c r="P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 t="str">
        <x:f>IF(OR(G228="",H228=""),"",G228*H228)</x:f>
      </x:c>
      <x:c r="J228" s="18" t="str">
        <x:f>IF(I228="","",IF(I228&gt;=20,"Critical",IF(I228&gt;=12,"High",IF(I228&gt;=6,"Moderate","Low"))))</x:f>
      </x:c>
      <x:c r="K228" s="18"/>
      <x:c r="L228" s="18"/>
      <x:c r="M228" s="22"/>
      <x:c r="N228" s="18"/>
      <x:c r="O228" s="18"/>
      <x:c r="P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 t="str">
        <x:f>IF(OR(G229="",H229=""),"",G229*H229)</x:f>
      </x:c>
      <x:c r="J229" s="18" t="str">
        <x:f>IF(I229="","",IF(I229&gt;=20,"Critical",IF(I229&gt;=12,"High",IF(I229&gt;=6,"Moderate","Low"))))</x:f>
      </x:c>
      <x:c r="K229" s="18"/>
      <x:c r="L229" s="18"/>
      <x:c r="M229" s="22"/>
      <x:c r="N229" s="18"/>
      <x:c r="O229" s="18"/>
      <x:c r="P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 t="str">
        <x:f>IF(OR(G230="",H230=""),"",G230*H230)</x:f>
      </x:c>
      <x:c r="J230" s="18" t="str">
        <x:f>IF(I230="","",IF(I230&gt;=20,"Critical",IF(I230&gt;=12,"High",IF(I230&gt;=6,"Moderate","Low"))))</x:f>
      </x:c>
      <x:c r="K230" s="18"/>
      <x:c r="L230" s="18"/>
      <x:c r="M230" s="22"/>
      <x:c r="N230" s="18"/>
      <x:c r="O230" s="18"/>
      <x:c r="P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 t="str">
        <x:f>IF(OR(G231="",H231=""),"",G231*H231)</x:f>
      </x:c>
      <x:c r="J231" s="18" t="str">
        <x:f>IF(I231="","",IF(I231&gt;=20,"Critical",IF(I231&gt;=12,"High",IF(I231&gt;=6,"Moderate","Low"))))</x:f>
      </x:c>
      <x:c r="K231" s="18"/>
      <x:c r="L231" s="18"/>
      <x:c r="M231" s="22"/>
      <x:c r="N231" s="18"/>
      <x:c r="O231" s="18"/>
      <x:c r="P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 t="str">
        <x:f>IF(OR(G232="",H232=""),"",G232*H232)</x:f>
      </x:c>
      <x:c r="J232" s="18" t="str">
        <x:f>IF(I232="","",IF(I232&gt;=20,"Critical",IF(I232&gt;=12,"High",IF(I232&gt;=6,"Moderate","Low"))))</x:f>
      </x:c>
      <x:c r="K232" s="18"/>
      <x:c r="L232" s="18"/>
      <x:c r="M232" s="22"/>
      <x:c r="N232" s="18"/>
      <x:c r="O232" s="18"/>
      <x:c r="P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 t="str">
        <x:f>IF(OR(G233="",H233=""),"",G233*H233)</x:f>
      </x:c>
      <x:c r="J233" s="18" t="str">
        <x:f>IF(I233="","",IF(I233&gt;=20,"Critical",IF(I233&gt;=12,"High",IF(I233&gt;=6,"Moderate","Low"))))</x:f>
      </x:c>
      <x:c r="K233" s="18"/>
      <x:c r="L233" s="18"/>
      <x:c r="M233" s="22"/>
      <x:c r="N233" s="18"/>
      <x:c r="O233" s="18"/>
      <x:c r="P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 t="str">
        <x:f>IF(OR(G234="",H234=""),"",G234*H234)</x:f>
      </x:c>
      <x:c r="J234" s="18" t="str">
        <x:f>IF(I234="","",IF(I234&gt;=20,"Critical",IF(I234&gt;=12,"High",IF(I234&gt;=6,"Moderate","Low"))))</x:f>
      </x:c>
      <x:c r="K234" s="18"/>
      <x:c r="L234" s="18"/>
      <x:c r="M234" s="22"/>
      <x:c r="N234" s="18"/>
      <x:c r="O234" s="18"/>
      <x:c r="P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 t="str">
        <x:f>IF(OR(G235="",H235=""),"",G235*H235)</x:f>
      </x:c>
      <x:c r="J235" s="18" t="str">
        <x:f>IF(I235="","",IF(I235&gt;=20,"Critical",IF(I235&gt;=12,"High",IF(I235&gt;=6,"Moderate","Low"))))</x:f>
      </x:c>
      <x:c r="K235" s="18"/>
      <x:c r="L235" s="18"/>
      <x:c r="M235" s="22"/>
      <x:c r="N235" s="18"/>
      <x:c r="O235" s="18"/>
      <x:c r="P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 t="str">
        <x:f>IF(OR(G236="",H236=""),"",G236*H236)</x:f>
      </x:c>
      <x:c r="J236" s="18" t="str">
        <x:f>IF(I236="","",IF(I236&gt;=20,"Critical",IF(I236&gt;=12,"High",IF(I236&gt;=6,"Moderate","Low"))))</x:f>
      </x:c>
      <x:c r="K236" s="18"/>
      <x:c r="L236" s="18"/>
      <x:c r="M236" s="22"/>
      <x:c r="N236" s="18"/>
      <x:c r="O236" s="18"/>
      <x:c r="P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 t="str">
        <x:f>IF(OR(G237="",H237=""),"",G237*H237)</x:f>
      </x:c>
      <x:c r="J237" s="18" t="str">
        <x:f>IF(I237="","",IF(I237&gt;=20,"Critical",IF(I237&gt;=12,"High",IF(I237&gt;=6,"Moderate","Low"))))</x:f>
      </x:c>
      <x:c r="K237" s="18"/>
      <x:c r="L237" s="18"/>
      <x:c r="M237" s="22"/>
      <x:c r="N237" s="18"/>
      <x:c r="O237" s="18"/>
      <x:c r="P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 t="str">
        <x:f>IF(OR(G238="",H238=""),"",G238*H238)</x:f>
      </x:c>
      <x:c r="J238" s="18" t="str">
        <x:f>IF(I238="","",IF(I238&gt;=20,"Critical",IF(I238&gt;=12,"High",IF(I238&gt;=6,"Moderate","Low"))))</x:f>
      </x:c>
      <x:c r="K238" s="18"/>
      <x:c r="L238" s="18"/>
      <x:c r="M238" s="22"/>
      <x:c r="N238" s="18"/>
      <x:c r="O238" s="18"/>
      <x:c r="P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 t="str">
        <x:f>IF(OR(G239="",H239=""),"",G239*H239)</x:f>
      </x:c>
      <x:c r="J239" s="18" t="str">
        <x:f>IF(I239="","",IF(I239&gt;=20,"Critical",IF(I239&gt;=12,"High",IF(I239&gt;=6,"Moderate","Low"))))</x:f>
      </x:c>
      <x:c r="K239" s="18"/>
      <x:c r="L239" s="18"/>
      <x:c r="M239" s="22"/>
      <x:c r="N239" s="18"/>
      <x:c r="O239" s="18"/>
      <x:c r="P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 t="str">
        <x:f>IF(OR(G240="",H240=""),"",G240*H240)</x:f>
      </x:c>
      <x:c r="J240" s="18" t="str">
        <x:f>IF(I240="","",IF(I240&gt;=20,"Critical",IF(I240&gt;=12,"High",IF(I240&gt;=6,"Moderate","Low"))))</x:f>
      </x:c>
      <x:c r="K240" s="18"/>
      <x:c r="L240" s="18"/>
      <x:c r="M240" s="22"/>
      <x:c r="N240" s="18"/>
      <x:c r="O240" s="18"/>
      <x:c r="P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 t="str">
        <x:f>IF(OR(G241="",H241=""),"",G241*H241)</x:f>
      </x:c>
      <x:c r="J241" s="18" t="str">
        <x:f>IF(I241="","",IF(I241&gt;=20,"Critical",IF(I241&gt;=12,"High",IF(I241&gt;=6,"Moderate","Low"))))</x:f>
      </x:c>
      <x:c r="K241" s="18"/>
      <x:c r="L241" s="18"/>
      <x:c r="M241" s="22"/>
      <x:c r="N241" s="18"/>
      <x:c r="O241" s="18"/>
      <x:c r="P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 t="str">
        <x:f>IF(OR(G242="",H242=""),"",G242*H242)</x:f>
      </x:c>
      <x:c r="J242" s="18" t="str">
        <x:f>IF(I242="","",IF(I242&gt;=20,"Critical",IF(I242&gt;=12,"High",IF(I242&gt;=6,"Moderate","Low"))))</x:f>
      </x:c>
      <x:c r="K242" s="18"/>
      <x:c r="L242" s="18"/>
      <x:c r="M242" s="22"/>
      <x:c r="N242" s="18"/>
      <x:c r="O242" s="18"/>
      <x:c r="P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 t="str">
        <x:f>IF(OR(G243="",H243=""),"",G243*H243)</x:f>
      </x:c>
      <x:c r="J243" s="18" t="str">
        <x:f>IF(I243="","",IF(I243&gt;=20,"Critical",IF(I243&gt;=12,"High",IF(I243&gt;=6,"Moderate","Low"))))</x:f>
      </x:c>
      <x:c r="K243" s="18"/>
      <x:c r="L243" s="18"/>
      <x:c r="M243" s="22"/>
      <x:c r="N243" s="18"/>
      <x:c r="O243" s="18"/>
      <x:c r="P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 t="str">
        <x:f>IF(OR(G244="",H244=""),"",G244*H244)</x:f>
      </x:c>
      <x:c r="J244" s="18" t="str">
        <x:f>IF(I244="","",IF(I244&gt;=20,"Critical",IF(I244&gt;=12,"High",IF(I244&gt;=6,"Moderate","Low"))))</x:f>
      </x:c>
      <x:c r="K244" s="18"/>
      <x:c r="L244" s="18"/>
      <x:c r="M244" s="22"/>
      <x:c r="N244" s="18"/>
      <x:c r="O244" s="18"/>
      <x:c r="P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 t="str">
        <x:f>IF(OR(G245="",H245=""),"",G245*H245)</x:f>
      </x:c>
      <x:c r="J245" s="18" t="str">
        <x:f>IF(I245="","",IF(I245&gt;=20,"Critical",IF(I245&gt;=12,"High",IF(I245&gt;=6,"Moderate","Low"))))</x:f>
      </x:c>
      <x:c r="K245" s="18"/>
      <x:c r="L245" s="18"/>
      <x:c r="M245" s="22"/>
      <x:c r="N245" s="18"/>
      <x:c r="O245" s="18"/>
      <x:c r="P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 t="str">
        <x:f>IF(OR(G246="",H246=""),"",G246*H246)</x:f>
      </x:c>
      <x:c r="J246" s="18" t="str">
        <x:f>IF(I246="","",IF(I246&gt;=20,"Critical",IF(I246&gt;=12,"High",IF(I246&gt;=6,"Moderate","Low"))))</x:f>
      </x:c>
      <x:c r="K246" s="18"/>
      <x:c r="L246" s="18"/>
      <x:c r="M246" s="22"/>
      <x:c r="N246" s="18"/>
      <x:c r="O246" s="18"/>
      <x:c r="P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 t="str">
        <x:f>IF(OR(G247="",H247=""),"",G247*H247)</x:f>
      </x:c>
      <x:c r="J247" s="18" t="str">
        <x:f>IF(I247="","",IF(I247&gt;=20,"Critical",IF(I247&gt;=12,"High",IF(I247&gt;=6,"Moderate","Low"))))</x:f>
      </x:c>
      <x:c r="K247" s="18"/>
      <x:c r="L247" s="18"/>
      <x:c r="M247" s="22"/>
      <x:c r="N247" s="18"/>
      <x:c r="O247" s="18"/>
      <x:c r="P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 t="str">
        <x:f>IF(OR(G248="",H248=""),"",G248*H248)</x:f>
      </x:c>
      <x:c r="J248" s="18" t="str">
        <x:f>IF(I248="","",IF(I248&gt;=20,"Critical",IF(I248&gt;=12,"High",IF(I248&gt;=6,"Moderate","Low"))))</x:f>
      </x:c>
      <x:c r="K248" s="18"/>
      <x:c r="L248" s="18"/>
      <x:c r="M248" s="22"/>
      <x:c r="N248" s="18"/>
      <x:c r="O248" s="18"/>
      <x:c r="P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 t="str">
        <x:f>IF(OR(G249="",H249=""),"",G249*H249)</x:f>
      </x:c>
      <x:c r="J249" s="18" t="str">
        <x:f>IF(I249="","",IF(I249&gt;=20,"Critical",IF(I249&gt;=12,"High",IF(I249&gt;=6,"Moderate","Low"))))</x:f>
      </x:c>
      <x:c r="K249" s="18"/>
      <x:c r="L249" s="18"/>
      <x:c r="M249" s="22"/>
      <x:c r="N249" s="18"/>
      <x:c r="O249" s="18"/>
      <x:c r="P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 t="str">
        <x:f>IF(OR(G250="",H250=""),"",G250*H250)</x:f>
      </x:c>
      <x:c r="J250" s="18" t="str">
        <x:f>IF(I250="","",IF(I250&gt;=20,"Critical",IF(I250&gt;=12,"High",IF(I250&gt;=6,"Moderate","Low"))))</x:f>
      </x:c>
      <x:c r="K250" s="18"/>
      <x:c r="L250" s="18"/>
      <x:c r="M250" s="22"/>
      <x:c r="N250" s="18"/>
      <x:c r="O250" s="18"/>
      <x:c r="P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 t="str">
        <x:f>IF(OR(G251="",H251=""),"",G251*H251)</x:f>
      </x:c>
      <x:c r="J251" s="18" t="str">
        <x:f>IF(I251="","",IF(I251&gt;=20,"Critical",IF(I251&gt;=12,"High",IF(I251&gt;=6,"Moderate","Low"))))</x:f>
      </x:c>
      <x:c r="K251" s="18"/>
      <x:c r="L251" s="18"/>
      <x:c r="M251" s="22"/>
      <x:c r="N251" s="18"/>
      <x:c r="O251" s="18"/>
      <x:c r="P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 t="str">
        <x:f>IF(OR(G252="",H252=""),"",G252*H252)</x:f>
      </x:c>
      <x:c r="J252" s="18" t="str">
        <x:f>IF(I252="","",IF(I252&gt;=20,"Critical",IF(I252&gt;=12,"High",IF(I252&gt;=6,"Moderate","Low"))))</x:f>
      </x:c>
      <x:c r="K252" s="18"/>
      <x:c r="L252" s="18"/>
      <x:c r="M252" s="22"/>
      <x:c r="N252" s="18"/>
      <x:c r="O252" s="18"/>
      <x:c r="P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 t="str">
        <x:f>IF(OR(G253="",H253=""),"",G253*H253)</x:f>
      </x:c>
      <x:c r="J253" s="18" t="str">
        <x:f>IF(I253="","",IF(I253&gt;=20,"Critical",IF(I253&gt;=12,"High",IF(I253&gt;=6,"Moderate","Low"))))</x:f>
      </x:c>
      <x:c r="K253" s="18"/>
      <x:c r="L253" s="18"/>
      <x:c r="M253" s="22"/>
      <x:c r="N253" s="18"/>
      <x:c r="O253" s="18"/>
      <x:c r="P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 t="str">
        <x:f>IF(OR(G254="",H254=""),"",G254*H254)</x:f>
      </x:c>
      <x:c r="J254" s="18" t="str">
        <x:f>IF(I254="","",IF(I254&gt;=20,"Critical",IF(I254&gt;=12,"High",IF(I254&gt;=6,"Moderate","Low"))))</x:f>
      </x:c>
      <x:c r="K254" s="18"/>
      <x:c r="L254" s="18"/>
      <x:c r="M254" s="22"/>
      <x:c r="N254" s="18"/>
      <x:c r="O254" s="18"/>
      <x:c r="P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 t="str">
        <x:f>IF(OR(G255="",H255=""),"",G255*H255)</x:f>
      </x:c>
      <x:c r="J255" s="18" t="str">
        <x:f>IF(I255="","",IF(I255&gt;=20,"Critical",IF(I255&gt;=12,"High",IF(I255&gt;=6,"Moderate","Low"))))</x:f>
      </x:c>
      <x:c r="K255" s="18"/>
      <x:c r="L255" s="18"/>
      <x:c r="M255" s="22"/>
      <x:c r="N255" s="18"/>
      <x:c r="O255" s="18"/>
      <x:c r="P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 t="str">
        <x:f>IF(OR(G256="",H256=""),"",G256*H256)</x:f>
      </x:c>
      <x:c r="J256" s="18" t="str">
        <x:f>IF(I256="","",IF(I256&gt;=20,"Critical",IF(I256&gt;=12,"High",IF(I256&gt;=6,"Moderate","Low"))))</x:f>
      </x:c>
      <x:c r="K256" s="18"/>
      <x:c r="L256" s="18"/>
      <x:c r="M256" s="22"/>
      <x:c r="N256" s="18"/>
      <x:c r="O256" s="18"/>
      <x:c r="P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 t="str">
        <x:f>IF(OR(G257="",H257=""),"",G257*H257)</x:f>
      </x:c>
      <x:c r="J257" s="18" t="str">
        <x:f>IF(I257="","",IF(I257&gt;=20,"Critical",IF(I257&gt;=12,"High",IF(I257&gt;=6,"Moderate","Low"))))</x:f>
      </x:c>
      <x:c r="K257" s="18"/>
      <x:c r="L257" s="18"/>
      <x:c r="M257" s="22"/>
      <x:c r="N257" s="18"/>
      <x:c r="O257" s="18"/>
      <x:c r="P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 t="str">
        <x:f>IF(OR(G258="",H258=""),"",G258*H258)</x:f>
      </x:c>
      <x:c r="J258" s="18" t="str">
        <x:f>IF(I258="","",IF(I258&gt;=20,"Critical",IF(I258&gt;=12,"High",IF(I258&gt;=6,"Moderate","Low"))))</x:f>
      </x:c>
      <x:c r="K258" s="18"/>
      <x:c r="L258" s="18"/>
      <x:c r="M258" s="22"/>
      <x:c r="N258" s="18"/>
      <x:c r="O258" s="18"/>
      <x:c r="P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 t="str">
        <x:f>IF(OR(G259="",H259=""),"",G259*H259)</x:f>
      </x:c>
      <x:c r="J259" s="18" t="str">
        <x:f>IF(I259="","",IF(I259&gt;=20,"Critical",IF(I259&gt;=12,"High",IF(I259&gt;=6,"Moderate","Low"))))</x:f>
      </x:c>
      <x:c r="K259" s="18"/>
      <x:c r="L259" s="18"/>
      <x:c r="M259" s="22"/>
      <x:c r="N259" s="18"/>
      <x:c r="O259" s="18"/>
      <x:c r="P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 t="str">
        <x:f>IF(OR(G260="",H260=""),"",G260*H260)</x:f>
      </x:c>
      <x:c r="J260" s="18" t="str">
        <x:f>IF(I260="","",IF(I260&gt;=20,"Critical",IF(I260&gt;=12,"High",IF(I260&gt;=6,"Moderate","Low"))))</x:f>
      </x:c>
      <x:c r="K260" s="18"/>
      <x:c r="L260" s="18"/>
      <x:c r="M260" s="22"/>
      <x:c r="N260" s="18"/>
      <x:c r="O260" s="18"/>
      <x:c r="P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 t="str">
        <x:f>IF(OR(G261="",H261=""),"",G261*H261)</x:f>
      </x:c>
      <x:c r="J261" s="18" t="str">
        <x:f>IF(I261="","",IF(I261&gt;=20,"Critical",IF(I261&gt;=12,"High",IF(I261&gt;=6,"Moderate","Low"))))</x:f>
      </x:c>
      <x:c r="K261" s="18"/>
      <x:c r="L261" s="18"/>
      <x:c r="M261" s="22"/>
      <x:c r="N261" s="18"/>
      <x:c r="O261" s="18"/>
      <x:c r="P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 t="str">
        <x:f>IF(OR(G262="",H262=""),"",G262*H262)</x:f>
      </x:c>
      <x:c r="J262" s="18" t="str">
        <x:f>IF(I262="","",IF(I262&gt;=20,"Critical",IF(I262&gt;=12,"High",IF(I262&gt;=6,"Moderate","Low"))))</x:f>
      </x:c>
      <x:c r="K262" s="18"/>
      <x:c r="L262" s="18"/>
      <x:c r="M262" s="22"/>
      <x:c r="N262" s="18"/>
      <x:c r="O262" s="18"/>
      <x:c r="P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 t="str">
        <x:f>IF(OR(G263="",H263=""),"",G263*H263)</x:f>
      </x:c>
      <x:c r="J263" s="18" t="str">
        <x:f>IF(I263="","",IF(I263&gt;=20,"Critical",IF(I263&gt;=12,"High",IF(I263&gt;=6,"Moderate","Low"))))</x:f>
      </x:c>
      <x:c r="K263" s="18"/>
      <x:c r="L263" s="18"/>
      <x:c r="M263" s="22"/>
      <x:c r="N263" s="18"/>
      <x:c r="O263" s="18"/>
      <x:c r="P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 t="str">
        <x:f>IF(OR(G264="",H264=""),"",G264*H264)</x:f>
      </x:c>
      <x:c r="J264" s="18" t="str">
        <x:f>IF(I264="","",IF(I264&gt;=20,"Critical",IF(I264&gt;=12,"High",IF(I264&gt;=6,"Moderate","Low"))))</x:f>
      </x:c>
      <x:c r="K264" s="18"/>
      <x:c r="L264" s="18"/>
      <x:c r="M264" s="22"/>
      <x:c r="N264" s="18"/>
      <x:c r="O264" s="18"/>
      <x:c r="P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 t="str">
        <x:f>IF(OR(G265="",H265=""),"",G265*H265)</x:f>
      </x:c>
      <x:c r="J265" s="18" t="str">
        <x:f>IF(I265="","",IF(I265&gt;=20,"Critical",IF(I265&gt;=12,"High",IF(I265&gt;=6,"Moderate","Low"))))</x:f>
      </x:c>
      <x:c r="K265" s="18"/>
      <x:c r="L265" s="18"/>
      <x:c r="M265" s="22"/>
      <x:c r="N265" s="18"/>
      <x:c r="O265" s="18"/>
      <x:c r="P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 t="str">
        <x:f>IF(OR(G266="",H266=""),"",G266*H266)</x:f>
      </x:c>
      <x:c r="J266" s="18" t="str">
        <x:f>IF(I266="","",IF(I266&gt;=20,"Critical",IF(I266&gt;=12,"High",IF(I266&gt;=6,"Moderate","Low"))))</x:f>
      </x:c>
      <x:c r="K266" s="18"/>
      <x:c r="L266" s="18"/>
      <x:c r="M266" s="22"/>
      <x:c r="N266" s="18"/>
      <x:c r="O266" s="18"/>
      <x:c r="P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 t="str">
        <x:f>IF(OR(G267="",H267=""),"",G267*H267)</x:f>
      </x:c>
      <x:c r="J267" s="18" t="str">
        <x:f>IF(I267="","",IF(I267&gt;=20,"Critical",IF(I267&gt;=12,"High",IF(I267&gt;=6,"Moderate","Low"))))</x:f>
      </x:c>
      <x:c r="K267" s="18"/>
      <x:c r="L267" s="18"/>
      <x:c r="M267" s="22"/>
      <x:c r="N267" s="18"/>
      <x:c r="O267" s="18"/>
      <x:c r="P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 t="str">
        <x:f>IF(OR(G268="",H268=""),"",G268*H268)</x:f>
      </x:c>
      <x:c r="J268" s="18" t="str">
        <x:f>IF(I268="","",IF(I268&gt;=20,"Critical",IF(I268&gt;=12,"High",IF(I268&gt;=6,"Moderate","Low"))))</x:f>
      </x:c>
      <x:c r="K268" s="18"/>
      <x:c r="L268" s="18"/>
      <x:c r="M268" s="22"/>
      <x:c r="N268" s="18"/>
      <x:c r="O268" s="18"/>
      <x:c r="P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 t="str">
        <x:f>IF(OR(G269="",H269=""),"",G269*H269)</x:f>
      </x:c>
      <x:c r="J269" s="18" t="str">
        <x:f>IF(I269="","",IF(I269&gt;=20,"Critical",IF(I269&gt;=12,"High",IF(I269&gt;=6,"Moderate","Low"))))</x:f>
      </x:c>
      <x:c r="K269" s="18"/>
      <x:c r="L269" s="18"/>
      <x:c r="M269" s="22"/>
      <x:c r="N269" s="18"/>
      <x:c r="O269" s="18"/>
      <x:c r="P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 t="str">
        <x:f>IF(OR(G270="",H270=""),"",G270*H270)</x:f>
      </x:c>
      <x:c r="J270" s="18" t="str">
        <x:f>IF(I270="","",IF(I270&gt;=20,"Critical",IF(I270&gt;=12,"High",IF(I270&gt;=6,"Moderate","Low"))))</x:f>
      </x:c>
      <x:c r="K270" s="18"/>
      <x:c r="L270" s="18"/>
      <x:c r="M270" s="22"/>
      <x:c r="N270" s="18"/>
      <x:c r="O270" s="18"/>
      <x:c r="P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 t="str">
        <x:f>IF(OR(G271="",H271=""),"",G271*H271)</x:f>
      </x:c>
      <x:c r="J271" s="18" t="str">
        <x:f>IF(I271="","",IF(I271&gt;=20,"Critical",IF(I271&gt;=12,"High",IF(I271&gt;=6,"Moderate","Low"))))</x:f>
      </x:c>
      <x:c r="K271" s="18"/>
      <x:c r="L271" s="18"/>
      <x:c r="M271" s="22"/>
      <x:c r="N271" s="18"/>
      <x:c r="O271" s="18"/>
      <x:c r="P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 t="str">
        <x:f>IF(OR(G272="",H272=""),"",G272*H272)</x:f>
      </x:c>
      <x:c r="J272" s="18" t="str">
        <x:f>IF(I272="","",IF(I272&gt;=20,"Critical",IF(I272&gt;=12,"High",IF(I272&gt;=6,"Moderate","Low"))))</x:f>
      </x:c>
      <x:c r="K272" s="18"/>
      <x:c r="L272" s="18"/>
      <x:c r="M272" s="22"/>
      <x:c r="N272" s="18"/>
      <x:c r="O272" s="18"/>
      <x:c r="P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 t="str">
        <x:f>IF(OR(G273="",H273=""),"",G273*H273)</x:f>
      </x:c>
      <x:c r="J273" s="18" t="str">
        <x:f>IF(I273="","",IF(I273&gt;=20,"Critical",IF(I273&gt;=12,"High",IF(I273&gt;=6,"Moderate","Low"))))</x:f>
      </x:c>
      <x:c r="K273" s="18"/>
      <x:c r="L273" s="18"/>
      <x:c r="M273" s="22"/>
      <x:c r="N273" s="18"/>
      <x:c r="O273" s="18"/>
      <x:c r="P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 t="str">
        <x:f>IF(OR(G274="",H274=""),"",G274*H274)</x:f>
      </x:c>
      <x:c r="J274" s="18" t="str">
        <x:f>IF(I274="","",IF(I274&gt;=20,"Critical",IF(I274&gt;=12,"High",IF(I274&gt;=6,"Moderate","Low"))))</x:f>
      </x:c>
      <x:c r="K274" s="18"/>
      <x:c r="L274" s="18"/>
      <x:c r="M274" s="22"/>
      <x:c r="N274" s="18"/>
      <x:c r="O274" s="18"/>
      <x:c r="P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 t="str">
        <x:f>IF(OR(G275="",H275=""),"",G275*H275)</x:f>
      </x:c>
      <x:c r="J275" s="18" t="str">
        <x:f>IF(I275="","",IF(I275&gt;=20,"Critical",IF(I275&gt;=12,"High",IF(I275&gt;=6,"Moderate","Low"))))</x:f>
      </x:c>
      <x:c r="K275" s="18"/>
      <x:c r="L275" s="18"/>
      <x:c r="M275" s="22"/>
      <x:c r="N275" s="18"/>
      <x:c r="O275" s="18"/>
      <x:c r="P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 t="str">
        <x:f>IF(OR(G276="",H276=""),"",G276*H276)</x:f>
      </x:c>
      <x:c r="J276" s="18" t="str">
        <x:f>IF(I276="","",IF(I276&gt;=20,"Critical",IF(I276&gt;=12,"High",IF(I276&gt;=6,"Moderate","Low"))))</x:f>
      </x:c>
      <x:c r="K276" s="18"/>
      <x:c r="L276" s="18"/>
      <x:c r="M276" s="22"/>
      <x:c r="N276" s="18"/>
      <x:c r="O276" s="18"/>
      <x:c r="P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 t="str">
        <x:f>IF(OR(G277="",H277=""),"",G277*H277)</x:f>
      </x:c>
      <x:c r="J277" s="18" t="str">
        <x:f>IF(I277="","",IF(I277&gt;=20,"Critical",IF(I277&gt;=12,"High",IF(I277&gt;=6,"Moderate","Low"))))</x:f>
      </x:c>
      <x:c r="K277" s="18"/>
      <x:c r="L277" s="18"/>
      <x:c r="M277" s="22"/>
      <x:c r="N277" s="18"/>
      <x:c r="O277" s="18"/>
      <x:c r="P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 t="str">
        <x:f>IF(OR(G278="",H278=""),"",G278*H278)</x:f>
      </x:c>
      <x:c r="J278" s="18" t="str">
        <x:f>IF(I278="","",IF(I278&gt;=20,"Critical",IF(I278&gt;=12,"High",IF(I278&gt;=6,"Moderate","Low"))))</x:f>
      </x:c>
      <x:c r="K278" s="18"/>
      <x:c r="L278" s="18"/>
      <x:c r="M278" s="22"/>
      <x:c r="N278" s="18"/>
      <x:c r="O278" s="18"/>
      <x:c r="P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 t="str">
        <x:f>IF(OR(G279="",H279=""),"",G279*H279)</x:f>
      </x:c>
      <x:c r="J279" s="18" t="str">
        <x:f>IF(I279="","",IF(I279&gt;=20,"Critical",IF(I279&gt;=12,"High",IF(I279&gt;=6,"Moderate","Low"))))</x:f>
      </x:c>
      <x:c r="K279" s="18"/>
      <x:c r="L279" s="18"/>
      <x:c r="M279" s="22"/>
      <x:c r="N279" s="18"/>
      <x:c r="O279" s="18"/>
      <x:c r="P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 t="str">
        <x:f>IF(OR(G280="",H280=""),"",G280*H280)</x:f>
      </x:c>
      <x:c r="J280" s="18" t="str">
        <x:f>IF(I280="","",IF(I280&gt;=20,"Critical",IF(I280&gt;=12,"High",IF(I280&gt;=6,"Moderate","Low"))))</x:f>
      </x:c>
      <x:c r="K280" s="18"/>
      <x:c r="L280" s="18"/>
      <x:c r="M280" s="22"/>
      <x:c r="N280" s="18"/>
      <x:c r="O280" s="18"/>
      <x:c r="P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 t="str">
        <x:f>IF(OR(G281="",H281=""),"",G281*H281)</x:f>
      </x:c>
      <x:c r="J281" s="18" t="str">
        <x:f>IF(I281="","",IF(I281&gt;=20,"Critical",IF(I281&gt;=12,"High",IF(I281&gt;=6,"Moderate","Low"))))</x:f>
      </x:c>
      <x:c r="K281" s="18"/>
      <x:c r="L281" s="18"/>
      <x:c r="M281" s="22"/>
      <x:c r="N281" s="18"/>
      <x:c r="O281" s="18"/>
      <x:c r="P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 t="str">
        <x:f>IF(OR(G282="",H282=""),"",G282*H282)</x:f>
      </x:c>
      <x:c r="J282" s="18" t="str">
        <x:f>IF(I282="","",IF(I282&gt;=20,"Critical",IF(I282&gt;=12,"High",IF(I282&gt;=6,"Moderate","Low"))))</x:f>
      </x:c>
      <x:c r="K282" s="18"/>
      <x:c r="L282" s="18"/>
      <x:c r="M282" s="22"/>
      <x:c r="N282" s="18"/>
      <x:c r="O282" s="18"/>
      <x:c r="P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 t="str">
        <x:f>IF(OR(G283="",H283=""),"",G283*H283)</x:f>
      </x:c>
      <x:c r="J283" s="18" t="str">
        <x:f>IF(I283="","",IF(I283&gt;=20,"Critical",IF(I283&gt;=12,"High",IF(I283&gt;=6,"Moderate","Low"))))</x:f>
      </x:c>
      <x:c r="K283" s="18"/>
      <x:c r="L283" s="18"/>
      <x:c r="M283" s="22"/>
      <x:c r="N283" s="18"/>
      <x:c r="O283" s="18"/>
      <x:c r="P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 t="str">
        <x:f>IF(OR(G284="",H284=""),"",G284*H284)</x:f>
      </x:c>
      <x:c r="J284" s="18" t="str">
        <x:f>IF(I284="","",IF(I284&gt;=20,"Critical",IF(I284&gt;=12,"High",IF(I284&gt;=6,"Moderate","Low"))))</x:f>
      </x:c>
      <x:c r="K284" s="18"/>
      <x:c r="L284" s="18"/>
      <x:c r="M284" s="22"/>
      <x:c r="N284" s="18"/>
      <x:c r="O284" s="18"/>
      <x:c r="P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 t="str">
        <x:f>IF(OR(G285="",H285=""),"",G285*H285)</x:f>
      </x:c>
      <x:c r="J285" s="18" t="str">
        <x:f>IF(I285="","",IF(I285&gt;=20,"Critical",IF(I285&gt;=12,"High",IF(I285&gt;=6,"Moderate","Low"))))</x:f>
      </x:c>
      <x:c r="K285" s="18"/>
      <x:c r="L285" s="18"/>
      <x:c r="M285" s="22"/>
      <x:c r="N285" s="18"/>
      <x:c r="O285" s="18"/>
      <x:c r="P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 t="str">
        <x:f>IF(OR(G286="",H286=""),"",G286*H286)</x:f>
      </x:c>
      <x:c r="J286" s="18" t="str">
        <x:f>IF(I286="","",IF(I286&gt;=20,"Critical",IF(I286&gt;=12,"High",IF(I286&gt;=6,"Moderate","Low"))))</x:f>
      </x:c>
      <x:c r="K286" s="18"/>
      <x:c r="L286" s="18"/>
      <x:c r="M286" s="22"/>
      <x:c r="N286" s="18"/>
      <x:c r="O286" s="18"/>
      <x:c r="P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 t="str">
        <x:f>IF(OR(G287="",H287=""),"",G287*H287)</x:f>
      </x:c>
      <x:c r="J287" s="18" t="str">
        <x:f>IF(I287="","",IF(I287&gt;=20,"Critical",IF(I287&gt;=12,"High",IF(I287&gt;=6,"Moderate","Low"))))</x:f>
      </x:c>
      <x:c r="K287" s="18"/>
      <x:c r="L287" s="18"/>
      <x:c r="M287" s="22"/>
      <x:c r="N287" s="18"/>
      <x:c r="O287" s="18"/>
      <x:c r="P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 t="str">
        <x:f>IF(OR(G288="",H288=""),"",G288*H288)</x:f>
      </x:c>
      <x:c r="J288" s="18" t="str">
        <x:f>IF(I288="","",IF(I288&gt;=20,"Critical",IF(I288&gt;=12,"High",IF(I288&gt;=6,"Moderate","Low"))))</x:f>
      </x:c>
      <x:c r="K288" s="18"/>
      <x:c r="L288" s="18"/>
      <x:c r="M288" s="22"/>
      <x:c r="N288" s="18"/>
      <x:c r="O288" s="18"/>
      <x:c r="P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 t="str">
        <x:f>IF(OR(G289="",H289=""),"",G289*H289)</x:f>
      </x:c>
      <x:c r="J289" s="18" t="str">
        <x:f>IF(I289="","",IF(I289&gt;=20,"Critical",IF(I289&gt;=12,"High",IF(I289&gt;=6,"Moderate","Low"))))</x:f>
      </x:c>
      <x:c r="K289" s="18"/>
      <x:c r="L289" s="18"/>
      <x:c r="M289" s="22"/>
      <x:c r="N289" s="18"/>
      <x:c r="O289" s="18"/>
      <x:c r="P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 t="str">
        <x:f>IF(OR(G290="",H290=""),"",G290*H290)</x:f>
      </x:c>
      <x:c r="J290" s="18" t="str">
        <x:f>IF(I290="","",IF(I290&gt;=20,"Critical",IF(I290&gt;=12,"High",IF(I290&gt;=6,"Moderate","Low"))))</x:f>
      </x:c>
      <x:c r="K290" s="18"/>
      <x:c r="L290" s="18"/>
      <x:c r="M290" s="22"/>
      <x:c r="N290" s="18"/>
      <x:c r="O290" s="18"/>
      <x:c r="P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 t="str">
        <x:f>IF(OR(G291="",H291=""),"",G291*H291)</x:f>
      </x:c>
      <x:c r="J291" s="18" t="str">
        <x:f>IF(I291="","",IF(I291&gt;=20,"Critical",IF(I291&gt;=12,"High",IF(I291&gt;=6,"Moderate","Low"))))</x:f>
      </x:c>
      <x:c r="K291" s="18"/>
      <x:c r="L291" s="18"/>
      <x:c r="M291" s="22"/>
      <x:c r="N291" s="18"/>
      <x:c r="O291" s="18"/>
      <x:c r="P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 t="str">
        <x:f>IF(OR(G292="",H292=""),"",G292*H292)</x:f>
      </x:c>
      <x:c r="J292" s="18" t="str">
        <x:f>IF(I292="","",IF(I292&gt;=20,"Critical",IF(I292&gt;=12,"High",IF(I292&gt;=6,"Moderate","Low"))))</x:f>
      </x:c>
      <x:c r="K292" s="18"/>
      <x:c r="L292" s="18"/>
      <x:c r="M292" s="22"/>
      <x:c r="N292" s="18"/>
      <x:c r="O292" s="18"/>
      <x:c r="P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 t="str">
        <x:f>IF(OR(G293="",H293=""),"",G293*H293)</x:f>
      </x:c>
      <x:c r="J293" s="18" t="str">
        <x:f>IF(I293="","",IF(I293&gt;=20,"Critical",IF(I293&gt;=12,"High",IF(I293&gt;=6,"Moderate","Low"))))</x:f>
      </x:c>
      <x:c r="K293" s="18"/>
      <x:c r="L293" s="18"/>
      <x:c r="M293" s="22"/>
      <x:c r="N293" s="18"/>
      <x:c r="O293" s="18"/>
      <x:c r="P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 t="str">
        <x:f>IF(OR(G294="",H294=""),"",G294*H294)</x:f>
      </x:c>
      <x:c r="J294" s="18" t="str">
        <x:f>IF(I294="","",IF(I294&gt;=20,"Critical",IF(I294&gt;=12,"High",IF(I294&gt;=6,"Moderate","Low"))))</x:f>
      </x:c>
      <x:c r="K294" s="18"/>
      <x:c r="L294" s="18"/>
      <x:c r="M294" s="22"/>
      <x:c r="N294" s="18"/>
      <x:c r="O294" s="18"/>
      <x:c r="P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 t="str">
        <x:f>IF(OR(G295="",H295=""),"",G295*H295)</x:f>
      </x:c>
      <x:c r="J295" s="18" t="str">
        <x:f>IF(I295="","",IF(I295&gt;=20,"Critical",IF(I295&gt;=12,"High",IF(I295&gt;=6,"Moderate","Low"))))</x:f>
      </x:c>
      <x:c r="K295" s="18"/>
      <x:c r="L295" s="18"/>
      <x:c r="M295" s="22"/>
      <x:c r="N295" s="18"/>
      <x:c r="O295" s="18"/>
      <x:c r="P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 t="str">
        <x:f>IF(OR(G296="",H296=""),"",G296*H296)</x:f>
      </x:c>
      <x:c r="J296" s="18" t="str">
        <x:f>IF(I296="","",IF(I296&gt;=20,"Critical",IF(I296&gt;=12,"High",IF(I296&gt;=6,"Moderate","Low"))))</x:f>
      </x:c>
      <x:c r="K296" s="18"/>
      <x:c r="L296" s="18"/>
      <x:c r="M296" s="22"/>
      <x:c r="N296" s="18"/>
      <x:c r="O296" s="18"/>
      <x:c r="P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 t="str">
        <x:f>IF(OR(G297="",H297=""),"",G297*H297)</x:f>
      </x:c>
      <x:c r="J297" s="18" t="str">
        <x:f>IF(I297="","",IF(I297&gt;=20,"Critical",IF(I297&gt;=12,"High",IF(I297&gt;=6,"Moderate","Low"))))</x:f>
      </x:c>
      <x:c r="K297" s="18"/>
      <x:c r="L297" s="18"/>
      <x:c r="M297" s="22"/>
      <x:c r="N297" s="18"/>
      <x:c r="O297" s="18"/>
      <x:c r="P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 t="str">
        <x:f>IF(OR(G298="",H298=""),"",G298*H298)</x:f>
      </x:c>
      <x:c r="J298" s="18" t="str">
        <x:f>IF(I298="","",IF(I298&gt;=20,"Critical",IF(I298&gt;=12,"High",IF(I298&gt;=6,"Moderate","Low"))))</x:f>
      </x:c>
      <x:c r="K298" s="18"/>
      <x:c r="L298" s="18"/>
      <x:c r="M298" s="22"/>
      <x:c r="N298" s="18"/>
      <x:c r="O298" s="18"/>
      <x:c r="P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 t="str">
        <x:f>IF(OR(G299="",H299=""),"",G299*H299)</x:f>
      </x:c>
      <x:c r="J299" s="18" t="str">
        <x:f>IF(I299="","",IF(I299&gt;=20,"Critical",IF(I299&gt;=12,"High",IF(I299&gt;=6,"Moderate","Low"))))</x:f>
      </x:c>
      <x:c r="K299" s="18"/>
      <x:c r="L299" s="18"/>
      <x:c r="M299" s="22"/>
      <x:c r="N299" s="18"/>
      <x:c r="O299" s="18"/>
      <x:c r="P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 t="str">
        <x:f>IF(OR(G300="",H300=""),"",G300*H300)</x:f>
      </x:c>
      <x:c r="J300" s="18" t="str">
        <x:f>IF(I300="","",IF(I300&gt;=20,"Critical",IF(I300&gt;=12,"High",IF(I300&gt;=6,"Moderate","Low"))))</x:f>
      </x:c>
      <x:c r="K300" s="18"/>
      <x:c r="L300" s="18"/>
      <x:c r="M300" s="22"/>
      <x:c r="N300" s="18"/>
      <x:c r="O300" s="18"/>
      <x:c r="P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 t="str">
        <x:f>IF(OR(G301="",H301=""),"",G301*H301)</x:f>
      </x:c>
      <x:c r="J301" s="18" t="str">
        <x:f>IF(I301="","",IF(I301&gt;=20,"Critical",IF(I301&gt;=12,"High",IF(I301&gt;=6,"Moderate","Low"))))</x:f>
      </x:c>
      <x:c r="K301" s="18"/>
      <x:c r="L301" s="18"/>
      <x:c r="M301" s="22"/>
      <x:c r="N301" s="18"/>
      <x:c r="O301" s="18"/>
      <x:c r="P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 t="str">
        <x:f>IF(OR(G302="",H302=""),"",G302*H302)</x:f>
      </x:c>
      <x:c r="J302" s="18" t="str">
        <x:f>IF(I302="","",IF(I302&gt;=20,"Critical",IF(I302&gt;=12,"High",IF(I302&gt;=6,"Moderate","Low"))))</x:f>
      </x:c>
      <x:c r="K302" s="18"/>
      <x:c r="L302" s="18"/>
      <x:c r="M302" s="22"/>
      <x:c r="N302" s="18"/>
      <x:c r="O302" s="18"/>
      <x:c r="P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 t="str">
        <x:f>IF(OR(G303="",H303=""),"",G303*H303)</x:f>
      </x:c>
      <x:c r="J303" s="18" t="str">
        <x:f>IF(I303="","",IF(I303&gt;=20,"Critical",IF(I303&gt;=12,"High",IF(I303&gt;=6,"Moderate","Low"))))</x:f>
      </x:c>
      <x:c r="K303" s="18"/>
      <x:c r="L303" s="18"/>
      <x:c r="M303" s="22"/>
      <x:c r="N303" s="18"/>
      <x:c r="O303" s="18"/>
      <x:c r="P303" s="18"/>
    </x:row>
  </x:sheetData>
  <x:mergeCells>
    <x:mergeCell ref="A1:P1"/>
  </x:mergeCells>
  <x:conditionalFormatting sqref="I4:I303">
    <x:cfRule type="colorScale" priority="1">
      <x:colorScale>
        <x:cfvo type="min"/>
        <x:cfvo type="percentile" val="50"/>
        <x:cfvo type="max"/>
        <x:color rgb="FFD9EAD3"/>
        <x:color rgb="FFFFD966"/>
        <x:color rgb="FFF4CCCC"/>
      </x:colorScale>
    </x:cfRule>
  </x:conditionalFormatting>
  <x:dataValidations count="3">
    <x:dataValidation type="list" sqref="C4:C303">
      <x:formula1>"Spoofing,Tampering,Repudiation,Information Disclosure,Denial of Service,Elevation of Privilege"</x:formula1>
    </x:dataValidation>
    <x:dataValidation type="list" sqref="G4:H303">
      <x:formula1>"1,2,3,4,5"</x:formula1>
    </x:dataValidation>
    <x:dataValidation type="list" sqref="N4:N303">
      <x:formula1>"Not Started,Planned,In Progress,Blocked,Complete,Accepted"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40" hidden="0" customWidth="1"/>
    <x:col min="4" max="4" width="13" hidden="0" customWidth="1"/>
    <x:col min="5" max="5" width="20" hidden="0" customWidth="1"/>
    <x:col min="6" max="6" width="14" hidden="0" customWidth="1"/>
    <x:col min="7" max="7" width="16" hidden="0" customWidth="1"/>
    <x:col min="8" max="8" width="30" hidden="0" customWidth="1"/>
    <x:col min="9" max="9" width="14" hidden="0" customWidth="1"/>
    <x:col min="10" max="10" width="30" hidden="0" customWidth="1"/>
  </x:cols>
  <x:sheetData>
    <x:row r="1">
      <x:c r="A1" s="4" t="str">
        <x:v>STRIDE Mitigation Tracker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Action ID</x:v>
      </x:c>
      <x:c r="B3" s="12" t="str">
        <x:v>Threat ID</x:v>
      </x:c>
      <x:c r="C3" s="12" t="str">
        <x:v>Mitigation Action</x:v>
      </x:c>
      <x:c r="D3" s="12" t="str">
        <x:v>Priority</x:v>
      </x:c>
      <x:c r="E3" s="12" t="str">
        <x:v>Owner</x:v>
      </x:c>
      <x:c r="F3" s="12" t="str">
        <x:v>Target Date</x:v>
      </x:c>
      <x:c r="G3" s="12" t="str">
        <x:v>Status</x:v>
      </x:c>
      <x:c r="H3" s="12" t="str">
        <x:v>Validation Method</x:v>
      </x:c>
      <x:c r="I3" s="12" t="str">
        <x:v>Residual Risk</x:v>
      </x:c>
      <x:c r="J3" s="12" t="str">
        <x:v>Notes</x:v>
      </x:c>
    </x:row>
    <x:row r="4">
      <x:c r="A4" s="18" t="str">
        <x:v>SM-001</x:v>
      </x:c>
      <x:c r="B4" s="18" t="str">
        <x:v>TH-001</x:v>
      </x:c>
      <x:c r="C4" s="18" t="str">
        <x:v>Deploy phishing-resistant MFA for high-risk access</x:v>
      </x:c>
      <x:c r="D4" s="18" t="str">
        <x:v>Critical</x:v>
      </x:c>
      <x:c r="E4" s="18" t="str">
        <x:v>IAM Lead</x:v>
      </x:c>
      <x:c r="F4" s="22" t="n">
        <x:v>46296</x:v>
      </x:c>
      <x:c r="G4" s="18" t="str">
        <x:v>In Progress</x:v>
      </x:c>
      <x:c r="H4" s="18" t="str">
        <x:v>Authentication policy and test</x:v>
      </x:c>
      <x:c r="I4" s="18" t="str">
        <x:v>Moderate</x:v>
      </x:c>
      <x:c r="J4" s="18" t="str"/>
    </x:row>
    <x:row r="5">
      <x:c r="A5" s="18" t="str">
        <x:v>SM-002</x:v>
      </x:c>
      <x:c r="B5" s="18" t="str">
        <x:v>TH-002</x:v>
      </x:c>
      <x:c r="C5" s="18" t="str">
        <x:v>Replace broad database service account with scoped roles</x:v>
      </x:c>
      <x:c r="D5" s="18" t="str">
        <x:v>High</x:v>
      </x:c>
      <x:c r="E5" s="18" t="str">
        <x:v>DBA Lead</x:v>
      </x:c>
      <x:c r="F5" s="22" t="n">
        <x:v>46280</x:v>
      </x:c>
      <x:c r="G5" s="18" t="str">
        <x:v>Planned</x:v>
      </x:c>
      <x:c r="H5" s="18" t="str">
        <x:v>Access review and change test</x:v>
      </x:c>
      <x:c r="I5" s="18" t="str">
        <x:v>Low</x:v>
      </x:c>
      <x:c r="J5" s="18" t="str"/>
    </x:row>
    <x:row r="6">
      <x:c r="A6" s="18" t="str">
        <x:v>SM-003</x:v>
      </x:c>
      <x:c r="B6" s="18" t="str">
        <x:v>TH-004</x:v>
      </x:c>
      <x:c r="C6" s="18" t="str">
        <x:v>Standardize safe error responses</x:v>
      </x:c>
      <x:c r="D6" s="18" t="str">
        <x:v>Moderate</x:v>
      </x:c>
      <x:c r="E6" s="18" t="str">
        <x:v>App Owner</x:v>
      </x:c>
      <x:c r="F6" s="22" t="n">
        <x:v>46264</x:v>
      </x:c>
      <x:c r="G6" s="18" t="str">
        <x:v>In Progress</x:v>
      </x:c>
      <x:c r="H6" s="18" t="str">
        <x:v>Application security test</x:v>
      </x:c>
      <x:c r="I6" s="18" t="str">
        <x:v>Low</x:v>
      </x:c>
      <x:c r="J6" s="18" t="str"/>
    </x:row>
    <x:row r="7">
      <x:c r="A7" s="18" t="str">
        <x:v>SM-004</x:v>
      </x:c>
      <x:c r="B7" s="18" t="str">
        <x:v>TH-005</x:v>
      </x:c>
      <x:c r="C7" s="18" t="str">
        <x:v>Implement adaptive rate limiting</x:v>
      </x:c>
      <x:c r="D7" s="18" t="str">
        <x:v>High</x:v>
      </x:c>
      <x:c r="E7" s="18" t="str">
        <x:v>App Owner</x:v>
      </x:c>
      <x:c r="F7" s="22" t="n">
        <x:v>46280</x:v>
      </x:c>
      <x:c r="G7" s="18" t="str">
        <x:v>Planned</x:v>
      </x:c>
      <x:c r="H7" s="18" t="str">
        <x:v>Load and abuse testing</x:v>
      </x:c>
      <x:c r="I7" s="18" t="str">
        <x:v>Moderate</x:v>
      </x:c>
      <x:c r="J7" s="18" t="str"/>
    </x:row>
    <x:row r="8">
      <x:c r="A8" s="18" t="str">
        <x:v>SM-005</x:v>
      </x:c>
      <x:c r="B8" s="18" t="str">
        <x:v>TH-007</x:v>
      </x:c>
      <x:c r="C8" s="18" t="str">
        <x:v>Write logs to immutable storage</x:v>
      </x:c>
      <x:c r="D8" s="18" t="str">
        <x:v>High</x:v>
      </x:c>
      <x:c r="E8" s="18" t="str">
        <x:v>SOC Lead</x:v>
      </x:c>
      <x:c r="F8" s="22" t="n">
        <x:v>46310</x:v>
      </x:c>
      <x:c r="G8" s="18" t="str">
        <x:v>Not Started</x:v>
      </x:c>
      <x:c r="H8" s="18" t="str">
        <x:v>Deletion-resistance test</x:v>
      </x:c>
      <x:c r="I8" s="18" t="str">
        <x:v>Low</x:v>
      </x:c>
      <x:c r="J8" s="18" t="str"/>
    </x:row>
    <x:row r="9">
      <x:c r="A9" s="18"/>
      <x:c r="B9" s="18"/>
      <x:c r="C9" s="18"/>
      <x:c r="D9" s="18"/>
      <x:c r="E9" s="18"/>
      <x:c r="F9" s="22"/>
      <x:c r="G9" s="18"/>
      <x:c r="H9" s="18"/>
      <x:c r="I9" s="18"/>
      <x:c r="J9" s="18"/>
    </x:row>
    <x:row r="10">
      <x:c r="A10" s="18"/>
      <x:c r="B10" s="18"/>
      <x:c r="C10" s="18"/>
      <x:c r="D10" s="18"/>
      <x:c r="E10" s="18"/>
      <x:c r="F10" s="22"/>
      <x:c r="G10" s="18"/>
      <x:c r="H10" s="18"/>
      <x:c r="I10" s="18"/>
      <x:c r="J10" s="18"/>
    </x:row>
    <x:row r="11">
      <x:c r="A11" s="18"/>
      <x:c r="B11" s="18"/>
      <x:c r="C11" s="18"/>
      <x:c r="D11" s="18"/>
      <x:c r="E11" s="18"/>
      <x:c r="F11" s="22"/>
      <x:c r="G11" s="18"/>
      <x:c r="H11" s="18"/>
      <x:c r="I11" s="18"/>
      <x:c r="J11" s="18"/>
    </x:row>
    <x:row r="12">
      <x:c r="A12" s="18"/>
      <x:c r="B12" s="18"/>
      <x:c r="C12" s="18"/>
      <x:c r="D12" s="18"/>
      <x:c r="E12" s="18"/>
      <x:c r="F12" s="22"/>
      <x:c r="G12" s="18"/>
      <x:c r="H12" s="18"/>
      <x:c r="I12" s="18"/>
      <x:c r="J12" s="18"/>
    </x:row>
    <x:row r="13">
      <x:c r="A13" s="18"/>
      <x:c r="B13" s="18"/>
      <x:c r="C13" s="18"/>
      <x:c r="D13" s="18"/>
      <x:c r="E13" s="18"/>
      <x:c r="F13" s="22"/>
      <x:c r="G13" s="18"/>
      <x:c r="H13" s="18"/>
      <x:c r="I13" s="18"/>
      <x:c r="J13" s="18"/>
    </x:row>
    <x:row r="14">
      <x:c r="A14" s="18"/>
      <x:c r="B14" s="18"/>
      <x:c r="C14" s="18"/>
      <x:c r="D14" s="18"/>
      <x:c r="E14" s="18"/>
      <x:c r="F14" s="22"/>
      <x:c r="G14" s="18"/>
      <x:c r="H14" s="18"/>
      <x:c r="I14" s="18"/>
      <x:c r="J14" s="18"/>
    </x:row>
    <x:row r="15">
      <x:c r="A15" s="18"/>
      <x:c r="B15" s="18"/>
      <x:c r="C15" s="18"/>
      <x:c r="D15" s="18"/>
      <x:c r="E15" s="18"/>
      <x:c r="F15" s="22"/>
      <x:c r="G15" s="18"/>
      <x:c r="H15" s="18"/>
      <x:c r="I15" s="18"/>
      <x:c r="J15" s="18"/>
    </x:row>
    <x:row r="16">
      <x:c r="A16" s="18"/>
      <x:c r="B16" s="18"/>
      <x:c r="C16" s="18"/>
      <x:c r="D16" s="18"/>
      <x:c r="E16" s="18"/>
      <x:c r="F16" s="22"/>
      <x:c r="G16" s="18"/>
      <x:c r="H16" s="18"/>
      <x:c r="I16" s="18"/>
      <x:c r="J16" s="18"/>
    </x:row>
    <x:row r="17">
      <x:c r="A17" s="18"/>
      <x:c r="B17" s="18"/>
      <x:c r="C17" s="18"/>
      <x:c r="D17" s="18"/>
      <x:c r="E17" s="18"/>
      <x:c r="F17" s="22"/>
      <x:c r="G17" s="18"/>
      <x:c r="H17" s="18"/>
      <x:c r="I17" s="18"/>
      <x:c r="J17" s="18"/>
    </x:row>
    <x:row r="18">
      <x:c r="A18" s="18"/>
      <x:c r="B18" s="18"/>
      <x:c r="C18" s="18"/>
      <x:c r="D18" s="18"/>
      <x:c r="E18" s="18"/>
      <x:c r="F18" s="22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22"/>
      <x:c r="G19" s="18"/>
      <x:c r="H19" s="18"/>
      <x:c r="I19" s="18"/>
      <x:c r="J19" s="18"/>
    </x:row>
    <x:row r="20">
      <x:c r="A20" s="18"/>
      <x:c r="B20" s="18"/>
      <x:c r="C20" s="18"/>
      <x:c r="D20" s="18"/>
      <x:c r="E20" s="18"/>
      <x:c r="F20" s="22"/>
      <x:c r="G20" s="18"/>
      <x:c r="H20" s="18"/>
      <x:c r="I20" s="18"/>
      <x:c r="J20" s="18"/>
    </x:row>
    <x:row r="21">
      <x:c r="A21" s="18"/>
      <x:c r="B21" s="18"/>
      <x:c r="C21" s="18"/>
      <x:c r="D21" s="18"/>
      <x:c r="E21" s="18"/>
      <x:c r="F21" s="22"/>
      <x:c r="G21" s="18"/>
      <x:c r="H21" s="18"/>
      <x:c r="I21" s="18"/>
      <x:c r="J21" s="18"/>
    </x:row>
    <x:row r="22">
      <x:c r="A22" s="18"/>
      <x:c r="B22" s="18"/>
      <x:c r="C22" s="18"/>
      <x:c r="D22" s="18"/>
      <x:c r="E22" s="18"/>
      <x:c r="F22" s="22"/>
      <x:c r="G22" s="18"/>
      <x:c r="H22" s="18"/>
      <x:c r="I22" s="18"/>
      <x:c r="J22" s="18"/>
    </x:row>
    <x:row r="23">
      <x:c r="A23" s="18"/>
      <x:c r="B23" s="18"/>
      <x:c r="C23" s="18"/>
      <x:c r="D23" s="18"/>
      <x:c r="E23" s="18"/>
      <x:c r="F23" s="22"/>
      <x:c r="G23" s="18"/>
      <x:c r="H23" s="18"/>
      <x:c r="I23" s="18"/>
      <x:c r="J23" s="18"/>
    </x:row>
    <x:row r="24">
      <x:c r="A24" s="18"/>
      <x:c r="B24" s="18"/>
      <x:c r="C24" s="18"/>
      <x:c r="D24" s="18"/>
      <x:c r="E24" s="18"/>
      <x:c r="F24" s="22"/>
      <x:c r="G24" s="18"/>
      <x:c r="H24" s="18"/>
      <x:c r="I24" s="18"/>
      <x:c r="J24" s="18"/>
    </x:row>
    <x:row r="25">
      <x:c r="A25" s="18"/>
      <x:c r="B25" s="18"/>
      <x:c r="C25" s="18"/>
      <x:c r="D25" s="18"/>
      <x:c r="E25" s="18"/>
      <x:c r="F25" s="22"/>
      <x:c r="G25" s="18"/>
      <x:c r="H25" s="18"/>
      <x:c r="I25" s="18"/>
      <x:c r="J25" s="18"/>
    </x:row>
    <x:row r="26">
      <x:c r="A26" s="18"/>
      <x:c r="B26" s="18"/>
      <x:c r="C26" s="18"/>
      <x:c r="D26" s="18"/>
      <x:c r="E26" s="18"/>
      <x:c r="F26" s="22"/>
      <x:c r="G26" s="18"/>
      <x:c r="H26" s="18"/>
      <x:c r="I26" s="18"/>
      <x:c r="J26" s="18"/>
    </x:row>
    <x:row r="27">
      <x:c r="A27" s="18"/>
      <x:c r="B27" s="18"/>
      <x:c r="C27" s="18"/>
      <x:c r="D27" s="18"/>
      <x:c r="E27" s="18"/>
      <x:c r="F27" s="22"/>
      <x:c r="G27" s="18"/>
      <x:c r="H27" s="18"/>
      <x:c r="I27" s="18"/>
      <x:c r="J27" s="18"/>
    </x:row>
    <x:row r="28">
      <x:c r="A28" s="18"/>
      <x:c r="B28" s="18"/>
      <x:c r="C28" s="18"/>
      <x:c r="D28" s="18"/>
      <x:c r="E28" s="18"/>
      <x:c r="F28" s="22"/>
      <x:c r="G28" s="18"/>
      <x:c r="H28" s="18"/>
      <x:c r="I28" s="18"/>
      <x:c r="J28" s="18"/>
    </x:row>
    <x:row r="29">
      <x:c r="A29" s="18"/>
      <x:c r="B29" s="18"/>
      <x:c r="C29" s="18"/>
      <x:c r="D29" s="18"/>
      <x:c r="E29" s="18"/>
      <x:c r="F29" s="22"/>
      <x:c r="G29" s="18"/>
      <x:c r="H29" s="18"/>
      <x:c r="I29" s="18"/>
      <x:c r="J29" s="18"/>
    </x:row>
    <x:row r="30">
      <x:c r="A30" s="18"/>
      <x:c r="B30" s="18"/>
      <x:c r="C30" s="18"/>
      <x:c r="D30" s="18"/>
      <x:c r="E30" s="18"/>
      <x:c r="F30" s="22"/>
      <x:c r="G30" s="18"/>
      <x:c r="H30" s="18"/>
      <x:c r="I30" s="18"/>
      <x:c r="J30" s="18"/>
    </x:row>
    <x:row r="31">
      <x:c r="A31" s="18"/>
      <x:c r="B31" s="18"/>
      <x:c r="C31" s="18"/>
      <x:c r="D31" s="18"/>
      <x:c r="E31" s="18"/>
      <x:c r="F31" s="22"/>
      <x:c r="G31" s="18"/>
      <x:c r="H31" s="18"/>
      <x:c r="I31" s="18"/>
      <x:c r="J31" s="18"/>
    </x:row>
    <x:row r="32">
      <x:c r="A32" s="18"/>
      <x:c r="B32" s="18"/>
      <x:c r="C32" s="18"/>
      <x:c r="D32" s="18"/>
      <x:c r="E32" s="18"/>
      <x:c r="F32" s="22"/>
      <x:c r="G32" s="18"/>
      <x:c r="H32" s="18"/>
      <x:c r="I32" s="18"/>
      <x:c r="J32" s="18"/>
    </x:row>
    <x:row r="33">
      <x:c r="A33" s="18"/>
      <x:c r="B33" s="18"/>
      <x:c r="C33" s="18"/>
      <x:c r="D33" s="18"/>
      <x:c r="E33" s="18"/>
      <x:c r="F33" s="22"/>
      <x:c r="G33" s="18"/>
      <x:c r="H33" s="18"/>
      <x:c r="I33" s="18"/>
      <x:c r="J33" s="18"/>
    </x:row>
    <x:row r="34">
      <x:c r="A34" s="18"/>
      <x:c r="B34" s="18"/>
      <x:c r="C34" s="18"/>
      <x:c r="D34" s="18"/>
      <x:c r="E34" s="18"/>
      <x:c r="F34" s="22"/>
      <x:c r="G34" s="18"/>
      <x:c r="H34" s="18"/>
      <x:c r="I34" s="18"/>
      <x:c r="J34" s="18"/>
    </x:row>
    <x:row r="35">
      <x:c r="A35" s="18"/>
      <x:c r="B35" s="18"/>
      <x:c r="C35" s="18"/>
      <x:c r="D35" s="18"/>
      <x:c r="E35" s="18"/>
      <x:c r="F35" s="22"/>
      <x:c r="G35" s="18"/>
      <x:c r="H35" s="18"/>
      <x:c r="I35" s="18"/>
      <x:c r="J35" s="18"/>
    </x:row>
    <x:row r="36">
      <x:c r="A36" s="18"/>
      <x:c r="B36" s="18"/>
      <x:c r="C36" s="18"/>
      <x:c r="D36" s="18"/>
      <x:c r="E36" s="18"/>
      <x:c r="F36" s="22"/>
      <x:c r="G36" s="18"/>
      <x:c r="H36" s="18"/>
      <x:c r="I36" s="18"/>
      <x:c r="J36" s="18"/>
    </x:row>
    <x:row r="37">
      <x:c r="A37" s="18"/>
      <x:c r="B37" s="18"/>
      <x:c r="C37" s="18"/>
      <x:c r="D37" s="18"/>
      <x:c r="E37" s="18"/>
      <x:c r="F37" s="22"/>
      <x:c r="G37" s="18"/>
      <x:c r="H37" s="18"/>
      <x:c r="I37" s="18"/>
      <x:c r="J37" s="18"/>
    </x:row>
    <x:row r="38">
      <x:c r="A38" s="18"/>
      <x:c r="B38" s="18"/>
      <x:c r="C38" s="18"/>
      <x:c r="D38" s="18"/>
      <x:c r="E38" s="18"/>
      <x:c r="F38" s="22"/>
      <x:c r="G38" s="18"/>
      <x:c r="H38" s="18"/>
      <x:c r="I38" s="18"/>
      <x:c r="J38" s="18"/>
    </x:row>
    <x:row r="39">
      <x:c r="A39" s="18"/>
      <x:c r="B39" s="18"/>
      <x:c r="C39" s="18"/>
      <x:c r="D39" s="18"/>
      <x:c r="E39" s="18"/>
      <x:c r="F39" s="22"/>
      <x:c r="G39" s="18"/>
      <x:c r="H39" s="18"/>
      <x:c r="I39" s="18"/>
      <x:c r="J39" s="18"/>
    </x:row>
    <x:row r="40">
      <x:c r="A40" s="18"/>
      <x:c r="B40" s="18"/>
      <x:c r="C40" s="18"/>
      <x:c r="D40" s="18"/>
      <x:c r="E40" s="18"/>
      <x:c r="F40" s="22"/>
      <x:c r="G40" s="18"/>
      <x:c r="H40" s="18"/>
      <x:c r="I40" s="18"/>
      <x:c r="J40" s="18"/>
    </x:row>
    <x:row r="41">
      <x:c r="A41" s="18"/>
      <x:c r="B41" s="18"/>
      <x:c r="C41" s="18"/>
      <x:c r="D41" s="18"/>
      <x:c r="E41" s="18"/>
      <x:c r="F41" s="22"/>
      <x:c r="G41" s="18"/>
      <x:c r="H41" s="18"/>
      <x:c r="I41" s="18"/>
      <x:c r="J41" s="18"/>
    </x:row>
    <x:row r="42">
      <x:c r="A42" s="18"/>
      <x:c r="B42" s="18"/>
      <x:c r="C42" s="18"/>
      <x:c r="D42" s="18"/>
      <x:c r="E42" s="18"/>
      <x:c r="F42" s="22"/>
      <x:c r="G42" s="18"/>
      <x:c r="H42" s="18"/>
      <x:c r="I42" s="18"/>
      <x:c r="J42" s="18"/>
    </x:row>
    <x:row r="43">
      <x:c r="A43" s="18"/>
      <x:c r="B43" s="18"/>
      <x:c r="C43" s="18"/>
      <x:c r="D43" s="18"/>
      <x:c r="E43" s="18"/>
      <x:c r="F43" s="22"/>
      <x:c r="G43" s="18"/>
      <x:c r="H43" s="18"/>
      <x:c r="I43" s="18"/>
      <x:c r="J43" s="18"/>
    </x:row>
    <x:row r="44">
      <x:c r="A44" s="18"/>
      <x:c r="B44" s="18"/>
      <x:c r="C44" s="18"/>
      <x:c r="D44" s="18"/>
      <x:c r="E44" s="18"/>
      <x:c r="F44" s="22"/>
      <x:c r="G44" s="18"/>
      <x:c r="H44" s="18"/>
      <x:c r="I44" s="18"/>
      <x:c r="J44" s="18"/>
    </x:row>
    <x:row r="45">
      <x:c r="A45" s="18"/>
      <x:c r="B45" s="18"/>
      <x:c r="C45" s="18"/>
      <x:c r="D45" s="18"/>
      <x:c r="E45" s="18"/>
      <x:c r="F45" s="22"/>
      <x:c r="G45" s="18"/>
      <x:c r="H45" s="18"/>
      <x:c r="I45" s="18"/>
      <x:c r="J45" s="18"/>
    </x:row>
    <x:row r="46">
      <x:c r="A46" s="18"/>
      <x:c r="B46" s="18"/>
      <x:c r="C46" s="18"/>
      <x:c r="D46" s="18"/>
      <x:c r="E46" s="18"/>
      <x:c r="F46" s="22"/>
      <x:c r="G46" s="18"/>
      <x:c r="H46" s="18"/>
      <x:c r="I46" s="18"/>
      <x:c r="J46" s="18"/>
    </x:row>
    <x:row r="47">
      <x:c r="A47" s="18"/>
      <x:c r="B47" s="18"/>
      <x:c r="C47" s="18"/>
      <x:c r="D47" s="18"/>
      <x:c r="E47" s="18"/>
      <x:c r="F47" s="22"/>
      <x:c r="G47" s="18"/>
      <x:c r="H47" s="18"/>
      <x:c r="I47" s="18"/>
      <x:c r="J47" s="18"/>
    </x:row>
    <x:row r="48">
      <x:c r="A48" s="18"/>
      <x:c r="B48" s="18"/>
      <x:c r="C48" s="18"/>
      <x:c r="D48" s="18"/>
      <x:c r="E48" s="18"/>
      <x:c r="F48" s="22"/>
      <x:c r="G48" s="18"/>
      <x:c r="H48" s="18"/>
      <x:c r="I48" s="18"/>
      <x:c r="J48" s="18"/>
    </x:row>
    <x:row r="49">
      <x:c r="A49" s="18"/>
      <x:c r="B49" s="18"/>
      <x:c r="C49" s="18"/>
      <x:c r="D49" s="18"/>
      <x:c r="E49" s="18"/>
      <x:c r="F49" s="22"/>
      <x:c r="G49" s="18"/>
      <x:c r="H49" s="18"/>
      <x:c r="I49" s="18"/>
      <x:c r="J49" s="18"/>
    </x:row>
    <x:row r="50">
      <x:c r="A50" s="18"/>
      <x:c r="B50" s="18"/>
      <x:c r="C50" s="18"/>
      <x:c r="D50" s="18"/>
      <x:c r="E50" s="18"/>
      <x:c r="F50" s="22"/>
      <x:c r="G50" s="18"/>
      <x:c r="H50" s="18"/>
      <x:c r="I50" s="18"/>
      <x:c r="J50" s="18"/>
    </x:row>
    <x:row r="51">
      <x:c r="A51" s="18"/>
      <x:c r="B51" s="18"/>
      <x:c r="C51" s="18"/>
      <x:c r="D51" s="18"/>
      <x:c r="E51" s="18"/>
      <x:c r="F51" s="22"/>
      <x:c r="G51" s="18"/>
      <x:c r="H51" s="18"/>
      <x:c r="I51" s="18"/>
      <x:c r="J51" s="18"/>
    </x:row>
    <x:row r="52">
      <x:c r="A52" s="18"/>
      <x:c r="B52" s="18"/>
      <x:c r="C52" s="18"/>
      <x:c r="D52" s="18"/>
      <x:c r="E52" s="18"/>
      <x:c r="F52" s="22"/>
      <x:c r="G52" s="18"/>
      <x:c r="H52" s="18"/>
      <x:c r="I52" s="18"/>
      <x:c r="J52" s="18"/>
    </x:row>
    <x:row r="53">
      <x:c r="A53" s="18"/>
      <x:c r="B53" s="18"/>
      <x:c r="C53" s="18"/>
      <x:c r="D53" s="18"/>
      <x:c r="E53" s="18"/>
      <x:c r="F53" s="22"/>
      <x:c r="G53" s="18"/>
      <x:c r="H53" s="18"/>
      <x:c r="I53" s="18"/>
      <x:c r="J53" s="18"/>
    </x:row>
    <x:row r="54">
      <x:c r="A54" s="18"/>
      <x:c r="B54" s="18"/>
      <x:c r="C54" s="18"/>
      <x:c r="D54" s="18"/>
      <x:c r="E54" s="18"/>
      <x:c r="F54" s="22"/>
      <x:c r="G54" s="18"/>
      <x:c r="H54" s="18"/>
      <x:c r="I54" s="18"/>
      <x:c r="J54" s="18"/>
    </x:row>
    <x:row r="55">
      <x:c r="A55" s="18"/>
      <x:c r="B55" s="18"/>
      <x:c r="C55" s="18"/>
      <x:c r="D55" s="18"/>
      <x:c r="E55" s="18"/>
      <x:c r="F55" s="22"/>
      <x:c r="G55" s="18"/>
      <x:c r="H55" s="18"/>
      <x:c r="I55" s="18"/>
      <x:c r="J55" s="18"/>
    </x:row>
    <x:row r="56">
      <x:c r="A56" s="18"/>
      <x:c r="B56" s="18"/>
      <x:c r="C56" s="18"/>
      <x:c r="D56" s="18"/>
      <x:c r="E56" s="18"/>
      <x:c r="F56" s="22"/>
      <x:c r="G56" s="18"/>
      <x:c r="H56" s="18"/>
      <x:c r="I56" s="18"/>
      <x:c r="J56" s="18"/>
    </x:row>
    <x:row r="57">
      <x:c r="A57" s="18"/>
      <x:c r="B57" s="18"/>
      <x:c r="C57" s="18"/>
      <x:c r="D57" s="18"/>
      <x:c r="E57" s="18"/>
      <x:c r="F57" s="22"/>
      <x:c r="G57" s="18"/>
      <x:c r="H57" s="18"/>
      <x:c r="I57" s="18"/>
      <x:c r="J57" s="18"/>
    </x:row>
    <x:row r="58">
      <x:c r="A58" s="18"/>
      <x:c r="B58" s="18"/>
      <x:c r="C58" s="18"/>
      <x:c r="D58" s="18"/>
      <x:c r="E58" s="18"/>
      <x:c r="F58" s="22"/>
      <x:c r="G58" s="18"/>
      <x:c r="H58" s="18"/>
      <x:c r="I58" s="18"/>
      <x:c r="J58" s="18"/>
    </x:row>
    <x:row r="59">
      <x:c r="A59" s="18"/>
      <x:c r="B59" s="18"/>
      <x:c r="C59" s="18"/>
      <x:c r="D59" s="18"/>
      <x:c r="E59" s="18"/>
      <x:c r="F59" s="22"/>
      <x:c r="G59" s="18"/>
      <x:c r="H59" s="18"/>
      <x:c r="I59" s="18"/>
      <x:c r="J59" s="18"/>
    </x:row>
    <x:row r="60">
      <x:c r="A60" s="18"/>
      <x:c r="B60" s="18"/>
      <x:c r="C60" s="18"/>
      <x:c r="D60" s="18"/>
      <x:c r="E60" s="18"/>
      <x:c r="F60" s="22"/>
      <x:c r="G60" s="18"/>
      <x:c r="H60" s="18"/>
      <x:c r="I60" s="18"/>
      <x:c r="J60" s="18"/>
    </x:row>
    <x:row r="61">
      <x:c r="A61" s="18"/>
      <x:c r="B61" s="18"/>
      <x:c r="C61" s="18"/>
      <x:c r="D61" s="18"/>
      <x:c r="E61" s="18"/>
      <x:c r="F61" s="22"/>
      <x:c r="G61" s="18"/>
      <x:c r="H61" s="18"/>
      <x:c r="I61" s="18"/>
      <x:c r="J61" s="18"/>
    </x:row>
    <x:row r="62">
      <x:c r="A62" s="18"/>
      <x:c r="B62" s="18"/>
      <x:c r="C62" s="18"/>
      <x:c r="D62" s="18"/>
      <x:c r="E62" s="18"/>
      <x:c r="F62" s="22"/>
      <x:c r="G62" s="18"/>
      <x:c r="H62" s="18"/>
      <x:c r="I62" s="18"/>
      <x:c r="J62" s="18"/>
    </x:row>
    <x:row r="63">
      <x:c r="A63" s="18"/>
      <x:c r="B63" s="18"/>
      <x:c r="C63" s="18"/>
      <x:c r="D63" s="18"/>
      <x:c r="E63" s="18"/>
      <x:c r="F63" s="22"/>
      <x:c r="G63" s="18"/>
      <x:c r="H63" s="18"/>
      <x:c r="I63" s="18"/>
      <x:c r="J63" s="18"/>
    </x:row>
    <x:row r="64">
      <x:c r="A64" s="18"/>
      <x:c r="B64" s="18"/>
      <x:c r="C64" s="18"/>
      <x:c r="D64" s="18"/>
      <x:c r="E64" s="18"/>
      <x:c r="F64" s="22"/>
      <x:c r="G64" s="18"/>
      <x:c r="H64" s="18"/>
      <x:c r="I64" s="18"/>
      <x:c r="J64" s="18"/>
    </x:row>
    <x:row r="65">
      <x:c r="A65" s="18"/>
      <x:c r="B65" s="18"/>
      <x:c r="C65" s="18"/>
      <x:c r="D65" s="18"/>
      <x:c r="E65" s="18"/>
      <x:c r="F65" s="22"/>
      <x:c r="G65" s="18"/>
      <x:c r="H65" s="18"/>
      <x:c r="I65" s="18"/>
      <x:c r="J65" s="18"/>
    </x:row>
    <x:row r="66">
      <x:c r="A66" s="18"/>
      <x:c r="B66" s="18"/>
      <x:c r="C66" s="18"/>
      <x:c r="D66" s="18"/>
      <x:c r="E66" s="18"/>
      <x:c r="F66" s="22"/>
      <x:c r="G66" s="18"/>
      <x:c r="H66" s="18"/>
      <x:c r="I66" s="18"/>
      <x:c r="J66" s="18"/>
    </x:row>
    <x:row r="67">
      <x:c r="A67" s="18"/>
      <x:c r="B67" s="18"/>
      <x:c r="C67" s="18"/>
      <x:c r="D67" s="18"/>
      <x:c r="E67" s="18"/>
      <x:c r="F67" s="22"/>
      <x:c r="G67" s="18"/>
      <x:c r="H67" s="18"/>
      <x:c r="I67" s="18"/>
      <x:c r="J67" s="18"/>
    </x:row>
    <x:row r="68">
      <x:c r="A68" s="18"/>
      <x:c r="B68" s="18"/>
      <x:c r="C68" s="18"/>
      <x:c r="D68" s="18"/>
      <x:c r="E68" s="18"/>
      <x:c r="F68" s="22"/>
      <x:c r="G68" s="18"/>
      <x:c r="H68" s="18"/>
      <x:c r="I68" s="18"/>
      <x:c r="J68" s="18"/>
    </x:row>
    <x:row r="69">
      <x:c r="A69" s="18"/>
      <x:c r="B69" s="18"/>
      <x:c r="C69" s="18"/>
      <x:c r="D69" s="18"/>
      <x:c r="E69" s="18"/>
      <x:c r="F69" s="22"/>
      <x:c r="G69" s="18"/>
      <x:c r="H69" s="18"/>
      <x:c r="I69" s="18"/>
      <x:c r="J69" s="18"/>
    </x:row>
    <x:row r="70">
      <x:c r="A70" s="18"/>
      <x:c r="B70" s="18"/>
      <x:c r="C70" s="18"/>
      <x:c r="D70" s="18"/>
      <x:c r="E70" s="18"/>
      <x:c r="F70" s="22"/>
      <x:c r="G70" s="18"/>
      <x:c r="H70" s="18"/>
      <x:c r="I70" s="18"/>
      <x:c r="J70" s="18"/>
    </x:row>
    <x:row r="71">
      <x:c r="A71" s="18"/>
      <x:c r="B71" s="18"/>
      <x:c r="C71" s="18"/>
      <x:c r="D71" s="18"/>
      <x:c r="E71" s="18"/>
      <x:c r="F71" s="22"/>
      <x:c r="G71" s="18"/>
      <x:c r="H71" s="18"/>
      <x:c r="I71" s="18"/>
      <x:c r="J71" s="18"/>
    </x:row>
    <x:row r="72">
      <x:c r="A72" s="18"/>
      <x:c r="B72" s="18"/>
      <x:c r="C72" s="18"/>
      <x:c r="D72" s="18"/>
      <x:c r="E72" s="18"/>
      <x:c r="F72" s="22"/>
      <x:c r="G72" s="18"/>
      <x:c r="H72" s="18"/>
      <x:c r="I72" s="18"/>
      <x:c r="J72" s="18"/>
    </x:row>
    <x:row r="73">
      <x:c r="A73" s="18"/>
      <x:c r="B73" s="18"/>
      <x:c r="C73" s="18"/>
      <x:c r="D73" s="18"/>
      <x:c r="E73" s="18"/>
      <x:c r="F73" s="22"/>
      <x:c r="G73" s="18"/>
      <x:c r="H73" s="18"/>
      <x:c r="I73" s="18"/>
      <x:c r="J73" s="18"/>
    </x:row>
    <x:row r="74">
      <x:c r="A74" s="18"/>
      <x:c r="B74" s="18"/>
      <x:c r="C74" s="18"/>
      <x:c r="D74" s="18"/>
      <x:c r="E74" s="18"/>
      <x:c r="F74" s="22"/>
      <x:c r="G74" s="18"/>
      <x:c r="H74" s="18"/>
      <x:c r="I74" s="18"/>
      <x:c r="J74" s="18"/>
    </x:row>
    <x:row r="75">
      <x:c r="A75" s="18"/>
      <x:c r="B75" s="18"/>
      <x:c r="C75" s="18"/>
      <x:c r="D75" s="18"/>
      <x:c r="E75" s="18"/>
      <x:c r="F75" s="22"/>
      <x:c r="G75" s="18"/>
      <x:c r="H75" s="18"/>
      <x:c r="I75" s="18"/>
      <x:c r="J75" s="18"/>
    </x:row>
    <x:row r="76">
      <x:c r="A76" s="18"/>
      <x:c r="B76" s="18"/>
      <x:c r="C76" s="18"/>
      <x:c r="D76" s="18"/>
      <x:c r="E76" s="18"/>
      <x:c r="F76" s="22"/>
      <x:c r="G76" s="18"/>
      <x:c r="H76" s="18"/>
      <x:c r="I76" s="18"/>
      <x:c r="J76" s="18"/>
    </x:row>
    <x:row r="77">
      <x:c r="A77" s="18"/>
      <x:c r="B77" s="18"/>
      <x:c r="C77" s="18"/>
      <x:c r="D77" s="18"/>
      <x:c r="E77" s="18"/>
      <x:c r="F77" s="22"/>
      <x:c r="G77" s="18"/>
      <x:c r="H77" s="18"/>
      <x:c r="I77" s="18"/>
      <x:c r="J77" s="18"/>
    </x:row>
    <x:row r="78">
      <x:c r="A78" s="18"/>
      <x:c r="B78" s="18"/>
      <x:c r="C78" s="18"/>
      <x:c r="D78" s="18"/>
      <x:c r="E78" s="18"/>
      <x:c r="F78" s="22"/>
      <x:c r="G78" s="18"/>
      <x:c r="H78" s="18"/>
      <x:c r="I78" s="18"/>
      <x:c r="J78" s="18"/>
    </x:row>
    <x:row r="79">
      <x:c r="A79" s="18"/>
      <x:c r="B79" s="18"/>
      <x:c r="C79" s="18"/>
      <x:c r="D79" s="18"/>
      <x:c r="E79" s="18"/>
      <x:c r="F79" s="22"/>
      <x:c r="G79" s="18"/>
      <x:c r="H79" s="18"/>
      <x:c r="I79" s="18"/>
      <x:c r="J79" s="18"/>
    </x:row>
    <x:row r="80">
      <x:c r="A80" s="18"/>
      <x:c r="B80" s="18"/>
      <x:c r="C80" s="18"/>
      <x:c r="D80" s="18"/>
      <x:c r="E80" s="18"/>
      <x:c r="F80" s="22"/>
      <x:c r="G80" s="18"/>
      <x:c r="H80" s="18"/>
      <x:c r="I80" s="18"/>
      <x:c r="J80" s="18"/>
    </x:row>
    <x:row r="81">
      <x:c r="A81" s="18"/>
      <x:c r="B81" s="18"/>
      <x:c r="C81" s="18"/>
      <x:c r="D81" s="18"/>
      <x:c r="E81" s="18"/>
      <x:c r="F81" s="22"/>
      <x:c r="G81" s="18"/>
      <x:c r="H81" s="18"/>
      <x:c r="I81" s="18"/>
      <x:c r="J81" s="18"/>
    </x:row>
    <x:row r="82">
      <x:c r="A82" s="18"/>
      <x:c r="B82" s="18"/>
      <x:c r="C82" s="18"/>
      <x:c r="D82" s="18"/>
      <x:c r="E82" s="18"/>
      <x:c r="F82" s="22"/>
      <x:c r="G82" s="18"/>
      <x:c r="H82" s="18"/>
      <x:c r="I82" s="18"/>
      <x:c r="J82" s="18"/>
    </x:row>
    <x:row r="83">
      <x:c r="A83" s="18"/>
      <x:c r="B83" s="18"/>
      <x:c r="C83" s="18"/>
      <x:c r="D83" s="18"/>
      <x:c r="E83" s="18"/>
      <x:c r="F83" s="22"/>
      <x:c r="G83" s="18"/>
      <x:c r="H83" s="18"/>
      <x:c r="I83" s="18"/>
      <x:c r="J83" s="18"/>
    </x:row>
    <x:row r="84">
      <x:c r="A84" s="18"/>
      <x:c r="B84" s="18"/>
      <x:c r="C84" s="18"/>
      <x:c r="D84" s="18"/>
      <x:c r="E84" s="18"/>
      <x:c r="F84" s="22"/>
      <x:c r="G84" s="18"/>
      <x:c r="H84" s="18"/>
      <x:c r="I84" s="18"/>
      <x:c r="J84" s="18"/>
    </x:row>
    <x:row r="85">
      <x:c r="A85" s="18"/>
      <x:c r="B85" s="18"/>
      <x:c r="C85" s="18"/>
      <x:c r="D85" s="18"/>
      <x:c r="E85" s="18"/>
      <x:c r="F85" s="22"/>
      <x:c r="G85" s="18"/>
      <x:c r="H85" s="18"/>
      <x:c r="I85" s="18"/>
      <x:c r="J85" s="18"/>
    </x:row>
    <x:row r="86">
      <x:c r="A86" s="18"/>
      <x:c r="B86" s="18"/>
      <x:c r="C86" s="18"/>
      <x:c r="D86" s="18"/>
      <x:c r="E86" s="18"/>
      <x:c r="F86" s="22"/>
      <x:c r="G86" s="18"/>
      <x:c r="H86" s="18"/>
      <x:c r="I86" s="18"/>
      <x:c r="J86" s="18"/>
    </x:row>
    <x:row r="87">
      <x:c r="A87" s="18"/>
      <x:c r="B87" s="18"/>
      <x:c r="C87" s="18"/>
      <x:c r="D87" s="18"/>
      <x:c r="E87" s="18"/>
      <x:c r="F87" s="22"/>
      <x:c r="G87" s="18"/>
      <x:c r="H87" s="18"/>
      <x:c r="I87" s="18"/>
      <x:c r="J87" s="18"/>
    </x:row>
    <x:row r="88">
      <x:c r="A88" s="18"/>
      <x:c r="B88" s="18"/>
      <x:c r="C88" s="18"/>
      <x:c r="D88" s="18"/>
      <x:c r="E88" s="18"/>
      <x:c r="F88" s="22"/>
      <x:c r="G88" s="18"/>
      <x:c r="H88" s="18"/>
      <x:c r="I88" s="18"/>
      <x:c r="J88" s="18"/>
    </x:row>
    <x:row r="89">
      <x:c r="A89" s="18"/>
      <x:c r="B89" s="18"/>
      <x:c r="C89" s="18"/>
      <x:c r="D89" s="18"/>
      <x:c r="E89" s="18"/>
      <x:c r="F89" s="22"/>
      <x:c r="G89" s="18"/>
      <x:c r="H89" s="18"/>
      <x:c r="I89" s="18"/>
      <x:c r="J89" s="18"/>
    </x:row>
    <x:row r="90">
      <x:c r="A90" s="18"/>
      <x:c r="B90" s="18"/>
      <x:c r="C90" s="18"/>
      <x:c r="D90" s="18"/>
      <x:c r="E90" s="18"/>
      <x:c r="F90" s="22"/>
      <x:c r="G90" s="18"/>
      <x:c r="H90" s="18"/>
      <x:c r="I90" s="18"/>
      <x:c r="J90" s="18"/>
    </x:row>
    <x:row r="91">
      <x:c r="A91" s="18"/>
      <x:c r="B91" s="18"/>
      <x:c r="C91" s="18"/>
      <x:c r="D91" s="18"/>
      <x:c r="E91" s="18"/>
      <x:c r="F91" s="22"/>
      <x:c r="G91" s="18"/>
      <x:c r="H91" s="18"/>
      <x:c r="I91" s="18"/>
      <x:c r="J91" s="18"/>
    </x:row>
    <x:row r="92">
      <x:c r="A92" s="18"/>
      <x:c r="B92" s="18"/>
      <x:c r="C92" s="18"/>
      <x:c r="D92" s="18"/>
      <x:c r="E92" s="18"/>
      <x:c r="F92" s="22"/>
      <x:c r="G92" s="18"/>
      <x:c r="H92" s="18"/>
      <x:c r="I92" s="18"/>
      <x:c r="J92" s="18"/>
    </x:row>
    <x:row r="93">
      <x:c r="A93" s="18"/>
      <x:c r="B93" s="18"/>
      <x:c r="C93" s="18"/>
      <x:c r="D93" s="18"/>
      <x:c r="E93" s="18"/>
      <x:c r="F93" s="22"/>
      <x:c r="G93" s="18"/>
      <x:c r="H93" s="18"/>
      <x:c r="I93" s="18"/>
      <x:c r="J93" s="18"/>
    </x:row>
    <x:row r="94">
      <x:c r="A94" s="18"/>
      <x:c r="B94" s="18"/>
      <x:c r="C94" s="18"/>
      <x:c r="D94" s="18"/>
      <x:c r="E94" s="18"/>
      <x:c r="F94" s="22"/>
      <x:c r="G94" s="18"/>
      <x:c r="H94" s="18"/>
      <x:c r="I94" s="18"/>
      <x:c r="J94" s="18"/>
    </x:row>
    <x:row r="95">
      <x:c r="A95" s="18"/>
      <x:c r="B95" s="18"/>
      <x:c r="C95" s="18"/>
      <x:c r="D95" s="18"/>
      <x:c r="E95" s="18"/>
      <x:c r="F95" s="22"/>
      <x:c r="G95" s="18"/>
      <x:c r="H95" s="18"/>
      <x:c r="I95" s="18"/>
      <x:c r="J95" s="18"/>
    </x:row>
    <x:row r="96">
      <x:c r="A96" s="18"/>
      <x:c r="B96" s="18"/>
      <x:c r="C96" s="18"/>
      <x:c r="D96" s="18"/>
      <x:c r="E96" s="18"/>
      <x:c r="F96" s="22"/>
      <x:c r="G96" s="18"/>
      <x:c r="H96" s="18"/>
      <x:c r="I96" s="18"/>
      <x:c r="J96" s="18"/>
    </x:row>
    <x:row r="97">
      <x:c r="A97" s="18"/>
      <x:c r="B97" s="18"/>
      <x:c r="C97" s="18"/>
      <x:c r="D97" s="18"/>
      <x:c r="E97" s="18"/>
      <x:c r="F97" s="22"/>
      <x:c r="G97" s="18"/>
      <x:c r="H97" s="18"/>
      <x:c r="I97" s="18"/>
      <x:c r="J97" s="18"/>
    </x:row>
    <x:row r="98">
      <x:c r="A98" s="18"/>
      <x:c r="B98" s="18"/>
      <x:c r="C98" s="18"/>
      <x:c r="D98" s="18"/>
      <x:c r="E98" s="18"/>
      <x:c r="F98" s="22"/>
      <x:c r="G98" s="18"/>
      <x:c r="H98" s="18"/>
      <x:c r="I98" s="18"/>
      <x:c r="J98" s="18"/>
    </x:row>
    <x:row r="99">
      <x:c r="A99" s="18"/>
      <x:c r="B99" s="18"/>
      <x:c r="C99" s="18"/>
      <x:c r="D99" s="18"/>
      <x:c r="E99" s="18"/>
      <x:c r="F99" s="22"/>
      <x:c r="G99" s="18"/>
      <x:c r="H99" s="18"/>
      <x:c r="I99" s="18"/>
      <x:c r="J99" s="18"/>
    </x:row>
    <x:row r="100">
      <x:c r="A100" s="18"/>
      <x:c r="B100" s="18"/>
      <x:c r="C100" s="18"/>
      <x:c r="D100" s="18"/>
      <x:c r="E100" s="18"/>
      <x:c r="F100" s="22"/>
      <x:c r="G100" s="18"/>
      <x:c r="H100" s="18"/>
      <x:c r="I100" s="18"/>
      <x:c r="J100" s="18"/>
    </x:row>
    <x:row r="101">
      <x:c r="A101" s="18"/>
      <x:c r="B101" s="18"/>
      <x:c r="C101" s="18"/>
      <x:c r="D101" s="18"/>
      <x:c r="E101" s="18"/>
      <x:c r="F101" s="22"/>
      <x:c r="G101" s="18"/>
      <x:c r="H101" s="18"/>
      <x:c r="I101" s="18"/>
      <x:c r="J101" s="18"/>
    </x:row>
    <x:row r="102">
      <x:c r="A102" s="18"/>
      <x:c r="B102" s="18"/>
      <x:c r="C102" s="18"/>
      <x:c r="D102" s="18"/>
      <x:c r="E102" s="18"/>
      <x:c r="F102" s="22"/>
      <x:c r="G102" s="18"/>
      <x:c r="H102" s="18"/>
      <x:c r="I102" s="18"/>
      <x:c r="J102" s="18"/>
    </x:row>
    <x:row r="103">
      <x:c r="A103" s="18"/>
      <x:c r="B103" s="18"/>
      <x:c r="C103" s="18"/>
      <x:c r="D103" s="18"/>
      <x:c r="E103" s="18"/>
      <x:c r="F103" s="22"/>
      <x:c r="G103" s="18"/>
      <x:c r="H103" s="18"/>
      <x:c r="I103" s="18"/>
      <x:c r="J103" s="18"/>
    </x:row>
    <x:row r="104">
      <x:c r="A104" s="18"/>
      <x:c r="B104" s="18"/>
      <x:c r="C104" s="18"/>
      <x:c r="D104" s="18"/>
      <x:c r="E104" s="18"/>
      <x:c r="F104" s="22"/>
      <x:c r="G104" s="18"/>
      <x:c r="H104" s="18"/>
      <x:c r="I104" s="18"/>
      <x:c r="J104" s="18"/>
    </x:row>
    <x:row r="105">
      <x:c r="A105" s="18"/>
      <x:c r="B105" s="18"/>
      <x:c r="C105" s="18"/>
      <x:c r="D105" s="18"/>
      <x:c r="E105" s="18"/>
      <x:c r="F105" s="22"/>
      <x:c r="G105" s="18"/>
      <x:c r="H105" s="18"/>
      <x:c r="I105" s="18"/>
      <x:c r="J105" s="18"/>
    </x:row>
    <x:row r="106">
      <x:c r="A106" s="18"/>
      <x:c r="B106" s="18"/>
      <x:c r="C106" s="18"/>
      <x:c r="D106" s="18"/>
      <x:c r="E106" s="18"/>
      <x:c r="F106" s="22"/>
      <x:c r="G106" s="18"/>
      <x:c r="H106" s="18"/>
      <x:c r="I106" s="18"/>
      <x:c r="J106" s="18"/>
    </x:row>
    <x:row r="107">
      <x:c r="A107" s="18"/>
      <x:c r="B107" s="18"/>
      <x:c r="C107" s="18"/>
      <x:c r="D107" s="18"/>
      <x:c r="E107" s="18"/>
      <x:c r="F107" s="22"/>
      <x:c r="G107" s="18"/>
      <x:c r="H107" s="18"/>
      <x:c r="I107" s="18"/>
      <x:c r="J107" s="18"/>
    </x:row>
    <x:row r="108">
      <x:c r="A108" s="18"/>
      <x:c r="B108" s="18"/>
      <x:c r="C108" s="18"/>
      <x:c r="D108" s="18"/>
      <x:c r="E108" s="18"/>
      <x:c r="F108" s="22"/>
      <x:c r="G108" s="18"/>
      <x:c r="H108" s="18"/>
      <x:c r="I108" s="18"/>
      <x:c r="J108" s="18"/>
    </x:row>
    <x:row r="109">
      <x:c r="A109" s="18"/>
      <x:c r="B109" s="18"/>
      <x:c r="C109" s="18"/>
      <x:c r="D109" s="18"/>
      <x:c r="E109" s="18"/>
      <x:c r="F109" s="22"/>
      <x:c r="G109" s="18"/>
      <x:c r="H109" s="18"/>
      <x:c r="I109" s="18"/>
      <x:c r="J109" s="18"/>
    </x:row>
    <x:row r="110">
      <x:c r="A110" s="18"/>
      <x:c r="B110" s="18"/>
      <x:c r="C110" s="18"/>
      <x:c r="D110" s="18"/>
      <x:c r="E110" s="18"/>
      <x:c r="F110" s="22"/>
      <x:c r="G110" s="18"/>
      <x:c r="H110" s="18"/>
      <x:c r="I110" s="18"/>
      <x:c r="J110" s="18"/>
    </x:row>
    <x:row r="111">
      <x:c r="A111" s="18"/>
      <x:c r="B111" s="18"/>
      <x:c r="C111" s="18"/>
      <x:c r="D111" s="18"/>
      <x:c r="E111" s="18"/>
      <x:c r="F111" s="22"/>
      <x:c r="G111" s="18"/>
      <x:c r="H111" s="18"/>
      <x:c r="I111" s="18"/>
      <x:c r="J111" s="18"/>
    </x:row>
    <x:row r="112">
      <x:c r="A112" s="18"/>
      <x:c r="B112" s="18"/>
      <x:c r="C112" s="18"/>
      <x:c r="D112" s="18"/>
      <x:c r="E112" s="18"/>
      <x:c r="F112" s="22"/>
      <x:c r="G112" s="18"/>
      <x:c r="H112" s="18"/>
      <x:c r="I112" s="18"/>
      <x:c r="J112" s="18"/>
    </x:row>
    <x:row r="113">
      <x:c r="A113" s="18"/>
      <x:c r="B113" s="18"/>
      <x:c r="C113" s="18"/>
      <x:c r="D113" s="18"/>
      <x:c r="E113" s="18"/>
      <x:c r="F113" s="22"/>
      <x:c r="G113" s="18"/>
      <x:c r="H113" s="18"/>
      <x:c r="I113" s="18"/>
      <x:c r="J113" s="18"/>
    </x:row>
    <x:row r="114">
      <x:c r="A114" s="18"/>
      <x:c r="B114" s="18"/>
      <x:c r="C114" s="18"/>
      <x:c r="D114" s="18"/>
      <x:c r="E114" s="18"/>
      <x:c r="F114" s="22"/>
      <x:c r="G114" s="18"/>
      <x:c r="H114" s="18"/>
      <x:c r="I114" s="18"/>
      <x:c r="J114" s="18"/>
    </x:row>
    <x:row r="115">
      <x:c r="A115" s="18"/>
      <x:c r="B115" s="18"/>
      <x:c r="C115" s="18"/>
      <x:c r="D115" s="18"/>
      <x:c r="E115" s="18"/>
      <x:c r="F115" s="22"/>
      <x:c r="G115" s="18"/>
      <x:c r="H115" s="18"/>
      <x:c r="I115" s="18"/>
      <x:c r="J115" s="18"/>
    </x:row>
    <x:row r="116">
      <x:c r="A116" s="18"/>
      <x:c r="B116" s="18"/>
      <x:c r="C116" s="18"/>
      <x:c r="D116" s="18"/>
      <x:c r="E116" s="18"/>
      <x:c r="F116" s="22"/>
      <x:c r="G116" s="18"/>
      <x:c r="H116" s="18"/>
      <x:c r="I116" s="18"/>
      <x:c r="J116" s="18"/>
    </x:row>
    <x:row r="117">
      <x:c r="A117" s="18"/>
      <x:c r="B117" s="18"/>
      <x:c r="C117" s="18"/>
      <x:c r="D117" s="18"/>
      <x:c r="E117" s="18"/>
      <x:c r="F117" s="22"/>
      <x:c r="G117" s="18"/>
      <x:c r="H117" s="18"/>
      <x:c r="I117" s="18"/>
      <x:c r="J117" s="18"/>
    </x:row>
    <x:row r="118">
      <x:c r="A118" s="18"/>
      <x:c r="B118" s="18"/>
      <x:c r="C118" s="18"/>
      <x:c r="D118" s="18"/>
      <x:c r="E118" s="18"/>
      <x:c r="F118" s="22"/>
      <x:c r="G118" s="18"/>
      <x:c r="H118" s="18"/>
      <x:c r="I118" s="18"/>
      <x:c r="J118" s="18"/>
    </x:row>
    <x:row r="119">
      <x:c r="A119" s="18"/>
      <x:c r="B119" s="18"/>
      <x:c r="C119" s="18"/>
      <x:c r="D119" s="18"/>
      <x:c r="E119" s="18"/>
      <x:c r="F119" s="22"/>
      <x:c r="G119" s="18"/>
      <x:c r="H119" s="18"/>
      <x:c r="I119" s="18"/>
      <x:c r="J119" s="18"/>
    </x:row>
    <x:row r="120">
      <x:c r="A120" s="18"/>
      <x:c r="B120" s="18"/>
      <x:c r="C120" s="18"/>
      <x:c r="D120" s="18"/>
      <x:c r="E120" s="18"/>
      <x:c r="F120" s="22"/>
      <x:c r="G120" s="18"/>
      <x:c r="H120" s="18"/>
      <x:c r="I120" s="18"/>
      <x:c r="J120" s="18"/>
    </x:row>
    <x:row r="121">
      <x:c r="A121" s="18"/>
      <x:c r="B121" s="18"/>
      <x:c r="C121" s="18"/>
      <x:c r="D121" s="18"/>
      <x:c r="E121" s="18"/>
      <x:c r="F121" s="22"/>
      <x:c r="G121" s="18"/>
      <x:c r="H121" s="18"/>
      <x:c r="I121" s="18"/>
      <x:c r="J121" s="18"/>
    </x:row>
    <x:row r="122">
      <x:c r="A122" s="18"/>
      <x:c r="B122" s="18"/>
      <x:c r="C122" s="18"/>
      <x:c r="D122" s="18"/>
      <x:c r="E122" s="18"/>
      <x:c r="F122" s="22"/>
      <x:c r="G122" s="18"/>
      <x:c r="H122" s="18"/>
      <x:c r="I122" s="18"/>
      <x:c r="J122" s="18"/>
    </x:row>
    <x:row r="123">
      <x:c r="A123" s="18"/>
      <x:c r="B123" s="18"/>
      <x:c r="C123" s="18"/>
      <x:c r="D123" s="18"/>
      <x:c r="E123" s="18"/>
      <x:c r="F123" s="22"/>
      <x:c r="G123" s="18"/>
      <x:c r="H123" s="18"/>
      <x:c r="I123" s="18"/>
      <x:c r="J123" s="18"/>
    </x:row>
    <x:row r="124">
      <x:c r="A124" s="18"/>
      <x:c r="B124" s="18"/>
      <x:c r="C124" s="18"/>
      <x:c r="D124" s="18"/>
      <x:c r="E124" s="18"/>
      <x:c r="F124" s="22"/>
      <x:c r="G124" s="18"/>
      <x:c r="H124" s="18"/>
      <x:c r="I124" s="18"/>
      <x:c r="J124" s="18"/>
    </x:row>
    <x:row r="125">
      <x:c r="A125" s="18"/>
      <x:c r="B125" s="18"/>
      <x:c r="C125" s="18"/>
      <x:c r="D125" s="18"/>
      <x:c r="E125" s="18"/>
      <x:c r="F125" s="22"/>
      <x:c r="G125" s="18"/>
      <x:c r="H125" s="18"/>
      <x:c r="I125" s="18"/>
      <x:c r="J125" s="18"/>
    </x:row>
    <x:row r="126">
      <x:c r="A126" s="18"/>
      <x:c r="B126" s="18"/>
      <x:c r="C126" s="18"/>
      <x:c r="D126" s="18"/>
      <x:c r="E126" s="18"/>
      <x:c r="F126" s="22"/>
      <x:c r="G126" s="18"/>
      <x:c r="H126" s="18"/>
      <x:c r="I126" s="18"/>
      <x:c r="J126" s="18"/>
    </x:row>
    <x:row r="127">
      <x:c r="A127" s="18"/>
      <x:c r="B127" s="18"/>
      <x:c r="C127" s="18"/>
      <x:c r="D127" s="18"/>
      <x:c r="E127" s="18"/>
      <x:c r="F127" s="22"/>
      <x:c r="G127" s="18"/>
      <x:c r="H127" s="18"/>
      <x:c r="I127" s="18"/>
      <x:c r="J127" s="18"/>
    </x:row>
    <x:row r="128">
      <x:c r="A128" s="18"/>
      <x:c r="B128" s="18"/>
      <x:c r="C128" s="18"/>
      <x:c r="D128" s="18"/>
      <x:c r="E128" s="18"/>
      <x:c r="F128" s="22"/>
      <x:c r="G128" s="18"/>
      <x:c r="H128" s="18"/>
      <x:c r="I128" s="18"/>
      <x:c r="J128" s="18"/>
    </x:row>
    <x:row r="129">
      <x:c r="A129" s="18"/>
      <x:c r="B129" s="18"/>
      <x:c r="C129" s="18"/>
      <x:c r="D129" s="18"/>
      <x:c r="E129" s="18"/>
      <x:c r="F129" s="22"/>
      <x:c r="G129" s="18"/>
      <x:c r="H129" s="18"/>
      <x:c r="I129" s="18"/>
      <x:c r="J129" s="18"/>
    </x:row>
    <x:row r="130">
      <x:c r="A130" s="18"/>
      <x:c r="B130" s="18"/>
      <x:c r="C130" s="18"/>
      <x:c r="D130" s="18"/>
      <x:c r="E130" s="18"/>
      <x:c r="F130" s="22"/>
      <x:c r="G130" s="18"/>
      <x:c r="H130" s="18"/>
      <x:c r="I130" s="18"/>
      <x:c r="J130" s="18"/>
    </x:row>
    <x:row r="131">
      <x:c r="A131" s="18"/>
      <x:c r="B131" s="18"/>
      <x:c r="C131" s="18"/>
      <x:c r="D131" s="18"/>
      <x:c r="E131" s="18"/>
      <x:c r="F131" s="22"/>
      <x:c r="G131" s="18"/>
      <x:c r="H131" s="18"/>
      <x:c r="I131" s="18"/>
      <x:c r="J131" s="18"/>
    </x:row>
    <x:row r="132">
      <x:c r="A132" s="18"/>
      <x:c r="B132" s="18"/>
      <x:c r="C132" s="18"/>
      <x:c r="D132" s="18"/>
      <x:c r="E132" s="18"/>
      <x:c r="F132" s="22"/>
      <x:c r="G132" s="18"/>
      <x:c r="H132" s="18"/>
      <x:c r="I132" s="18"/>
      <x:c r="J132" s="18"/>
    </x:row>
    <x:row r="133">
      <x:c r="A133" s="18"/>
      <x:c r="B133" s="18"/>
      <x:c r="C133" s="18"/>
      <x:c r="D133" s="18"/>
      <x:c r="E133" s="18"/>
      <x:c r="F133" s="22"/>
      <x:c r="G133" s="18"/>
      <x:c r="H133" s="18"/>
      <x:c r="I133" s="18"/>
      <x:c r="J133" s="18"/>
    </x:row>
    <x:row r="134">
      <x:c r="A134" s="18"/>
      <x:c r="B134" s="18"/>
      <x:c r="C134" s="18"/>
      <x:c r="D134" s="18"/>
      <x:c r="E134" s="18"/>
      <x:c r="F134" s="22"/>
      <x:c r="G134" s="18"/>
      <x:c r="H134" s="18"/>
      <x:c r="I134" s="18"/>
      <x:c r="J134" s="18"/>
    </x:row>
    <x:row r="135">
      <x:c r="A135" s="18"/>
      <x:c r="B135" s="18"/>
      <x:c r="C135" s="18"/>
      <x:c r="D135" s="18"/>
      <x:c r="E135" s="18"/>
      <x:c r="F135" s="22"/>
      <x:c r="G135" s="18"/>
      <x:c r="H135" s="18"/>
      <x:c r="I135" s="18"/>
      <x:c r="J135" s="18"/>
    </x:row>
    <x:row r="136">
      <x:c r="A136" s="18"/>
      <x:c r="B136" s="18"/>
      <x:c r="C136" s="18"/>
      <x:c r="D136" s="18"/>
      <x:c r="E136" s="18"/>
      <x:c r="F136" s="22"/>
      <x:c r="G136" s="18"/>
      <x:c r="H136" s="18"/>
      <x:c r="I136" s="18"/>
      <x:c r="J136" s="18"/>
    </x:row>
    <x:row r="137">
      <x:c r="A137" s="18"/>
      <x:c r="B137" s="18"/>
      <x:c r="C137" s="18"/>
      <x:c r="D137" s="18"/>
      <x:c r="E137" s="18"/>
      <x:c r="F137" s="22"/>
      <x:c r="G137" s="18"/>
      <x:c r="H137" s="18"/>
      <x:c r="I137" s="18"/>
      <x:c r="J137" s="18"/>
    </x:row>
    <x:row r="138">
      <x:c r="A138" s="18"/>
      <x:c r="B138" s="18"/>
      <x:c r="C138" s="18"/>
      <x:c r="D138" s="18"/>
      <x:c r="E138" s="18"/>
      <x:c r="F138" s="22"/>
      <x:c r="G138" s="18"/>
      <x:c r="H138" s="18"/>
      <x:c r="I138" s="18"/>
      <x:c r="J138" s="18"/>
    </x:row>
    <x:row r="139">
      <x:c r="A139" s="18"/>
      <x:c r="B139" s="18"/>
      <x:c r="C139" s="18"/>
      <x:c r="D139" s="18"/>
      <x:c r="E139" s="18"/>
      <x:c r="F139" s="22"/>
      <x:c r="G139" s="18"/>
      <x:c r="H139" s="18"/>
      <x:c r="I139" s="18"/>
      <x:c r="J139" s="18"/>
    </x:row>
    <x:row r="140">
      <x:c r="A140" s="18"/>
      <x:c r="B140" s="18"/>
      <x:c r="C140" s="18"/>
      <x:c r="D140" s="18"/>
      <x:c r="E140" s="18"/>
      <x:c r="F140" s="22"/>
      <x:c r="G140" s="18"/>
      <x:c r="H140" s="18"/>
      <x:c r="I140" s="18"/>
      <x:c r="J140" s="18"/>
    </x:row>
    <x:row r="141">
      <x:c r="A141" s="18"/>
      <x:c r="B141" s="18"/>
      <x:c r="C141" s="18"/>
      <x:c r="D141" s="18"/>
      <x:c r="E141" s="18"/>
      <x:c r="F141" s="22"/>
      <x:c r="G141" s="18"/>
      <x:c r="H141" s="18"/>
      <x:c r="I141" s="18"/>
      <x:c r="J141" s="18"/>
    </x:row>
    <x:row r="142">
      <x:c r="A142" s="18"/>
      <x:c r="B142" s="18"/>
      <x:c r="C142" s="18"/>
      <x:c r="D142" s="18"/>
      <x:c r="E142" s="18"/>
      <x:c r="F142" s="22"/>
      <x:c r="G142" s="18"/>
      <x:c r="H142" s="18"/>
      <x:c r="I142" s="18"/>
      <x:c r="J142" s="18"/>
    </x:row>
    <x:row r="143">
      <x:c r="A143" s="18"/>
      <x:c r="B143" s="18"/>
      <x:c r="C143" s="18"/>
      <x:c r="D143" s="18"/>
      <x:c r="E143" s="18"/>
      <x:c r="F143" s="22"/>
      <x:c r="G143" s="18"/>
      <x:c r="H143" s="18"/>
      <x:c r="I143" s="18"/>
      <x:c r="J143" s="18"/>
    </x:row>
    <x:row r="144">
      <x:c r="A144" s="18"/>
      <x:c r="B144" s="18"/>
      <x:c r="C144" s="18"/>
      <x:c r="D144" s="18"/>
      <x:c r="E144" s="18"/>
      <x:c r="F144" s="22"/>
      <x:c r="G144" s="18"/>
      <x:c r="H144" s="18"/>
      <x:c r="I144" s="18"/>
      <x:c r="J144" s="18"/>
    </x:row>
    <x:row r="145">
      <x:c r="A145" s="18"/>
      <x:c r="B145" s="18"/>
      <x:c r="C145" s="18"/>
      <x:c r="D145" s="18"/>
      <x:c r="E145" s="18"/>
      <x:c r="F145" s="22"/>
      <x:c r="G145" s="18"/>
      <x:c r="H145" s="18"/>
      <x:c r="I145" s="18"/>
      <x:c r="J145" s="18"/>
    </x:row>
    <x:row r="146">
      <x:c r="A146" s="18"/>
      <x:c r="B146" s="18"/>
      <x:c r="C146" s="18"/>
      <x:c r="D146" s="18"/>
      <x:c r="E146" s="18"/>
      <x:c r="F146" s="22"/>
      <x:c r="G146" s="18"/>
      <x:c r="H146" s="18"/>
      <x:c r="I146" s="18"/>
      <x:c r="J146" s="18"/>
    </x:row>
    <x:row r="147">
      <x:c r="A147" s="18"/>
      <x:c r="B147" s="18"/>
      <x:c r="C147" s="18"/>
      <x:c r="D147" s="18"/>
      <x:c r="E147" s="18"/>
      <x:c r="F147" s="22"/>
      <x:c r="G147" s="18"/>
      <x:c r="H147" s="18"/>
      <x:c r="I147" s="18"/>
      <x:c r="J147" s="18"/>
    </x:row>
    <x:row r="148">
      <x:c r="A148" s="18"/>
      <x:c r="B148" s="18"/>
      <x:c r="C148" s="18"/>
      <x:c r="D148" s="18"/>
      <x:c r="E148" s="18"/>
      <x:c r="F148" s="22"/>
      <x:c r="G148" s="18"/>
      <x:c r="H148" s="18"/>
      <x:c r="I148" s="18"/>
      <x:c r="J148" s="18"/>
    </x:row>
    <x:row r="149">
      <x:c r="A149" s="18"/>
      <x:c r="B149" s="18"/>
      <x:c r="C149" s="18"/>
      <x:c r="D149" s="18"/>
      <x:c r="E149" s="18"/>
      <x:c r="F149" s="22"/>
      <x:c r="G149" s="18"/>
      <x:c r="H149" s="18"/>
      <x:c r="I149" s="18"/>
      <x:c r="J149" s="18"/>
    </x:row>
    <x:row r="150">
      <x:c r="A150" s="18"/>
      <x:c r="B150" s="18"/>
      <x:c r="C150" s="18"/>
      <x:c r="D150" s="18"/>
      <x:c r="E150" s="18"/>
      <x:c r="F150" s="22"/>
      <x:c r="G150" s="18"/>
      <x:c r="H150" s="18"/>
      <x:c r="I150" s="18"/>
      <x:c r="J150" s="18"/>
    </x:row>
    <x:row r="151">
      <x:c r="A151" s="18"/>
      <x:c r="B151" s="18"/>
      <x:c r="C151" s="18"/>
      <x:c r="D151" s="18"/>
      <x:c r="E151" s="18"/>
      <x:c r="F151" s="22"/>
      <x:c r="G151" s="18"/>
      <x:c r="H151" s="18"/>
      <x:c r="I151" s="18"/>
      <x:c r="J151" s="18"/>
    </x:row>
    <x:row r="152">
      <x:c r="A152" s="18"/>
      <x:c r="B152" s="18"/>
      <x:c r="C152" s="18"/>
      <x:c r="D152" s="18"/>
      <x:c r="E152" s="18"/>
      <x:c r="F152" s="22"/>
      <x:c r="G152" s="18"/>
      <x:c r="H152" s="18"/>
      <x:c r="I152" s="18"/>
      <x:c r="J152" s="18"/>
    </x:row>
    <x:row r="153">
      <x:c r="A153" s="18"/>
      <x:c r="B153" s="18"/>
      <x:c r="C153" s="18"/>
      <x:c r="D153" s="18"/>
      <x:c r="E153" s="18"/>
      <x:c r="F153" s="22"/>
      <x:c r="G153" s="18"/>
      <x:c r="H153" s="18"/>
      <x:c r="I153" s="18"/>
      <x:c r="J153" s="18"/>
    </x:row>
    <x:row r="154">
      <x:c r="A154" s="18"/>
      <x:c r="B154" s="18"/>
      <x:c r="C154" s="18"/>
      <x:c r="D154" s="18"/>
      <x:c r="E154" s="18"/>
      <x:c r="F154" s="22"/>
      <x:c r="G154" s="18"/>
      <x:c r="H154" s="18"/>
      <x:c r="I154" s="18"/>
      <x:c r="J154" s="18"/>
    </x:row>
    <x:row r="155">
      <x:c r="A155" s="18"/>
      <x:c r="B155" s="18"/>
      <x:c r="C155" s="18"/>
      <x:c r="D155" s="18"/>
      <x:c r="E155" s="18"/>
      <x:c r="F155" s="22"/>
      <x:c r="G155" s="18"/>
      <x:c r="H155" s="18"/>
      <x:c r="I155" s="18"/>
      <x:c r="J155" s="18"/>
    </x:row>
    <x:row r="156">
      <x:c r="A156" s="18"/>
      <x:c r="B156" s="18"/>
      <x:c r="C156" s="18"/>
      <x:c r="D156" s="18"/>
      <x:c r="E156" s="18"/>
      <x:c r="F156" s="22"/>
      <x:c r="G156" s="18"/>
      <x:c r="H156" s="18"/>
      <x:c r="I156" s="18"/>
      <x:c r="J156" s="18"/>
    </x:row>
    <x:row r="157">
      <x:c r="A157" s="18"/>
      <x:c r="B157" s="18"/>
      <x:c r="C157" s="18"/>
      <x:c r="D157" s="18"/>
      <x:c r="E157" s="18"/>
      <x:c r="F157" s="22"/>
      <x:c r="G157" s="18"/>
      <x:c r="H157" s="18"/>
      <x:c r="I157" s="18"/>
      <x:c r="J157" s="18"/>
    </x:row>
    <x:row r="158">
      <x:c r="A158" s="18"/>
      <x:c r="B158" s="18"/>
      <x:c r="C158" s="18"/>
      <x:c r="D158" s="18"/>
      <x:c r="E158" s="18"/>
      <x:c r="F158" s="22"/>
      <x:c r="G158" s="18"/>
      <x:c r="H158" s="18"/>
      <x:c r="I158" s="18"/>
      <x:c r="J158" s="18"/>
    </x:row>
    <x:row r="159">
      <x:c r="A159" s="18"/>
      <x:c r="B159" s="18"/>
      <x:c r="C159" s="18"/>
      <x:c r="D159" s="18"/>
      <x:c r="E159" s="18"/>
      <x:c r="F159" s="22"/>
      <x:c r="G159" s="18"/>
      <x:c r="H159" s="18"/>
      <x:c r="I159" s="18"/>
      <x:c r="J159" s="18"/>
    </x:row>
    <x:row r="160">
      <x:c r="A160" s="18"/>
      <x:c r="B160" s="18"/>
      <x:c r="C160" s="18"/>
      <x:c r="D160" s="18"/>
      <x:c r="E160" s="18"/>
      <x:c r="F160" s="22"/>
      <x:c r="G160" s="18"/>
      <x:c r="H160" s="18"/>
      <x:c r="I160" s="18"/>
      <x:c r="J160" s="18"/>
    </x:row>
    <x:row r="161">
      <x:c r="A161" s="18"/>
      <x:c r="B161" s="18"/>
      <x:c r="C161" s="18"/>
      <x:c r="D161" s="18"/>
      <x:c r="E161" s="18"/>
      <x:c r="F161" s="22"/>
      <x:c r="G161" s="18"/>
      <x:c r="H161" s="18"/>
      <x:c r="I161" s="18"/>
      <x:c r="J161" s="18"/>
    </x:row>
    <x:row r="162">
      <x:c r="A162" s="18"/>
      <x:c r="B162" s="18"/>
      <x:c r="C162" s="18"/>
      <x:c r="D162" s="18"/>
      <x:c r="E162" s="18"/>
      <x:c r="F162" s="22"/>
      <x:c r="G162" s="18"/>
      <x:c r="H162" s="18"/>
      <x:c r="I162" s="18"/>
      <x:c r="J162" s="18"/>
    </x:row>
    <x:row r="163">
      <x:c r="A163" s="18"/>
      <x:c r="B163" s="18"/>
      <x:c r="C163" s="18"/>
      <x:c r="D163" s="18"/>
      <x:c r="E163" s="18"/>
      <x:c r="F163" s="22"/>
      <x:c r="G163" s="18"/>
      <x:c r="H163" s="18"/>
      <x:c r="I163" s="18"/>
      <x:c r="J163" s="18"/>
    </x:row>
    <x:row r="164">
      <x:c r="A164" s="18"/>
      <x:c r="B164" s="18"/>
      <x:c r="C164" s="18"/>
      <x:c r="D164" s="18"/>
      <x:c r="E164" s="18"/>
      <x:c r="F164" s="22"/>
      <x:c r="G164" s="18"/>
      <x:c r="H164" s="18"/>
      <x:c r="I164" s="18"/>
      <x:c r="J164" s="18"/>
    </x:row>
    <x:row r="165">
      <x:c r="A165" s="18"/>
      <x:c r="B165" s="18"/>
      <x:c r="C165" s="18"/>
      <x:c r="D165" s="18"/>
      <x:c r="E165" s="18"/>
      <x:c r="F165" s="22"/>
      <x:c r="G165" s="18"/>
      <x:c r="H165" s="18"/>
      <x:c r="I165" s="18"/>
      <x:c r="J165" s="18"/>
    </x:row>
    <x:row r="166">
      <x:c r="A166" s="18"/>
      <x:c r="B166" s="18"/>
      <x:c r="C166" s="18"/>
      <x:c r="D166" s="18"/>
      <x:c r="E166" s="18"/>
      <x:c r="F166" s="22"/>
      <x:c r="G166" s="18"/>
      <x:c r="H166" s="18"/>
      <x:c r="I166" s="18"/>
      <x:c r="J166" s="18"/>
    </x:row>
    <x:row r="167">
      <x:c r="A167" s="18"/>
      <x:c r="B167" s="18"/>
      <x:c r="C167" s="18"/>
      <x:c r="D167" s="18"/>
      <x:c r="E167" s="18"/>
      <x:c r="F167" s="22"/>
      <x:c r="G167" s="18"/>
      <x:c r="H167" s="18"/>
      <x:c r="I167" s="18"/>
      <x:c r="J167" s="18"/>
    </x:row>
    <x:row r="168">
      <x:c r="A168" s="18"/>
      <x:c r="B168" s="18"/>
      <x:c r="C168" s="18"/>
      <x:c r="D168" s="18"/>
      <x:c r="E168" s="18"/>
      <x:c r="F168" s="22"/>
      <x:c r="G168" s="18"/>
      <x:c r="H168" s="18"/>
      <x:c r="I168" s="18"/>
      <x:c r="J168" s="18"/>
    </x:row>
    <x:row r="169">
      <x:c r="A169" s="18"/>
      <x:c r="B169" s="18"/>
      <x:c r="C169" s="18"/>
      <x:c r="D169" s="18"/>
      <x:c r="E169" s="18"/>
      <x:c r="F169" s="22"/>
      <x:c r="G169" s="18"/>
      <x:c r="H169" s="18"/>
      <x:c r="I169" s="18"/>
      <x:c r="J169" s="18"/>
    </x:row>
    <x:row r="170">
      <x:c r="A170" s="18"/>
      <x:c r="B170" s="18"/>
      <x:c r="C170" s="18"/>
      <x:c r="D170" s="18"/>
      <x:c r="E170" s="18"/>
      <x:c r="F170" s="22"/>
      <x:c r="G170" s="18"/>
      <x:c r="H170" s="18"/>
      <x:c r="I170" s="18"/>
      <x:c r="J170" s="18"/>
    </x:row>
    <x:row r="171">
      <x:c r="A171" s="18"/>
      <x:c r="B171" s="18"/>
      <x:c r="C171" s="18"/>
      <x:c r="D171" s="18"/>
      <x:c r="E171" s="18"/>
      <x:c r="F171" s="22"/>
      <x:c r="G171" s="18"/>
      <x:c r="H171" s="18"/>
      <x:c r="I171" s="18"/>
      <x:c r="J171" s="18"/>
    </x:row>
    <x:row r="172">
      <x:c r="A172" s="18"/>
      <x:c r="B172" s="18"/>
      <x:c r="C172" s="18"/>
      <x:c r="D172" s="18"/>
      <x:c r="E172" s="18"/>
      <x:c r="F172" s="22"/>
      <x:c r="G172" s="18"/>
      <x:c r="H172" s="18"/>
      <x:c r="I172" s="18"/>
      <x:c r="J172" s="18"/>
    </x:row>
    <x:row r="173">
      <x:c r="A173" s="18"/>
      <x:c r="B173" s="18"/>
      <x:c r="C173" s="18"/>
      <x:c r="D173" s="18"/>
      <x:c r="E173" s="18"/>
      <x:c r="F173" s="22"/>
      <x:c r="G173" s="18"/>
      <x:c r="H173" s="18"/>
      <x:c r="I173" s="18"/>
      <x:c r="J173" s="18"/>
    </x:row>
    <x:row r="174">
      <x:c r="A174" s="18"/>
      <x:c r="B174" s="18"/>
      <x:c r="C174" s="18"/>
      <x:c r="D174" s="18"/>
      <x:c r="E174" s="18"/>
      <x:c r="F174" s="22"/>
      <x:c r="G174" s="18"/>
      <x:c r="H174" s="18"/>
      <x:c r="I174" s="18"/>
      <x:c r="J174" s="18"/>
    </x:row>
    <x:row r="175">
      <x:c r="A175" s="18"/>
      <x:c r="B175" s="18"/>
      <x:c r="C175" s="18"/>
      <x:c r="D175" s="18"/>
      <x:c r="E175" s="18"/>
      <x:c r="F175" s="22"/>
      <x:c r="G175" s="18"/>
      <x:c r="H175" s="18"/>
      <x:c r="I175" s="18"/>
      <x:c r="J175" s="18"/>
    </x:row>
    <x:row r="176">
      <x:c r="A176" s="18"/>
      <x:c r="B176" s="18"/>
      <x:c r="C176" s="18"/>
      <x:c r="D176" s="18"/>
      <x:c r="E176" s="18"/>
      <x:c r="F176" s="22"/>
      <x:c r="G176" s="18"/>
      <x:c r="H176" s="18"/>
      <x:c r="I176" s="18"/>
      <x:c r="J176" s="18"/>
    </x:row>
    <x:row r="177">
      <x:c r="A177" s="18"/>
      <x:c r="B177" s="18"/>
      <x:c r="C177" s="18"/>
      <x:c r="D177" s="18"/>
      <x:c r="E177" s="18"/>
      <x:c r="F177" s="22"/>
      <x:c r="G177" s="18"/>
      <x:c r="H177" s="18"/>
      <x:c r="I177" s="18"/>
      <x:c r="J177" s="18"/>
    </x:row>
    <x:row r="178">
      <x:c r="A178" s="18"/>
      <x:c r="B178" s="18"/>
      <x:c r="C178" s="18"/>
      <x:c r="D178" s="18"/>
      <x:c r="E178" s="18"/>
      <x:c r="F178" s="22"/>
      <x:c r="G178" s="18"/>
      <x:c r="H178" s="18"/>
      <x:c r="I178" s="18"/>
      <x:c r="J178" s="18"/>
    </x:row>
    <x:row r="179">
      <x:c r="A179" s="18"/>
      <x:c r="B179" s="18"/>
      <x:c r="C179" s="18"/>
      <x:c r="D179" s="18"/>
      <x:c r="E179" s="18"/>
      <x:c r="F179" s="22"/>
      <x:c r="G179" s="18"/>
      <x:c r="H179" s="18"/>
      <x:c r="I179" s="18"/>
      <x:c r="J179" s="18"/>
    </x:row>
    <x:row r="180">
      <x:c r="A180" s="18"/>
      <x:c r="B180" s="18"/>
      <x:c r="C180" s="18"/>
      <x:c r="D180" s="18"/>
      <x:c r="E180" s="18"/>
      <x:c r="F180" s="22"/>
      <x:c r="G180" s="18"/>
      <x:c r="H180" s="18"/>
      <x:c r="I180" s="18"/>
      <x:c r="J180" s="18"/>
    </x:row>
    <x:row r="181">
      <x:c r="A181" s="18"/>
      <x:c r="B181" s="18"/>
      <x:c r="C181" s="18"/>
      <x:c r="D181" s="18"/>
      <x:c r="E181" s="18"/>
      <x:c r="F181" s="22"/>
      <x:c r="G181" s="18"/>
      <x:c r="H181" s="18"/>
      <x:c r="I181" s="18"/>
      <x:c r="J181" s="18"/>
    </x:row>
    <x:row r="182">
      <x:c r="A182" s="18"/>
      <x:c r="B182" s="18"/>
      <x:c r="C182" s="18"/>
      <x:c r="D182" s="18"/>
      <x:c r="E182" s="18"/>
      <x:c r="F182" s="22"/>
      <x:c r="G182" s="18"/>
      <x:c r="H182" s="18"/>
      <x:c r="I182" s="18"/>
      <x:c r="J182" s="18"/>
    </x:row>
    <x:row r="183">
      <x:c r="A183" s="18"/>
      <x:c r="B183" s="18"/>
      <x:c r="C183" s="18"/>
      <x:c r="D183" s="18"/>
      <x:c r="E183" s="18"/>
      <x:c r="F183" s="22"/>
      <x:c r="G183" s="18"/>
      <x:c r="H183" s="18"/>
      <x:c r="I183" s="18"/>
      <x:c r="J183" s="18"/>
    </x:row>
    <x:row r="184">
      <x:c r="A184" s="18"/>
      <x:c r="B184" s="18"/>
      <x:c r="C184" s="18"/>
      <x:c r="D184" s="18"/>
      <x:c r="E184" s="18"/>
      <x:c r="F184" s="22"/>
      <x:c r="G184" s="18"/>
      <x:c r="H184" s="18"/>
      <x:c r="I184" s="18"/>
      <x:c r="J184" s="18"/>
    </x:row>
    <x:row r="185">
      <x:c r="A185" s="18"/>
      <x:c r="B185" s="18"/>
      <x:c r="C185" s="18"/>
      <x:c r="D185" s="18"/>
      <x:c r="E185" s="18"/>
      <x:c r="F185" s="22"/>
      <x:c r="G185" s="18"/>
      <x:c r="H185" s="18"/>
      <x:c r="I185" s="18"/>
      <x:c r="J185" s="18"/>
    </x:row>
    <x:row r="186">
      <x:c r="A186" s="18"/>
      <x:c r="B186" s="18"/>
      <x:c r="C186" s="18"/>
      <x:c r="D186" s="18"/>
      <x:c r="E186" s="18"/>
      <x:c r="F186" s="22"/>
      <x:c r="G186" s="18"/>
      <x:c r="H186" s="18"/>
      <x:c r="I186" s="18"/>
      <x:c r="J186" s="18"/>
    </x:row>
    <x:row r="187">
      <x:c r="A187" s="18"/>
      <x:c r="B187" s="18"/>
      <x:c r="C187" s="18"/>
      <x:c r="D187" s="18"/>
      <x:c r="E187" s="18"/>
      <x:c r="F187" s="22"/>
      <x:c r="G187" s="18"/>
      <x:c r="H187" s="18"/>
      <x:c r="I187" s="18"/>
      <x:c r="J187" s="18"/>
    </x:row>
    <x:row r="188">
      <x:c r="A188" s="18"/>
      <x:c r="B188" s="18"/>
      <x:c r="C188" s="18"/>
      <x:c r="D188" s="18"/>
      <x:c r="E188" s="18"/>
      <x:c r="F188" s="22"/>
      <x:c r="G188" s="18"/>
      <x:c r="H188" s="18"/>
      <x:c r="I188" s="18"/>
      <x:c r="J188" s="18"/>
    </x:row>
    <x:row r="189">
      <x:c r="A189" s="18"/>
      <x:c r="B189" s="18"/>
      <x:c r="C189" s="18"/>
      <x:c r="D189" s="18"/>
      <x:c r="E189" s="18"/>
      <x:c r="F189" s="22"/>
      <x:c r="G189" s="18"/>
      <x:c r="H189" s="18"/>
      <x:c r="I189" s="18"/>
      <x:c r="J189" s="18"/>
    </x:row>
    <x:row r="190">
      <x:c r="A190" s="18"/>
      <x:c r="B190" s="18"/>
      <x:c r="C190" s="18"/>
      <x:c r="D190" s="18"/>
      <x:c r="E190" s="18"/>
      <x:c r="F190" s="22"/>
      <x:c r="G190" s="18"/>
      <x:c r="H190" s="18"/>
      <x:c r="I190" s="18"/>
      <x:c r="J190" s="18"/>
    </x:row>
    <x:row r="191">
      <x:c r="A191" s="18"/>
      <x:c r="B191" s="18"/>
      <x:c r="C191" s="18"/>
      <x:c r="D191" s="18"/>
      <x:c r="E191" s="18"/>
      <x:c r="F191" s="22"/>
      <x:c r="G191" s="18"/>
      <x:c r="H191" s="18"/>
      <x:c r="I191" s="18"/>
      <x:c r="J191" s="18"/>
    </x:row>
    <x:row r="192">
      <x:c r="A192" s="18"/>
      <x:c r="B192" s="18"/>
      <x:c r="C192" s="18"/>
      <x:c r="D192" s="18"/>
      <x:c r="E192" s="18"/>
      <x:c r="F192" s="22"/>
      <x:c r="G192" s="18"/>
      <x:c r="H192" s="18"/>
      <x:c r="I192" s="18"/>
      <x:c r="J192" s="18"/>
    </x:row>
    <x:row r="193">
      <x:c r="A193" s="18"/>
      <x:c r="B193" s="18"/>
      <x:c r="C193" s="18"/>
      <x:c r="D193" s="18"/>
      <x:c r="E193" s="18"/>
      <x:c r="F193" s="22"/>
      <x:c r="G193" s="18"/>
      <x:c r="H193" s="18"/>
      <x:c r="I193" s="18"/>
      <x:c r="J193" s="18"/>
    </x:row>
    <x:row r="194">
      <x:c r="A194" s="18"/>
      <x:c r="B194" s="18"/>
      <x:c r="C194" s="18"/>
      <x:c r="D194" s="18"/>
      <x:c r="E194" s="18"/>
      <x:c r="F194" s="22"/>
      <x:c r="G194" s="18"/>
      <x:c r="H194" s="18"/>
      <x:c r="I194" s="18"/>
      <x:c r="J194" s="18"/>
    </x:row>
    <x:row r="195">
      <x:c r="A195" s="18"/>
      <x:c r="B195" s="18"/>
      <x:c r="C195" s="18"/>
      <x:c r="D195" s="18"/>
      <x:c r="E195" s="18"/>
      <x:c r="F195" s="22"/>
      <x:c r="G195" s="18"/>
      <x:c r="H195" s="18"/>
      <x:c r="I195" s="18"/>
      <x:c r="J195" s="18"/>
    </x:row>
    <x:row r="196">
      <x:c r="A196" s="18"/>
      <x:c r="B196" s="18"/>
      <x:c r="C196" s="18"/>
      <x:c r="D196" s="18"/>
      <x:c r="E196" s="18"/>
      <x:c r="F196" s="22"/>
      <x:c r="G196" s="18"/>
      <x:c r="H196" s="18"/>
      <x:c r="I196" s="18"/>
      <x:c r="J196" s="18"/>
    </x:row>
    <x:row r="197">
      <x:c r="A197" s="18"/>
      <x:c r="B197" s="18"/>
      <x:c r="C197" s="18"/>
      <x:c r="D197" s="18"/>
      <x:c r="E197" s="18"/>
      <x:c r="F197" s="22"/>
      <x:c r="G197" s="18"/>
      <x:c r="H197" s="18"/>
      <x:c r="I197" s="18"/>
      <x:c r="J197" s="18"/>
    </x:row>
    <x:row r="198">
      <x:c r="A198" s="18"/>
      <x:c r="B198" s="18"/>
      <x:c r="C198" s="18"/>
      <x:c r="D198" s="18"/>
      <x:c r="E198" s="18"/>
      <x:c r="F198" s="22"/>
      <x:c r="G198" s="18"/>
      <x:c r="H198" s="18"/>
      <x:c r="I198" s="18"/>
      <x:c r="J198" s="18"/>
    </x:row>
    <x:row r="199">
      <x:c r="A199" s="18"/>
      <x:c r="B199" s="18"/>
      <x:c r="C199" s="18"/>
      <x:c r="D199" s="18"/>
      <x:c r="E199" s="18"/>
      <x:c r="F199" s="22"/>
      <x:c r="G199" s="18"/>
      <x:c r="H199" s="18"/>
      <x:c r="I199" s="18"/>
      <x:c r="J199" s="18"/>
    </x:row>
    <x:row r="200">
      <x:c r="A200" s="18"/>
      <x:c r="B200" s="18"/>
      <x:c r="C200" s="18"/>
      <x:c r="D200" s="18"/>
      <x:c r="E200" s="18"/>
      <x:c r="F200" s="22"/>
      <x:c r="G200" s="18"/>
      <x:c r="H200" s="18"/>
      <x:c r="I200" s="18"/>
      <x:c r="J200" s="18"/>
    </x:row>
    <x:row r="201">
      <x:c r="A201" s="18"/>
      <x:c r="B201" s="18"/>
      <x:c r="C201" s="18"/>
      <x:c r="D201" s="18"/>
      <x:c r="E201" s="18"/>
      <x:c r="F201" s="22"/>
      <x:c r="G201" s="18"/>
      <x:c r="H201" s="18"/>
      <x:c r="I201" s="18"/>
      <x:c r="J201" s="18"/>
    </x:row>
    <x:row r="202">
      <x:c r="A202" s="18"/>
      <x:c r="B202" s="18"/>
      <x:c r="C202" s="18"/>
      <x:c r="D202" s="18"/>
      <x:c r="E202" s="18"/>
      <x:c r="F202" s="22"/>
      <x:c r="G202" s="18"/>
      <x:c r="H202" s="18"/>
      <x:c r="I202" s="18"/>
      <x:c r="J202" s="18"/>
    </x:row>
    <x:row r="203">
      <x:c r="A203" s="18"/>
      <x:c r="B203" s="18"/>
      <x:c r="C203" s="18"/>
      <x:c r="D203" s="18"/>
      <x:c r="E203" s="18"/>
      <x:c r="F203" s="22"/>
      <x:c r="G203" s="18"/>
      <x:c r="H203" s="18"/>
      <x:c r="I203" s="18"/>
      <x:c r="J203" s="18"/>
    </x:row>
    <x:row r="204">
      <x:c r="A204" s="18"/>
      <x:c r="B204" s="18"/>
      <x:c r="C204" s="18"/>
      <x:c r="D204" s="18"/>
      <x:c r="E204" s="18"/>
      <x:c r="F204" s="22"/>
      <x:c r="G204" s="18"/>
      <x:c r="H204" s="18"/>
      <x:c r="I204" s="18"/>
      <x:c r="J204" s="18"/>
    </x:row>
    <x:row r="205">
      <x:c r="A205" s="18"/>
      <x:c r="B205" s="18"/>
      <x:c r="C205" s="18"/>
      <x:c r="D205" s="18"/>
      <x:c r="E205" s="18"/>
      <x:c r="F205" s="22"/>
      <x:c r="G205" s="18"/>
      <x:c r="H205" s="18"/>
      <x:c r="I205" s="18"/>
      <x:c r="J205" s="18"/>
    </x:row>
    <x:row r="206">
      <x:c r="A206" s="18"/>
      <x:c r="B206" s="18"/>
      <x:c r="C206" s="18"/>
      <x:c r="D206" s="18"/>
      <x:c r="E206" s="18"/>
      <x:c r="F206" s="22"/>
      <x:c r="G206" s="18"/>
      <x:c r="H206" s="18"/>
      <x:c r="I206" s="18"/>
      <x:c r="J206" s="18"/>
    </x:row>
    <x:row r="207">
      <x:c r="A207" s="18"/>
      <x:c r="B207" s="18"/>
      <x:c r="C207" s="18"/>
      <x:c r="D207" s="18"/>
      <x:c r="E207" s="18"/>
      <x:c r="F207" s="22"/>
      <x:c r="G207" s="18"/>
      <x:c r="H207" s="18"/>
      <x:c r="I207" s="18"/>
      <x:c r="J207" s="18"/>
    </x:row>
    <x:row r="208">
      <x:c r="A208" s="18"/>
      <x:c r="B208" s="18"/>
      <x:c r="C208" s="18"/>
      <x:c r="D208" s="18"/>
      <x:c r="E208" s="18"/>
      <x:c r="F208" s="22"/>
      <x:c r="G208" s="18"/>
      <x:c r="H208" s="18"/>
      <x:c r="I208" s="18"/>
      <x:c r="J208" s="18"/>
    </x:row>
    <x:row r="209">
      <x:c r="A209" s="18"/>
      <x:c r="B209" s="18"/>
      <x:c r="C209" s="18"/>
      <x:c r="D209" s="18"/>
      <x:c r="E209" s="18"/>
      <x:c r="F209" s="22"/>
      <x:c r="G209" s="18"/>
      <x:c r="H209" s="18"/>
      <x:c r="I209" s="18"/>
      <x:c r="J209" s="18"/>
    </x:row>
    <x:row r="210">
      <x:c r="A210" s="18"/>
      <x:c r="B210" s="18"/>
      <x:c r="C210" s="18"/>
      <x:c r="D210" s="18"/>
      <x:c r="E210" s="18"/>
      <x:c r="F210" s="22"/>
      <x:c r="G210" s="18"/>
      <x:c r="H210" s="18"/>
      <x:c r="I210" s="18"/>
      <x:c r="J210" s="18"/>
    </x:row>
    <x:row r="211">
      <x:c r="A211" s="18"/>
      <x:c r="B211" s="18"/>
      <x:c r="C211" s="18"/>
      <x:c r="D211" s="18"/>
      <x:c r="E211" s="18"/>
      <x:c r="F211" s="22"/>
      <x:c r="G211" s="18"/>
      <x:c r="H211" s="18"/>
      <x:c r="I211" s="18"/>
      <x:c r="J211" s="18"/>
    </x:row>
    <x:row r="212">
      <x:c r="A212" s="18"/>
      <x:c r="B212" s="18"/>
      <x:c r="C212" s="18"/>
      <x:c r="D212" s="18"/>
      <x:c r="E212" s="18"/>
      <x:c r="F212" s="22"/>
      <x:c r="G212" s="18"/>
      <x:c r="H212" s="18"/>
      <x:c r="I212" s="18"/>
      <x:c r="J212" s="18"/>
    </x:row>
    <x:row r="213">
      <x:c r="A213" s="18"/>
      <x:c r="B213" s="18"/>
      <x:c r="C213" s="18"/>
      <x:c r="D213" s="18"/>
      <x:c r="E213" s="18"/>
      <x:c r="F213" s="22"/>
      <x:c r="G213" s="18"/>
      <x:c r="H213" s="18"/>
      <x:c r="I213" s="18"/>
      <x:c r="J213" s="18"/>
    </x:row>
    <x:row r="214">
      <x:c r="A214" s="18"/>
      <x:c r="B214" s="18"/>
      <x:c r="C214" s="18"/>
      <x:c r="D214" s="18"/>
      <x:c r="E214" s="18"/>
      <x:c r="F214" s="22"/>
      <x:c r="G214" s="18"/>
      <x:c r="H214" s="18"/>
      <x:c r="I214" s="18"/>
      <x:c r="J214" s="18"/>
    </x:row>
    <x:row r="215">
      <x:c r="A215" s="18"/>
      <x:c r="B215" s="18"/>
      <x:c r="C215" s="18"/>
      <x:c r="D215" s="18"/>
      <x:c r="E215" s="18"/>
      <x:c r="F215" s="22"/>
      <x:c r="G215" s="18"/>
      <x:c r="H215" s="18"/>
      <x:c r="I215" s="18"/>
      <x:c r="J215" s="18"/>
    </x:row>
    <x:row r="216">
      <x:c r="A216" s="18"/>
      <x:c r="B216" s="18"/>
      <x:c r="C216" s="18"/>
      <x:c r="D216" s="18"/>
      <x:c r="E216" s="18"/>
      <x:c r="F216" s="22"/>
      <x:c r="G216" s="18"/>
      <x:c r="H216" s="18"/>
      <x:c r="I216" s="18"/>
      <x:c r="J216" s="18"/>
    </x:row>
    <x:row r="217">
      <x:c r="A217" s="18"/>
      <x:c r="B217" s="18"/>
      <x:c r="C217" s="18"/>
      <x:c r="D217" s="18"/>
      <x:c r="E217" s="18"/>
      <x:c r="F217" s="22"/>
      <x:c r="G217" s="18"/>
      <x:c r="H217" s="18"/>
      <x:c r="I217" s="18"/>
      <x:c r="J217" s="18"/>
    </x:row>
    <x:row r="218">
      <x:c r="A218" s="18"/>
      <x:c r="B218" s="18"/>
      <x:c r="C218" s="18"/>
      <x:c r="D218" s="18"/>
      <x:c r="E218" s="18"/>
      <x:c r="F218" s="22"/>
      <x:c r="G218" s="18"/>
      <x:c r="H218" s="18"/>
      <x:c r="I218" s="18"/>
      <x:c r="J218" s="18"/>
    </x:row>
    <x:row r="219">
      <x:c r="A219" s="18"/>
      <x:c r="B219" s="18"/>
      <x:c r="C219" s="18"/>
      <x:c r="D219" s="18"/>
      <x:c r="E219" s="18"/>
      <x:c r="F219" s="22"/>
      <x:c r="G219" s="18"/>
      <x:c r="H219" s="18"/>
      <x:c r="I219" s="18"/>
      <x:c r="J219" s="18"/>
    </x:row>
    <x:row r="220">
      <x:c r="A220" s="18"/>
      <x:c r="B220" s="18"/>
      <x:c r="C220" s="18"/>
      <x:c r="D220" s="18"/>
      <x:c r="E220" s="18"/>
      <x:c r="F220" s="22"/>
      <x:c r="G220" s="18"/>
      <x:c r="H220" s="18"/>
      <x:c r="I220" s="18"/>
      <x:c r="J220" s="18"/>
    </x:row>
    <x:row r="221">
      <x:c r="A221" s="18"/>
      <x:c r="B221" s="18"/>
      <x:c r="C221" s="18"/>
      <x:c r="D221" s="18"/>
      <x:c r="E221" s="18"/>
      <x:c r="F221" s="22"/>
      <x:c r="G221" s="18"/>
      <x:c r="H221" s="18"/>
      <x:c r="I221" s="18"/>
      <x:c r="J221" s="18"/>
    </x:row>
    <x:row r="222">
      <x:c r="A222" s="18"/>
      <x:c r="B222" s="18"/>
      <x:c r="C222" s="18"/>
      <x:c r="D222" s="18"/>
      <x:c r="E222" s="18"/>
      <x:c r="F222" s="22"/>
      <x:c r="G222" s="18"/>
      <x:c r="H222" s="18"/>
      <x:c r="I222" s="18"/>
      <x:c r="J222" s="18"/>
    </x:row>
    <x:row r="223">
      <x:c r="A223" s="18"/>
      <x:c r="B223" s="18"/>
      <x:c r="C223" s="18"/>
      <x:c r="D223" s="18"/>
      <x:c r="E223" s="18"/>
      <x:c r="F223" s="22"/>
      <x:c r="G223" s="18"/>
      <x:c r="H223" s="18"/>
      <x:c r="I223" s="18"/>
      <x:c r="J223" s="18"/>
    </x:row>
    <x:row r="224">
      <x:c r="A224" s="18"/>
      <x:c r="B224" s="18"/>
      <x:c r="C224" s="18"/>
      <x:c r="D224" s="18"/>
      <x:c r="E224" s="18"/>
      <x:c r="F224" s="22"/>
      <x:c r="G224" s="18"/>
      <x:c r="H224" s="18"/>
      <x:c r="I224" s="18"/>
      <x:c r="J224" s="18"/>
    </x:row>
    <x:row r="225">
      <x:c r="A225" s="18"/>
      <x:c r="B225" s="18"/>
      <x:c r="C225" s="18"/>
      <x:c r="D225" s="18"/>
      <x:c r="E225" s="18"/>
      <x:c r="F225" s="22"/>
      <x:c r="G225" s="18"/>
      <x:c r="H225" s="18"/>
      <x:c r="I225" s="18"/>
      <x:c r="J225" s="18"/>
    </x:row>
    <x:row r="226">
      <x:c r="A226" s="18"/>
      <x:c r="B226" s="18"/>
      <x:c r="C226" s="18"/>
      <x:c r="D226" s="18"/>
      <x:c r="E226" s="18"/>
      <x:c r="F226" s="22"/>
      <x:c r="G226" s="18"/>
      <x:c r="H226" s="18"/>
      <x:c r="I226" s="18"/>
      <x:c r="J226" s="18"/>
    </x:row>
    <x:row r="227">
      <x:c r="A227" s="18"/>
      <x:c r="B227" s="18"/>
      <x:c r="C227" s="18"/>
      <x:c r="D227" s="18"/>
      <x:c r="E227" s="18"/>
      <x:c r="F227" s="22"/>
      <x:c r="G227" s="18"/>
      <x:c r="H227" s="18"/>
      <x:c r="I227" s="18"/>
      <x:c r="J227" s="18"/>
    </x:row>
    <x:row r="228">
      <x:c r="A228" s="18"/>
      <x:c r="B228" s="18"/>
      <x:c r="C228" s="18"/>
      <x:c r="D228" s="18"/>
      <x:c r="E228" s="18"/>
      <x:c r="F228" s="22"/>
      <x:c r="G228" s="18"/>
      <x:c r="H228" s="18"/>
      <x:c r="I228" s="18"/>
      <x:c r="J228" s="18"/>
    </x:row>
    <x:row r="229">
      <x:c r="A229" s="18"/>
      <x:c r="B229" s="18"/>
      <x:c r="C229" s="18"/>
      <x:c r="D229" s="18"/>
      <x:c r="E229" s="18"/>
      <x:c r="F229" s="22"/>
      <x:c r="G229" s="18"/>
      <x:c r="H229" s="18"/>
      <x:c r="I229" s="18"/>
      <x:c r="J229" s="18"/>
    </x:row>
    <x:row r="230">
      <x:c r="A230" s="18"/>
      <x:c r="B230" s="18"/>
      <x:c r="C230" s="18"/>
      <x:c r="D230" s="18"/>
      <x:c r="E230" s="18"/>
      <x:c r="F230" s="22"/>
      <x:c r="G230" s="18"/>
      <x:c r="H230" s="18"/>
      <x:c r="I230" s="18"/>
      <x:c r="J230" s="18"/>
    </x:row>
    <x:row r="231">
      <x:c r="A231" s="18"/>
      <x:c r="B231" s="18"/>
      <x:c r="C231" s="18"/>
      <x:c r="D231" s="18"/>
      <x:c r="E231" s="18"/>
      <x:c r="F231" s="22"/>
      <x:c r="G231" s="18"/>
      <x:c r="H231" s="18"/>
      <x:c r="I231" s="18"/>
      <x:c r="J231" s="18"/>
    </x:row>
    <x:row r="232">
      <x:c r="A232" s="18"/>
      <x:c r="B232" s="18"/>
      <x:c r="C232" s="18"/>
      <x:c r="D232" s="18"/>
      <x:c r="E232" s="18"/>
      <x:c r="F232" s="22"/>
      <x:c r="G232" s="18"/>
      <x:c r="H232" s="18"/>
      <x:c r="I232" s="18"/>
      <x:c r="J232" s="18"/>
    </x:row>
    <x:row r="233">
      <x:c r="A233" s="18"/>
      <x:c r="B233" s="18"/>
      <x:c r="C233" s="18"/>
      <x:c r="D233" s="18"/>
      <x:c r="E233" s="18"/>
      <x:c r="F233" s="22"/>
      <x:c r="G233" s="18"/>
      <x:c r="H233" s="18"/>
      <x:c r="I233" s="18"/>
      <x:c r="J233" s="18"/>
    </x:row>
    <x:row r="234">
      <x:c r="A234" s="18"/>
      <x:c r="B234" s="18"/>
      <x:c r="C234" s="18"/>
      <x:c r="D234" s="18"/>
      <x:c r="E234" s="18"/>
      <x:c r="F234" s="22"/>
      <x:c r="G234" s="18"/>
      <x:c r="H234" s="18"/>
      <x:c r="I234" s="18"/>
      <x:c r="J234" s="18"/>
    </x:row>
    <x:row r="235">
      <x:c r="A235" s="18"/>
      <x:c r="B235" s="18"/>
      <x:c r="C235" s="18"/>
      <x:c r="D235" s="18"/>
      <x:c r="E235" s="18"/>
      <x:c r="F235" s="22"/>
      <x:c r="G235" s="18"/>
      <x:c r="H235" s="18"/>
      <x:c r="I235" s="18"/>
      <x:c r="J235" s="18"/>
    </x:row>
    <x:row r="236">
      <x:c r="A236" s="18"/>
      <x:c r="B236" s="18"/>
      <x:c r="C236" s="18"/>
      <x:c r="D236" s="18"/>
      <x:c r="E236" s="18"/>
      <x:c r="F236" s="22"/>
      <x:c r="G236" s="18"/>
      <x:c r="H236" s="18"/>
      <x:c r="I236" s="18"/>
      <x:c r="J236" s="18"/>
    </x:row>
    <x:row r="237">
      <x:c r="A237" s="18"/>
      <x:c r="B237" s="18"/>
      <x:c r="C237" s="18"/>
      <x:c r="D237" s="18"/>
      <x:c r="E237" s="18"/>
      <x:c r="F237" s="22"/>
      <x:c r="G237" s="18"/>
      <x:c r="H237" s="18"/>
      <x:c r="I237" s="18"/>
      <x:c r="J237" s="18"/>
    </x:row>
    <x:row r="238">
      <x:c r="A238" s="18"/>
      <x:c r="B238" s="18"/>
      <x:c r="C238" s="18"/>
      <x:c r="D238" s="18"/>
      <x:c r="E238" s="18"/>
      <x:c r="F238" s="22"/>
      <x:c r="G238" s="18"/>
      <x:c r="H238" s="18"/>
      <x:c r="I238" s="18"/>
      <x:c r="J238" s="18"/>
    </x:row>
    <x:row r="239">
      <x:c r="A239" s="18"/>
      <x:c r="B239" s="18"/>
      <x:c r="C239" s="18"/>
      <x:c r="D239" s="18"/>
      <x:c r="E239" s="18"/>
      <x:c r="F239" s="22"/>
      <x:c r="G239" s="18"/>
      <x:c r="H239" s="18"/>
      <x:c r="I239" s="18"/>
      <x:c r="J239" s="18"/>
    </x:row>
    <x:row r="240">
      <x:c r="A240" s="18"/>
      <x:c r="B240" s="18"/>
      <x:c r="C240" s="18"/>
      <x:c r="D240" s="18"/>
      <x:c r="E240" s="18"/>
      <x:c r="F240" s="22"/>
      <x:c r="G240" s="18"/>
      <x:c r="H240" s="18"/>
      <x:c r="I240" s="18"/>
      <x:c r="J240" s="18"/>
    </x:row>
    <x:row r="241">
      <x:c r="A241" s="18"/>
      <x:c r="B241" s="18"/>
      <x:c r="C241" s="18"/>
      <x:c r="D241" s="18"/>
      <x:c r="E241" s="18"/>
      <x:c r="F241" s="22"/>
      <x:c r="G241" s="18"/>
      <x:c r="H241" s="18"/>
      <x:c r="I241" s="18"/>
      <x:c r="J241" s="18"/>
    </x:row>
    <x:row r="242">
      <x:c r="A242" s="18"/>
      <x:c r="B242" s="18"/>
      <x:c r="C242" s="18"/>
      <x:c r="D242" s="18"/>
      <x:c r="E242" s="18"/>
      <x:c r="F242" s="22"/>
      <x:c r="G242" s="18"/>
      <x:c r="H242" s="18"/>
      <x:c r="I242" s="18"/>
      <x:c r="J242" s="18"/>
    </x:row>
    <x:row r="243">
      <x:c r="A243" s="18"/>
      <x:c r="B243" s="18"/>
      <x:c r="C243" s="18"/>
      <x:c r="D243" s="18"/>
      <x:c r="E243" s="18"/>
      <x:c r="F243" s="22"/>
      <x:c r="G243" s="18"/>
      <x:c r="H243" s="18"/>
      <x:c r="I243" s="18"/>
      <x:c r="J243" s="18"/>
    </x:row>
    <x:row r="244">
      <x:c r="A244" s="18"/>
      <x:c r="B244" s="18"/>
      <x:c r="C244" s="18"/>
      <x:c r="D244" s="18"/>
      <x:c r="E244" s="18"/>
      <x:c r="F244" s="22"/>
      <x:c r="G244" s="18"/>
      <x:c r="H244" s="18"/>
      <x:c r="I244" s="18"/>
      <x:c r="J244" s="18"/>
    </x:row>
    <x:row r="245">
      <x:c r="A245" s="18"/>
      <x:c r="B245" s="18"/>
      <x:c r="C245" s="18"/>
      <x:c r="D245" s="18"/>
      <x:c r="E245" s="18"/>
      <x:c r="F245" s="22"/>
      <x:c r="G245" s="18"/>
      <x:c r="H245" s="18"/>
      <x:c r="I245" s="18"/>
      <x:c r="J245" s="18"/>
    </x:row>
    <x:row r="246">
      <x:c r="A246" s="18"/>
      <x:c r="B246" s="18"/>
      <x:c r="C246" s="18"/>
      <x:c r="D246" s="18"/>
      <x:c r="E246" s="18"/>
      <x:c r="F246" s="22"/>
      <x:c r="G246" s="18"/>
      <x:c r="H246" s="18"/>
      <x:c r="I246" s="18"/>
      <x:c r="J246" s="18"/>
    </x:row>
    <x:row r="247">
      <x:c r="A247" s="18"/>
      <x:c r="B247" s="18"/>
      <x:c r="C247" s="18"/>
      <x:c r="D247" s="18"/>
      <x:c r="E247" s="18"/>
      <x:c r="F247" s="22"/>
      <x:c r="G247" s="18"/>
      <x:c r="H247" s="18"/>
      <x:c r="I247" s="18"/>
      <x:c r="J247" s="18"/>
    </x:row>
    <x:row r="248">
      <x:c r="A248" s="18"/>
      <x:c r="B248" s="18"/>
      <x:c r="C248" s="18"/>
      <x:c r="D248" s="18"/>
      <x:c r="E248" s="18"/>
      <x:c r="F248" s="22"/>
      <x:c r="G248" s="18"/>
      <x:c r="H248" s="18"/>
      <x:c r="I248" s="18"/>
      <x:c r="J248" s="18"/>
    </x:row>
    <x:row r="249">
      <x:c r="A249" s="18"/>
      <x:c r="B249" s="18"/>
      <x:c r="C249" s="18"/>
      <x:c r="D249" s="18"/>
      <x:c r="E249" s="18"/>
      <x:c r="F249" s="22"/>
      <x:c r="G249" s="18"/>
      <x:c r="H249" s="18"/>
      <x:c r="I249" s="18"/>
      <x:c r="J249" s="18"/>
    </x:row>
    <x:row r="250">
      <x:c r="A250" s="18"/>
      <x:c r="B250" s="18"/>
      <x:c r="C250" s="18"/>
      <x:c r="D250" s="18"/>
      <x:c r="E250" s="18"/>
      <x:c r="F250" s="22"/>
      <x:c r="G250" s="18"/>
      <x:c r="H250" s="18"/>
      <x:c r="I250" s="18"/>
      <x:c r="J250" s="18"/>
    </x:row>
    <x:row r="251">
      <x:c r="A251" s="18"/>
      <x:c r="B251" s="18"/>
      <x:c r="C251" s="18"/>
      <x:c r="D251" s="18"/>
      <x:c r="E251" s="18"/>
      <x:c r="F251" s="22"/>
      <x:c r="G251" s="18"/>
      <x:c r="H251" s="18"/>
      <x:c r="I251" s="18"/>
      <x:c r="J251" s="18"/>
    </x:row>
    <x:row r="252">
      <x:c r="A252" s="18"/>
      <x:c r="B252" s="18"/>
      <x:c r="C252" s="18"/>
      <x:c r="D252" s="18"/>
      <x:c r="E252" s="18"/>
      <x:c r="F252" s="22"/>
      <x:c r="G252" s="18"/>
      <x:c r="H252" s="18"/>
      <x:c r="I252" s="18"/>
      <x:c r="J252" s="18"/>
    </x:row>
    <x:row r="253">
      <x:c r="A253" s="18"/>
      <x:c r="B253" s="18"/>
      <x:c r="C253" s="18"/>
      <x:c r="D253" s="18"/>
      <x:c r="E253" s="18"/>
      <x:c r="F253" s="22"/>
      <x:c r="G253" s="18"/>
      <x:c r="H253" s="18"/>
      <x:c r="I253" s="18"/>
      <x:c r="J253" s="18"/>
    </x:row>
    <x:row r="254">
      <x:c r="A254" s="18"/>
      <x:c r="B254" s="18"/>
      <x:c r="C254" s="18"/>
      <x:c r="D254" s="18"/>
      <x:c r="E254" s="18"/>
      <x:c r="F254" s="22"/>
      <x:c r="G254" s="18"/>
      <x:c r="H254" s="18"/>
      <x:c r="I254" s="18"/>
      <x:c r="J254" s="18"/>
    </x:row>
    <x:row r="255">
      <x:c r="A255" s="18"/>
      <x:c r="B255" s="18"/>
      <x:c r="C255" s="18"/>
      <x:c r="D255" s="18"/>
      <x:c r="E255" s="18"/>
      <x:c r="F255" s="22"/>
      <x:c r="G255" s="18"/>
      <x:c r="H255" s="18"/>
      <x:c r="I255" s="18"/>
      <x:c r="J255" s="18"/>
    </x:row>
    <x:row r="256">
      <x:c r="A256" s="18"/>
      <x:c r="B256" s="18"/>
      <x:c r="C256" s="18"/>
      <x:c r="D256" s="18"/>
      <x:c r="E256" s="18"/>
      <x:c r="F256" s="22"/>
      <x:c r="G256" s="18"/>
      <x:c r="H256" s="18"/>
      <x:c r="I256" s="18"/>
      <x:c r="J256" s="18"/>
    </x:row>
    <x:row r="257">
      <x:c r="A257" s="18"/>
      <x:c r="B257" s="18"/>
      <x:c r="C257" s="18"/>
      <x:c r="D257" s="18"/>
      <x:c r="E257" s="18"/>
      <x:c r="F257" s="22"/>
      <x:c r="G257" s="18"/>
      <x:c r="H257" s="18"/>
      <x:c r="I257" s="18"/>
      <x:c r="J257" s="18"/>
    </x:row>
    <x:row r="258">
      <x:c r="A258" s="18"/>
      <x:c r="B258" s="18"/>
      <x:c r="C258" s="18"/>
      <x:c r="D258" s="18"/>
      <x:c r="E258" s="18"/>
      <x:c r="F258" s="22"/>
      <x:c r="G258" s="18"/>
      <x:c r="H258" s="18"/>
      <x:c r="I258" s="18"/>
      <x:c r="J258" s="18"/>
    </x:row>
    <x:row r="259">
      <x:c r="A259" s="18"/>
      <x:c r="B259" s="18"/>
      <x:c r="C259" s="18"/>
      <x:c r="D259" s="18"/>
      <x:c r="E259" s="18"/>
      <x:c r="F259" s="22"/>
      <x:c r="G259" s="18"/>
      <x:c r="H259" s="18"/>
      <x:c r="I259" s="18"/>
      <x:c r="J259" s="18"/>
    </x:row>
    <x:row r="260">
      <x:c r="A260" s="18"/>
      <x:c r="B260" s="18"/>
      <x:c r="C260" s="18"/>
      <x:c r="D260" s="18"/>
      <x:c r="E260" s="18"/>
      <x:c r="F260" s="22"/>
      <x:c r="G260" s="18"/>
      <x:c r="H260" s="18"/>
      <x:c r="I260" s="18"/>
      <x:c r="J260" s="18"/>
    </x:row>
    <x:row r="261">
      <x:c r="A261" s="18"/>
      <x:c r="B261" s="18"/>
      <x:c r="C261" s="18"/>
      <x:c r="D261" s="18"/>
      <x:c r="E261" s="18"/>
      <x:c r="F261" s="22"/>
      <x:c r="G261" s="18"/>
      <x:c r="H261" s="18"/>
      <x:c r="I261" s="18"/>
      <x:c r="J261" s="18"/>
    </x:row>
    <x:row r="262">
      <x:c r="A262" s="18"/>
      <x:c r="B262" s="18"/>
      <x:c r="C262" s="18"/>
      <x:c r="D262" s="18"/>
      <x:c r="E262" s="18"/>
      <x:c r="F262" s="22"/>
      <x:c r="G262" s="18"/>
      <x:c r="H262" s="18"/>
      <x:c r="I262" s="18"/>
      <x:c r="J262" s="18"/>
    </x:row>
    <x:row r="263">
      <x:c r="A263" s="18"/>
      <x:c r="B263" s="18"/>
      <x:c r="C263" s="18"/>
      <x:c r="D263" s="18"/>
      <x:c r="E263" s="18"/>
      <x:c r="F263" s="22"/>
      <x:c r="G263" s="18"/>
      <x:c r="H263" s="18"/>
      <x:c r="I263" s="18"/>
      <x:c r="J263" s="18"/>
    </x:row>
    <x:row r="264">
      <x:c r="A264" s="18"/>
      <x:c r="B264" s="18"/>
      <x:c r="C264" s="18"/>
      <x:c r="D264" s="18"/>
      <x:c r="E264" s="18"/>
      <x:c r="F264" s="22"/>
      <x:c r="G264" s="18"/>
      <x:c r="H264" s="18"/>
      <x:c r="I264" s="18"/>
      <x:c r="J264" s="18"/>
    </x:row>
    <x:row r="265">
      <x:c r="A265" s="18"/>
      <x:c r="B265" s="18"/>
      <x:c r="C265" s="18"/>
      <x:c r="D265" s="18"/>
      <x:c r="E265" s="18"/>
      <x:c r="F265" s="22"/>
      <x:c r="G265" s="18"/>
      <x:c r="H265" s="18"/>
      <x:c r="I265" s="18"/>
      <x:c r="J265" s="18"/>
    </x:row>
    <x:row r="266">
      <x:c r="A266" s="18"/>
      <x:c r="B266" s="18"/>
      <x:c r="C266" s="18"/>
      <x:c r="D266" s="18"/>
      <x:c r="E266" s="18"/>
      <x:c r="F266" s="22"/>
      <x:c r="G266" s="18"/>
      <x:c r="H266" s="18"/>
      <x:c r="I266" s="18"/>
      <x:c r="J266" s="18"/>
    </x:row>
    <x:row r="267">
      <x:c r="A267" s="18"/>
      <x:c r="B267" s="18"/>
      <x:c r="C267" s="18"/>
      <x:c r="D267" s="18"/>
      <x:c r="E267" s="18"/>
      <x:c r="F267" s="22"/>
      <x:c r="G267" s="18"/>
      <x:c r="H267" s="18"/>
      <x:c r="I267" s="18"/>
      <x:c r="J267" s="18"/>
    </x:row>
    <x:row r="268">
      <x:c r="A268" s="18"/>
      <x:c r="B268" s="18"/>
      <x:c r="C268" s="18"/>
      <x:c r="D268" s="18"/>
      <x:c r="E268" s="18"/>
      <x:c r="F268" s="22"/>
      <x:c r="G268" s="18"/>
      <x:c r="H268" s="18"/>
      <x:c r="I268" s="18"/>
      <x:c r="J268" s="18"/>
    </x:row>
    <x:row r="269">
      <x:c r="A269" s="18"/>
      <x:c r="B269" s="18"/>
      <x:c r="C269" s="18"/>
      <x:c r="D269" s="18"/>
      <x:c r="E269" s="18"/>
      <x:c r="F269" s="22"/>
      <x:c r="G269" s="18"/>
      <x:c r="H269" s="18"/>
      <x:c r="I269" s="18"/>
      <x:c r="J269" s="18"/>
    </x:row>
    <x:row r="270">
      <x:c r="A270" s="18"/>
      <x:c r="B270" s="18"/>
      <x:c r="C270" s="18"/>
      <x:c r="D270" s="18"/>
      <x:c r="E270" s="18"/>
      <x:c r="F270" s="22"/>
      <x:c r="G270" s="18"/>
      <x:c r="H270" s="18"/>
      <x:c r="I270" s="18"/>
      <x:c r="J270" s="18"/>
    </x:row>
    <x:row r="271">
      <x:c r="A271" s="18"/>
      <x:c r="B271" s="18"/>
      <x:c r="C271" s="18"/>
      <x:c r="D271" s="18"/>
      <x:c r="E271" s="18"/>
      <x:c r="F271" s="22"/>
      <x:c r="G271" s="18"/>
      <x:c r="H271" s="18"/>
      <x:c r="I271" s="18"/>
      <x:c r="J271" s="18"/>
    </x:row>
    <x:row r="272">
      <x:c r="A272" s="18"/>
      <x:c r="B272" s="18"/>
      <x:c r="C272" s="18"/>
      <x:c r="D272" s="18"/>
      <x:c r="E272" s="18"/>
      <x:c r="F272" s="22"/>
      <x:c r="G272" s="18"/>
      <x:c r="H272" s="18"/>
      <x:c r="I272" s="18"/>
      <x:c r="J272" s="18"/>
    </x:row>
    <x:row r="273">
      <x:c r="A273" s="18"/>
      <x:c r="B273" s="18"/>
      <x:c r="C273" s="18"/>
      <x:c r="D273" s="18"/>
      <x:c r="E273" s="18"/>
      <x:c r="F273" s="22"/>
      <x:c r="G273" s="18"/>
      <x:c r="H273" s="18"/>
      <x:c r="I273" s="18"/>
      <x:c r="J273" s="18"/>
    </x:row>
    <x:row r="274">
      <x:c r="A274" s="18"/>
      <x:c r="B274" s="18"/>
      <x:c r="C274" s="18"/>
      <x:c r="D274" s="18"/>
      <x:c r="E274" s="18"/>
      <x:c r="F274" s="22"/>
      <x:c r="G274" s="18"/>
      <x:c r="H274" s="18"/>
      <x:c r="I274" s="18"/>
      <x:c r="J274" s="18"/>
    </x:row>
    <x:row r="275">
      <x:c r="A275" s="18"/>
      <x:c r="B275" s="18"/>
      <x:c r="C275" s="18"/>
      <x:c r="D275" s="18"/>
      <x:c r="E275" s="18"/>
      <x:c r="F275" s="22"/>
      <x:c r="G275" s="18"/>
      <x:c r="H275" s="18"/>
      <x:c r="I275" s="18"/>
      <x:c r="J275" s="18"/>
    </x:row>
    <x:row r="276">
      <x:c r="A276" s="18"/>
      <x:c r="B276" s="18"/>
      <x:c r="C276" s="18"/>
      <x:c r="D276" s="18"/>
      <x:c r="E276" s="18"/>
      <x:c r="F276" s="22"/>
      <x:c r="G276" s="18"/>
      <x:c r="H276" s="18"/>
      <x:c r="I276" s="18"/>
      <x:c r="J276" s="18"/>
    </x:row>
    <x:row r="277">
      <x:c r="A277" s="18"/>
      <x:c r="B277" s="18"/>
      <x:c r="C277" s="18"/>
      <x:c r="D277" s="18"/>
      <x:c r="E277" s="18"/>
      <x:c r="F277" s="22"/>
      <x:c r="G277" s="18"/>
      <x:c r="H277" s="18"/>
      <x:c r="I277" s="18"/>
      <x:c r="J277" s="18"/>
    </x:row>
    <x:row r="278">
      <x:c r="A278" s="18"/>
      <x:c r="B278" s="18"/>
      <x:c r="C278" s="18"/>
      <x:c r="D278" s="18"/>
      <x:c r="E278" s="18"/>
      <x:c r="F278" s="22"/>
      <x:c r="G278" s="18"/>
      <x:c r="H278" s="18"/>
      <x:c r="I278" s="18"/>
      <x:c r="J278" s="18"/>
    </x:row>
    <x:row r="279">
      <x:c r="A279" s="18"/>
      <x:c r="B279" s="18"/>
      <x:c r="C279" s="18"/>
      <x:c r="D279" s="18"/>
      <x:c r="E279" s="18"/>
      <x:c r="F279" s="22"/>
      <x:c r="G279" s="18"/>
      <x:c r="H279" s="18"/>
      <x:c r="I279" s="18"/>
      <x:c r="J279" s="18"/>
    </x:row>
    <x:row r="280">
      <x:c r="A280" s="18"/>
      <x:c r="B280" s="18"/>
      <x:c r="C280" s="18"/>
      <x:c r="D280" s="18"/>
      <x:c r="E280" s="18"/>
      <x:c r="F280" s="22"/>
      <x:c r="G280" s="18"/>
      <x:c r="H280" s="18"/>
      <x:c r="I280" s="18"/>
      <x:c r="J280" s="18"/>
    </x:row>
    <x:row r="281">
      <x:c r="A281" s="18"/>
      <x:c r="B281" s="18"/>
      <x:c r="C281" s="18"/>
      <x:c r="D281" s="18"/>
      <x:c r="E281" s="18"/>
      <x:c r="F281" s="22"/>
      <x:c r="G281" s="18"/>
      <x:c r="H281" s="18"/>
      <x:c r="I281" s="18"/>
      <x:c r="J281" s="18"/>
    </x:row>
    <x:row r="282">
      <x:c r="A282" s="18"/>
      <x:c r="B282" s="18"/>
      <x:c r="C282" s="18"/>
      <x:c r="D282" s="18"/>
      <x:c r="E282" s="18"/>
      <x:c r="F282" s="22"/>
      <x:c r="G282" s="18"/>
      <x:c r="H282" s="18"/>
      <x:c r="I282" s="18"/>
      <x:c r="J282" s="18"/>
    </x:row>
    <x:row r="283">
      <x:c r="A283" s="18"/>
      <x:c r="B283" s="18"/>
      <x:c r="C283" s="18"/>
      <x:c r="D283" s="18"/>
      <x:c r="E283" s="18"/>
      <x:c r="F283" s="22"/>
      <x:c r="G283" s="18"/>
      <x:c r="H283" s="18"/>
      <x:c r="I283" s="18"/>
      <x:c r="J283" s="18"/>
    </x:row>
    <x:row r="284">
      <x:c r="A284" s="18"/>
      <x:c r="B284" s="18"/>
      <x:c r="C284" s="18"/>
      <x:c r="D284" s="18"/>
      <x:c r="E284" s="18"/>
      <x:c r="F284" s="22"/>
      <x:c r="G284" s="18"/>
      <x:c r="H284" s="18"/>
      <x:c r="I284" s="18"/>
      <x:c r="J284" s="18"/>
    </x:row>
    <x:row r="285">
      <x:c r="A285" s="18"/>
      <x:c r="B285" s="18"/>
      <x:c r="C285" s="18"/>
      <x:c r="D285" s="18"/>
      <x:c r="E285" s="18"/>
      <x:c r="F285" s="22"/>
      <x:c r="G285" s="18"/>
      <x:c r="H285" s="18"/>
      <x:c r="I285" s="18"/>
      <x:c r="J285" s="18"/>
    </x:row>
    <x:row r="286">
      <x:c r="A286" s="18"/>
      <x:c r="B286" s="18"/>
      <x:c r="C286" s="18"/>
      <x:c r="D286" s="18"/>
      <x:c r="E286" s="18"/>
      <x:c r="F286" s="22"/>
      <x:c r="G286" s="18"/>
      <x:c r="H286" s="18"/>
      <x:c r="I286" s="18"/>
      <x:c r="J286" s="18"/>
    </x:row>
    <x:row r="287">
      <x:c r="A287" s="18"/>
      <x:c r="B287" s="18"/>
      <x:c r="C287" s="18"/>
      <x:c r="D287" s="18"/>
      <x:c r="E287" s="18"/>
      <x:c r="F287" s="22"/>
      <x:c r="G287" s="18"/>
      <x:c r="H287" s="18"/>
      <x:c r="I287" s="18"/>
      <x:c r="J287" s="18"/>
    </x:row>
    <x:row r="288">
      <x:c r="A288" s="18"/>
      <x:c r="B288" s="18"/>
      <x:c r="C288" s="18"/>
      <x:c r="D288" s="18"/>
      <x:c r="E288" s="18"/>
      <x:c r="F288" s="22"/>
      <x:c r="G288" s="18"/>
      <x:c r="H288" s="18"/>
      <x:c r="I288" s="18"/>
      <x:c r="J288" s="18"/>
    </x:row>
    <x:row r="289">
      <x:c r="A289" s="18"/>
      <x:c r="B289" s="18"/>
      <x:c r="C289" s="18"/>
      <x:c r="D289" s="18"/>
      <x:c r="E289" s="18"/>
      <x:c r="F289" s="22"/>
      <x:c r="G289" s="18"/>
      <x:c r="H289" s="18"/>
      <x:c r="I289" s="18"/>
      <x:c r="J289" s="18"/>
    </x:row>
    <x:row r="290">
      <x:c r="A290" s="18"/>
      <x:c r="B290" s="18"/>
      <x:c r="C290" s="18"/>
      <x:c r="D290" s="18"/>
      <x:c r="E290" s="18"/>
      <x:c r="F290" s="22"/>
      <x:c r="G290" s="18"/>
      <x:c r="H290" s="18"/>
      <x:c r="I290" s="18"/>
      <x:c r="J290" s="18"/>
    </x:row>
    <x:row r="291">
      <x:c r="A291" s="18"/>
      <x:c r="B291" s="18"/>
      <x:c r="C291" s="18"/>
      <x:c r="D291" s="18"/>
      <x:c r="E291" s="18"/>
      <x:c r="F291" s="22"/>
      <x:c r="G291" s="18"/>
      <x:c r="H291" s="18"/>
      <x:c r="I291" s="18"/>
      <x:c r="J291" s="18"/>
    </x:row>
    <x:row r="292">
      <x:c r="A292" s="18"/>
      <x:c r="B292" s="18"/>
      <x:c r="C292" s="18"/>
      <x:c r="D292" s="18"/>
      <x:c r="E292" s="18"/>
      <x:c r="F292" s="22"/>
      <x:c r="G292" s="18"/>
      <x:c r="H292" s="18"/>
      <x:c r="I292" s="18"/>
      <x:c r="J292" s="18"/>
    </x:row>
    <x:row r="293">
      <x:c r="A293" s="18"/>
      <x:c r="B293" s="18"/>
      <x:c r="C293" s="18"/>
      <x:c r="D293" s="18"/>
      <x:c r="E293" s="18"/>
      <x:c r="F293" s="22"/>
      <x:c r="G293" s="18"/>
      <x:c r="H293" s="18"/>
      <x:c r="I293" s="18"/>
      <x:c r="J293" s="18"/>
    </x:row>
    <x:row r="294">
      <x:c r="A294" s="18"/>
      <x:c r="B294" s="18"/>
      <x:c r="C294" s="18"/>
      <x:c r="D294" s="18"/>
      <x:c r="E294" s="18"/>
      <x:c r="F294" s="22"/>
      <x:c r="G294" s="18"/>
      <x:c r="H294" s="18"/>
      <x:c r="I294" s="18"/>
      <x:c r="J294" s="18"/>
    </x:row>
    <x:row r="295">
      <x:c r="A295" s="18"/>
      <x:c r="B295" s="18"/>
      <x:c r="C295" s="18"/>
      <x:c r="D295" s="18"/>
      <x:c r="E295" s="18"/>
      <x:c r="F295" s="22"/>
      <x:c r="G295" s="18"/>
      <x:c r="H295" s="18"/>
      <x:c r="I295" s="18"/>
      <x:c r="J295" s="18"/>
    </x:row>
    <x:row r="296">
      <x:c r="A296" s="18"/>
      <x:c r="B296" s="18"/>
      <x:c r="C296" s="18"/>
      <x:c r="D296" s="18"/>
      <x:c r="E296" s="18"/>
      <x:c r="F296" s="22"/>
      <x:c r="G296" s="18"/>
      <x:c r="H296" s="18"/>
      <x:c r="I296" s="18"/>
      <x:c r="J296" s="18"/>
    </x:row>
    <x:row r="297">
      <x:c r="A297" s="18"/>
      <x:c r="B297" s="18"/>
      <x:c r="C297" s="18"/>
      <x:c r="D297" s="18"/>
      <x:c r="E297" s="18"/>
      <x:c r="F297" s="22"/>
      <x:c r="G297" s="18"/>
      <x:c r="H297" s="18"/>
      <x:c r="I297" s="18"/>
      <x:c r="J297" s="18"/>
    </x:row>
    <x:row r="298">
      <x:c r="A298" s="18"/>
      <x:c r="B298" s="18"/>
      <x:c r="C298" s="18"/>
      <x:c r="D298" s="18"/>
      <x:c r="E298" s="18"/>
      <x:c r="F298" s="22"/>
      <x:c r="G298" s="18"/>
      <x:c r="H298" s="18"/>
      <x:c r="I298" s="18"/>
      <x:c r="J298" s="18"/>
    </x:row>
    <x:row r="299">
      <x:c r="A299" s="18"/>
      <x:c r="B299" s="18"/>
      <x:c r="C299" s="18"/>
      <x:c r="D299" s="18"/>
      <x:c r="E299" s="18"/>
      <x:c r="F299" s="22"/>
      <x:c r="G299" s="18"/>
      <x:c r="H299" s="18"/>
      <x:c r="I299" s="18"/>
      <x:c r="J299" s="18"/>
    </x:row>
    <x:row r="300">
      <x:c r="A300" s="18"/>
      <x:c r="B300" s="18"/>
      <x:c r="C300" s="18"/>
      <x:c r="D300" s="18"/>
      <x:c r="E300" s="18"/>
      <x:c r="F300" s="22"/>
      <x:c r="G300" s="18"/>
      <x:c r="H300" s="18"/>
      <x:c r="I300" s="18"/>
      <x:c r="J300" s="18"/>
    </x:row>
    <x:row r="301">
      <x:c r="A301" s="18"/>
      <x:c r="B301" s="18"/>
      <x:c r="C301" s="18"/>
      <x:c r="D301" s="18"/>
      <x:c r="E301" s="18"/>
      <x:c r="F301" s="22"/>
      <x:c r="G301" s="18"/>
      <x:c r="H301" s="18"/>
      <x:c r="I301" s="18"/>
      <x:c r="J301" s="18"/>
    </x:row>
    <x:row r="302">
      <x:c r="A302" s="18"/>
      <x:c r="B302" s="18"/>
      <x:c r="C302" s="18"/>
      <x:c r="D302" s="18"/>
      <x:c r="E302" s="18"/>
      <x:c r="F302" s="22"/>
      <x:c r="G302" s="18"/>
      <x:c r="H302" s="18"/>
      <x:c r="I302" s="18"/>
      <x:c r="J302" s="18"/>
    </x:row>
    <x:row r="303">
      <x:c r="A303" s="18"/>
      <x:c r="B303" s="18"/>
      <x:c r="C303" s="18"/>
      <x:c r="D303" s="18"/>
      <x:c r="E303" s="18"/>
      <x:c r="F303" s="22"/>
      <x:c r="G303" s="18"/>
      <x:c r="H303" s="18"/>
      <x:c r="I303" s="18"/>
      <x:c r="J303" s="18"/>
    </x:row>
  </x:sheetData>
  <x:mergeCells>
    <x:mergeCell ref="A1:J1"/>
  </x:mergeCells>
  <x:dataValidations count="3">
    <x:dataValidation type="list" sqref="D4:D303">
      <x:formula1>"Low,Moderate,High,Critical"</x:formula1>
    </x:dataValidation>
    <x:dataValidation type="list" sqref="G4:G303">
      <x:formula1>"Not Started,Planned,In Progress,Blocked,Complete,Accepted"</x:formula1>
    </x:dataValidation>
    <x:dataValidation type="list" sqref="I4:I303">
      <x:formula1>"Low,Moderate,High,Critical,Unknown"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4" hidden="0" customWidth="1"/>
    <x:col min="4" max="4" width="32" hidden="0" customWidth="1"/>
    <x:col min="5" max="5" width="40" hidden="0" customWidth="1"/>
  </x:cols>
  <x:sheetData>
    <x:row r="1">
      <x:c r="A1" s="4" t="str">
        <x:v>STRIDE Example Threat Library</x:v>
      </x:c>
      <x:c r="B1" s="4"/>
      <x:c r="C1" s="4"/>
      <x:c r="D1" s="4"/>
      <x:c r="E1" s="4"/>
    </x:row>
    <x:row r="3">
      <x:c r="A3" s="12" t="str">
        <x:v>Category</x:v>
      </x:c>
      <x:c r="B3" s="12" t="str">
        <x:v>Security Property</x:v>
      </x:c>
      <x:c r="C3" s="12" t="str">
        <x:v>Example Threat</x:v>
      </x:c>
      <x:c r="D3" s="12" t="str">
        <x:v>Common Weakness</x:v>
      </x:c>
      <x:c r="E3" s="12" t="str">
        <x:v>Example Mitigation</x:v>
      </x:c>
    </x:row>
    <x:row r="4">
      <x:c r="A4" s="18" t="str">
        <x:v>Spoofing</x:v>
      </x:c>
      <x:c r="B4" s="18" t="str">
        <x:v>Authentication</x:v>
      </x:c>
      <x:c r="C4" s="18" t="str">
        <x:v>Stolen credential impersonation</x:v>
      </x:c>
      <x:c r="D4" s="18" t="str">
        <x:v>Weak MFA</x:v>
      </x:c>
      <x:c r="E4" s="18" t="str">
        <x:v>Phishing-resistant MFA</x:v>
      </x:c>
    </x:row>
    <x:row r="5">
      <x:c r="A5" s="18" t="str">
        <x:v>Spoofing</x:v>
      </x:c>
      <x:c r="B5" s="18" t="str">
        <x:v>Authentication</x:v>
      </x:c>
      <x:c r="C5" s="18" t="str">
        <x:v>Forged service token</x:v>
      </x:c>
      <x:c r="D5" s="18" t="str">
        <x:v>Weak token validation</x:v>
      </x:c>
      <x:c r="E5" s="18" t="str">
        <x:v>Validate issuer, audience, signature, and expiry</x:v>
      </x:c>
    </x:row>
    <x:row r="6">
      <x:c r="A6" s="18" t="str">
        <x:v>Tampering</x:v>
      </x:c>
      <x:c r="B6" s="18" t="str">
        <x:v>Integrity</x:v>
      </x:c>
      <x:c r="C6" s="18" t="str">
        <x:v>Unauthorized record modification</x:v>
      </x:c>
      <x:c r="D6" s="18" t="str">
        <x:v>Excessive write permissions</x:v>
      </x:c>
      <x:c r="E6" s="18" t="str">
        <x:v>Least privilege and integrity monitoring</x:v>
      </x:c>
    </x:row>
    <x:row r="7">
      <x:c r="A7" s="18" t="str">
        <x:v>Tampering</x:v>
      </x:c>
      <x:c r="B7" s="18" t="str">
        <x:v>Integrity</x:v>
      </x:c>
      <x:c r="C7" s="18" t="str">
        <x:v>Configuration manipulation</x:v>
      </x:c>
      <x:c r="D7" s="18" t="str">
        <x:v>Uncontrolled administrative access</x:v>
      </x:c>
      <x:c r="E7" s="18" t="str">
        <x:v>Change approval and configuration monitoring</x:v>
      </x:c>
    </x:row>
    <x:row r="8">
      <x:c r="A8" s="18" t="str">
        <x:v>Repudiation</x:v>
      </x:c>
      <x:c r="B8" s="18" t="str">
        <x:v>Accountability</x:v>
      </x:c>
      <x:c r="C8" s="18" t="str">
        <x:v>User denies performing an action</x:v>
      </x:c>
      <x:c r="D8" s="18" t="str">
        <x:v>Missing audit context</x:v>
      </x:c>
      <x:c r="E8" s="18" t="str">
        <x:v>Immutable, time-synchronized logs</x:v>
      </x:c>
    </x:row>
    <x:row r="9">
      <x:c r="A9" s="18" t="str">
        <x:v>Repudiation</x:v>
      </x:c>
      <x:c r="B9" s="18" t="str">
        <x:v>Accountability</x:v>
      </x:c>
      <x:c r="C9" s="18" t="str">
        <x:v>Partner disputes API transaction</x:v>
      </x:c>
      <x:c r="D9" s="18" t="str">
        <x:v>No signed transaction record</x:v>
      </x:c>
      <x:c r="E9" s="18" t="str">
        <x:v>Unique transaction IDs and signed records</x:v>
      </x:c>
    </x:row>
    <x:row r="10">
      <x:c r="A10" s="18" t="str">
        <x:v>Information Disclosure</x:v>
      </x:c>
      <x:c r="B10" s="18" t="str">
        <x:v>Confidentiality</x:v>
      </x:c>
      <x:c r="C10" s="18" t="str">
        <x:v>Sensitive data in logs</x:v>
      </x:c>
      <x:c r="D10" s="18" t="str">
        <x:v>Over-logging</x:v>
      </x:c>
      <x:c r="E10" s="18" t="str">
        <x:v>Data minimization and redaction</x:v>
      </x:c>
    </x:row>
    <x:row r="11">
      <x:c r="A11" s="18" t="str">
        <x:v>Information Disclosure</x:v>
      </x:c>
      <x:c r="B11" s="18" t="str">
        <x:v>Confidentiality</x:v>
      </x:c>
      <x:c r="C11" s="18" t="str">
        <x:v>Secret exposed in repository</x:v>
      </x:c>
      <x:c r="D11" s="18" t="str">
        <x:v>Poor secret management</x:v>
      </x:c>
      <x:c r="E11" s="18" t="str">
        <x:v>Secret scanning and vaulting</x:v>
      </x:c>
    </x:row>
    <x:row r="12">
      <x:c r="A12" s="18" t="str">
        <x:v>Denial of Service</x:v>
      </x:c>
      <x:c r="B12" s="18" t="str">
        <x:v>Availability</x:v>
      </x:c>
      <x:c r="C12" s="18" t="str">
        <x:v>Request flooding</x:v>
      </x:c>
      <x:c r="D12" s="18" t="str">
        <x:v>No rate limiting</x:v>
      </x:c>
      <x:c r="E12" s="18" t="str">
        <x:v>Rate limits, CDN, and autoscaling</x:v>
      </x:c>
    </x:row>
    <x:row r="13">
      <x:c r="A13" s="18" t="str">
        <x:v>Denial of Service</x:v>
      </x:c>
      <x:c r="B13" s="18" t="str">
        <x:v>Availability</x:v>
      </x:c>
      <x:c r="C13" s="18" t="str">
        <x:v>Resource exhaustion</x:v>
      </x:c>
      <x:c r="D13" s="18" t="str">
        <x:v>Unbounded processing</x:v>
      </x:c>
      <x:c r="E13" s="18" t="str">
        <x:v>Quotas, timeouts, and queue limits</x:v>
      </x:c>
    </x:row>
    <x:row r="14">
      <x:c r="A14" s="18" t="str">
        <x:v>Elevation of Privilege</x:v>
      </x:c>
      <x:c r="B14" s="18" t="str">
        <x:v>Authorization</x:v>
      </x:c>
      <x:c r="C14" s="18" t="str">
        <x:v>Broken access control</x:v>
      </x:c>
      <x:c r="D14" s="18" t="str">
        <x:v>Missing server-side authorization</x:v>
      </x:c>
      <x:c r="E14" s="18" t="str">
        <x:v>Centralized authorization and tests</x:v>
      </x:c>
    </x:row>
    <x:row r="15">
      <x:c r="A15" s="18" t="str">
        <x:v>Elevation of Privilege</x:v>
      </x:c>
      <x:c r="B15" s="18" t="str">
        <x:v>Authorization</x:v>
      </x:c>
      <x:c r="C15" s="18" t="str">
        <x:v>Privilege assigned through misconfiguration</x:v>
      </x:c>
      <x:c r="D15" s="18" t="str">
        <x:v>Weak role governance</x:v>
      </x:c>
      <x:c r="E15" s="18" t="str">
        <x:v>Separation of duties and access reviews</x:v>
      </x:c>
    </x:row>
  </x:sheetData>
  <x:mergeCells>
    <x:mergeCell ref="A1:E1"/>
  </x:mergeCells>
  <x:pageMargins left="0.7" right="0.7" top="0.75" bottom="0.75" header="0.3" footer="0.3"/>
</x:worksheet>
</file>