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38126dccf46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d7602933f3c4f65"/>
    <x:sheet xmlns:r="http://schemas.openxmlformats.org/officeDocument/2006/relationships" name="Identity Inventory" sheetId="2" r:id="Read16f8423944cbe"/>
    <x:sheet xmlns:r="http://schemas.openxmlformats.org/officeDocument/2006/relationships" name="RBAC Matrix" sheetId="3" r:id="R3f03a282cfd34021"/>
    <x:sheet xmlns:r="http://schemas.openxmlformats.org/officeDocument/2006/relationships" name="JML Tracker" sheetId="4" r:id="R8b5ff1f7874f446c"/>
    <x:sheet xmlns:r="http://schemas.openxmlformats.org/officeDocument/2006/relationships" name="Access Reviews" sheetId="5" r:id="R0ad87a2d5c4a4ed2"/>
    <x:sheet xmlns:r="http://schemas.openxmlformats.org/officeDocument/2006/relationships" name="SoD Register" sheetId="6" r:id="Ref3b91566d33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9FAFB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df5c1d8094977" /><Relationship Type="http://schemas.openxmlformats.org/officeDocument/2006/relationships/theme" Target="/xl/theme/theme1.xml" Id="R8c17197b701042a8" /><Relationship Type="http://schemas.openxmlformats.org/officeDocument/2006/relationships/sharedStrings" Target="/xl/sharedStrings.xml" Id="R88269d03fc1c4cb5" /><Relationship Type="http://schemas.openxmlformats.org/officeDocument/2006/relationships/worksheet" Target="/xl/worksheets/sheet1.xml" Id="Rad7602933f3c4f65" /><Relationship Type="http://schemas.openxmlformats.org/officeDocument/2006/relationships/worksheet" Target="/xl/worksheets/sheet2.xml" Id="Read16f8423944cbe" /><Relationship Type="http://schemas.openxmlformats.org/officeDocument/2006/relationships/worksheet" Target="/xl/worksheets/sheet3.xml" Id="R3f03a282cfd34021" /><Relationship Type="http://schemas.openxmlformats.org/officeDocument/2006/relationships/worksheet" Target="/xl/worksheets/sheet4.xml" Id="R8b5ff1f7874f446c" /><Relationship Type="http://schemas.openxmlformats.org/officeDocument/2006/relationships/worksheet" Target="/xl/worksheets/sheet5.xml" Id="R0ad87a2d5c4a4ed2" /><Relationship Type="http://schemas.openxmlformats.org/officeDocument/2006/relationships/worksheet" Target="/xl/worksheets/sheet6.xml" Id="Ref3b91566d334e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b23eb95a804be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b23eb95a804be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29bc32181a4495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Identity &amp; Access Governance Planner Dashboard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Metric</x:v>
      </x:c>
      <x:c r="B3" s="10" t="str">
        <x:v>Value</x:v>
      </x:c>
      <x:c r="D3" s="10" t="str">
        <x:v>Sheet</x:v>
      </x:c>
      <x:c r="E3" s="10" t="str">
        <x:v>Records</x:v>
      </x:c>
    </x:row>
    <x:row r="4">
      <x:c r="A4" s="16" t="str">
        <x:v>Core Sheets</x:v>
      </x:c>
      <x:c r="B4" s="16" t="n">
        <x:v>5</x:v>
      </x:c>
      <x:c r="D4" t="str">
        <x:v>Identity Inventory</x:v>
      </x:c>
      <x:c r="E4" t="n">
        <x:f>COUNTIF('Identity Inventory'!A4:A303,"&lt;&gt;")</x:f>
        <x:v>3</x:v>
      </x:c>
    </x:row>
    <x:row r="5">
      <x:c r="A5" s="16" t="str">
        <x:v>Records Tracked</x:v>
      </x:c>
      <x:c r="B5" s="16" t="n">
        <x:f>COUNTIF('Identity Inventory'!A4:A303,"&lt;&gt;")+COUNTIF('RBAC Matrix'!A4:A303,"&lt;&gt;")+COUNTIF('JML Tracker'!A4:A303,"&lt;&gt;")+COUNTIF('Access Reviews'!A4:A303,"&lt;&gt;")+COUNTIF('SoD Register'!A4:A303,"&lt;&gt;")</x:f>
        <x:v>14</x:v>
      </x:c>
      <x:c r="D5" t="str">
        <x:v>RBAC Matrix</x:v>
      </x:c>
      <x:c r="E5" t="n">
        <x:f>COUNTIF('RBAC Matrix'!A4:A303,"&lt;&gt;")</x:f>
        <x:v>3</x:v>
      </x:c>
    </x:row>
    <x:row r="6">
      <x:c r="A6" s="16" t="str">
        <x:v>Open / Planned Items</x:v>
      </x:c>
      <x:c r="B6" s="16" t="n">
        <x:f>0</x:f>
        <x:v>0</x:v>
      </x:c>
      <x:c r="D6" t="str">
        <x:v>JML Tracker</x:v>
      </x:c>
      <x:c r="E6" t="n">
        <x:f>COUNTIF('JML Tracker'!A4:A303,"&lt;&gt;")</x:f>
        <x:v>3</x:v>
      </x:c>
    </x:row>
    <x:row r="7">
      <x:c r="A7" s="16" t="str">
        <x:v>High / Critical Items</x:v>
      </x:c>
      <x:c r="B7" s="16" t="n">
        <x:f>0</x:f>
        <x:v>0</x:v>
      </x:c>
      <x:c r="D7" t="str">
        <x:v>Access Reviews</x:v>
      </x:c>
      <x:c r="E7" t="n">
        <x:f>COUNTIF('Access Reviews'!A4:A303,"&lt;&gt;")</x:f>
        <x:v>3</x:v>
      </x:c>
    </x:row>
    <x:row r="8">
      <x:c r="A8" s="16" t="str">
        <x:v>Last Updated</x:v>
      </x:c>
      <x:c r="B8" s="20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229bc32181a44954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Identity Inventory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Identity ID</x:v>
      </x:c>
      <x:c r="B3" s="10" t="str">
        <x:v>Identity Type</x:v>
      </x:c>
      <x:c r="C3" s="10" t="str">
        <x:v>Name</x:v>
      </x:c>
      <x:c r="D3" s="10" t="str">
        <x:v>Department / Service</x:v>
      </x:c>
      <x:c r="E3" s="10" t="str">
        <x:v>Owner</x:v>
      </x:c>
      <x:c r="F3" s="10" t="str">
        <x:v>Privilege Level</x:v>
      </x:c>
      <x:c r="G3" s="10" t="str">
        <x:v>MFA</x:v>
      </x:c>
      <x:c r="H3" s="10" t="str">
        <x:v>Lifecycle Status</x:v>
      </x:c>
      <x:c r="I3" s="10" t="str">
        <x:v>Last Review</x:v>
      </x:c>
      <x:c r="J3" s="10" t="str">
        <x:v>Risk</x:v>
      </x:c>
    </x:row>
    <x:row r="4">
      <x:c r="A4" s="16" t="str">
        <x:v>ID-001</x:v>
      </x:c>
      <x:c r="B4" s="16" t="str">
        <x:v>Workforce</x:v>
      </x:c>
      <x:c r="C4" s="16" t="str">
        <x:v>Employee Sample</x:v>
      </x:c>
      <x:c r="D4" s="16" t="str">
        <x:v>Finance</x:v>
      </x:c>
      <x:c r="E4" s="16" t="str">
        <x:v>Finance Director</x:v>
      </x:c>
      <x:c r="F4" s="16" t="str">
        <x:v>Standard</x:v>
      </x:c>
      <x:c r="G4" s="16" t="str">
        <x:v>Yes</x:v>
      </x:c>
      <x:c r="H4" s="16" t="str">
        <x:v>Active</x:v>
      </x:c>
      <x:c r="I4" s="16" t="n">
        <x:v>46174</x:v>
      </x:c>
      <x:c r="J4" s="16" t="str">
        <x:v>Moderate</x:v>
      </x:c>
    </x:row>
    <x:row r="5">
      <x:c r="A5" s="16" t="str">
        <x:v>ID-002</x:v>
      </x:c>
      <x:c r="B5" s="16" t="str">
        <x:v>Privileged</x:v>
      </x:c>
      <x:c r="C5" s="16" t="str">
        <x:v>Admin Sample</x:v>
      </x:c>
      <x:c r="D5" s="16" t="str">
        <x:v>Security</x:v>
      </x:c>
      <x:c r="E5" s="16" t="str">
        <x:v>SOC Manager</x:v>
      </x:c>
      <x:c r="F5" s="16" t="str">
        <x:v>Privileged</x:v>
      </x:c>
      <x:c r="G5" s="16" t="str">
        <x:v>Phishing-resistant</x:v>
      </x:c>
      <x:c r="H5" s="16" t="str">
        <x:v>Active</x:v>
      </x:c>
      <x:c r="I5" s="16" t="n">
        <x:v>46188</x:v>
      </x:c>
      <x:c r="J5" s="16" t="str">
        <x:v>High</x:v>
      </x:c>
    </x:row>
    <x:row r="6">
      <x:c r="A6" s="16" t="str">
        <x:v>ID-003</x:v>
      </x:c>
      <x:c r="B6" s="16" t="str">
        <x:v>Service</x:v>
      </x:c>
      <x:c r="C6" s="16" t="str">
        <x:v>svc-app-prod</x:v>
      </x:c>
      <x:c r="D6" s="16" t="str">
        <x:v>Customer Portal</x:v>
      </x:c>
      <x:c r="E6" s="16" t="str">
        <x:v>Application Owner</x:v>
      </x:c>
      <x:c r="F6" s="16" t="str">
        <x:v>Elevated</x:v>
      </x:c>
      <x:c r="G6" s="16" t="str">
        <x:v>Certificate</x:v>
      </x:c>
      <x:c r="H6" s="16" t="str">
        <x:v>Active</x:v>
      </x:c>
      <x:c r="I6" s="16" t="n">
        <x:v>46162</x:v>
      </x:c>
      <x:c r="J6" s="16" t="str">
        <x:v>High</x:v>
      </x:c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RBAC Matrix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Role ID</x:v>
      </x:c>
      <x:c r="B3" s="10" t="str">
        <x:v>Role Name</x:v>
      </x:c>
      <x:c r="C3" s="10" t="str">
        <x:v>Business Function</x:v>
      </x:c>
      <x:c r="D3" s="10" t="str">
        <x:v>Applications</x:v>
      </x:c>
      <x:c r="E3" s="10" t="str">
        <x:v>Permissions</x:v>
      </x:c>
      <x:c r="F3" s="10" t="str">
        <x:v>Approver</x:v>
      </x:c>
      <x:c r="G3" s="10" t="str">
        <x:v>Review Frequency</x:v>
      </x:c>
      <x:c r="H3" s="10" t="str">
        <x:v>Users Assigned</x:v>
      </x:c>
      <x:c r="I3" s="10" t="str">
        <x:v>Risk</x:v>
      </x:c>
      <x:c r="J3" s="10" t="str">
        <x:v>Status</x:v>
      </x:c>
    </x:row>
    <x:row r="4">
      <x:c r="A4" s="16" t="str">
        <x:v>ROLE-001</x:v>
      </x:c>
      <x:c r="B4" s="16" t="str">
        <x:v>Finance Analyst</x:v>
      </x:c>
      <x:c r="C4" s="16" t="str">
        <x:v>Financial analysis</x:v>
      </x:c>
      <x:c r="D4" s="16" t="str">
        <x:v>ERP; BI</x:v>
      </x:c>
      <x:c r="E4" s="16" t="str">
        <x:v>Read reports; create analysis</x:v>
      </x:c>
      <x:c r="F4" s="16" t="str">
        <x:v>Finance Director</x:v>
      </x:c>
      <x:c r="G4" s="16" t="str">
        <x:v>Quarterly</x:v>
      </x:c>
      <x:c r="H4" s="16" t="n">
        <x:v>12</x:v>
      </x:c>
      <x:c r="I4" s="16" t="str">
        <x:v>Moderate</x:v>
      </x:c>
      <x:c r="J4" s="16" t="str">
        <x:v>Operational</x:v>
      </x:c>
    </x:row>
    <x:row r="5">
      <x:c r="A5" s="16" t="str">
        <x:v>ROLE-002</x:v>
      </x:c>
      <x:c r="B5" s="16" t="str">
        <x:v>SOC Analyst</x:v>
      </x:c>
      <x:c r="C5" s="16" t="str">
        <x:v>Security monitoring</x:v>
      </x:c>
      <x:c r="D5" s="16" t="str">
        <x:v>SIEM; EDR</x:v>
      </x:c>
      <x:c r="E5" s="16" t="str">
        <x:v>Investigate and escalate</x:v>
      </x:c>
      <x:c r="F5" s="16" t="str">
        <x:v>SOC Manager</x:v>
      </x:c>
      <x:c r="G5" s="16" t="str">
        <x:v>Quarterly</x:v>
      </x:c>
      <x:c r="H5" s="16" t="n">
        <x:v>8</x:v>
      </x:c>
      <x:c r="I5" s="16" t="str">
        <x:v>High</x:v>
      </x:c>
      <x:c r="J5" s="16" t="str">
        <x:v>Operational</x:v>
      </x:c>
    </x:row>
    <x:row r="6">
      <x:c r="A6" s="16" t="str">
        <x:v>ROLE-003</x:v>
      </x:c>
      <x:c r="B6" s="16" t="str">
        <x:v>Cloud Administrator</x:v>
      </x:c>
      <x:c r="C6" s="16" t="str">
        <x:v>Cloud operations</x:v>
      </x:c>
      <x:c r="D6" s="16" t="str">
        <x:v>Cloud console</x:v>
      </x:c>
      <x:c r="E6" s="16" t="str">
        <x:v>Administrative</x:v>
      </x:c>
      <x:c r="F6" s="16" t="str">
        <x:v>CIO Delegate</x:v>
      </x:c>
      <x:c r="G6" s="16" t="str">
        <x:v>Monthly</x:v>
      </x:c>
      <x:c r="H6" s="16" t="n">
        <x:v>4</x:v>
      </x:c>
      <x:c r="I6" s="16" t="str">
        <x:v>Critical</x:v>
      </x:c>
      <x:c r="J6" s="16" t="str">
        <x:v>Needs Review</x:v>
      </x:c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JML Tracker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Request ID</x:v>
      </x:c>
      <x:c r="B3" s="10" t="str">
        <x:v>Person</x:v>
      </x:c>
      <x:c r="C3" s="10" t="str">
        <x:v>Event</x:v>
      </x:c>
      <x:c r="D3" s="10" t="str">
        <x:v>Effective Date</x:v>
      </x:c>
      <x:c r="E3" s="10" t="str">
        <x:v>Required Access</x:v>
      </x:c>
      <x:c r="F3" s="10" t="str">
        <x:v>Removed Access</x:v>
      </x:c>
      <x:c r="G3" s="10" t="str">
        <x:v>Manager Approval</x:v>
      </x:c>
      <x:c r="H3" s="10" t="str">
        <x:v>Completed By</x:v>
      </x:c>
      <x:c r="I3" s="10" t="str">
        <x:v>Completed Date</x:v>
      </x:c>
      <x:c r="J3" s="10" t="str">
        <x:v>Status</x:v>
      </x:c>
    </x:row>
    <x:row r="4">
      <x:c r="A4" s="16" t="str">
        <x:v>JML-001</x:v>
      </x:c>
      <x:c r="B4" s="16" t="str">
        <x:v>Employee A</x:v>
      </x:c>
      <x:c r="C4" s="16" t="str">
        <x:v>Joiner</x:v>
      </x:c>
      <x:c r="D4" s="16" t="n">
        <x:v>46204</x:v>
      </x:c>
      <x:c r="E4" s="16" t="str">
        <x:v>Finance Analyst</x:v>
      </x:c>
      <x:c r="F4" s="16" t="str">
        <x:v>N/A</x:v>
      </x:c>
      <x:c r="G4" s="16" t="str">
        <x:v>Approved</x:v>
      </x:c>
      <x:c r="H4" s="16" t="str">
        <x:v>IAM Analyst</x:v>
      </x:c>
      <x:c r="I4" s="16" t="n">
        <x:v>46204</x:v>
      </x:c>
      <x:c r="J4" s="16" t="str">
        <x:v>Complete</x:v>
      </x:c>
    </x:row>
    <x:row r="5">
      <x:c r="A5" s="16" t="str">
        <x:v>JML-002</x:v>
      </x:c>
      <x:c r="B5" s="16" t="str">
        <x:v>Employee B</x:v>
      </x:c>
      <x:c r="C5" s="16" t="str">
        <x:v>Mover</x:v>
      </x:c>
      <x:c r="D5" s="16" t="n">
        <x:v>46211</x:v>
      </x:c>
      <x:c r="E5" s="16" t="str">
        <x:v>SOC Analyst</x:v>
      </x:c>
      <x:c r="F5" s="16" t="str">
        <x:v>Help Desk</x:v>
      </x:c>
      <x:c r="G5" s="16" t="str">
        <x:v>Approved</x:v>
      </x:c>
      <x:c r="H5" s="16" t="str">
        <x:v>IAM Analyst</x:v>
      </x:c>
      <x:c r="I5" s="16" t="n">
        <x:v>46211</x:v>
      </x:c>
      <x:c r="J5" s="16" t="str">
        <x:v>Complete</x:v>
      </x:c>
    </x:row>
    <x:row r="6">
      <x:c r="A6" s="16" t="str">
        <x:v>JML-003</x:v>
      </x:c>
      <x:c r="B6" s="16" t="str">
        <x:v>Employee C</x:v>
      </x:c>
      <x:c r="C6" s="16" t="str">
        <x:v>Leaver</x:v>
      </x:c>
      <x:c r="D6" s="16" t="n">
        <x:v>46218</x:v>
      </x:c>
      <x:c r="E6" s="16" t="str">
        <x:v>None</x:v>
      </x:c>
      <x:c r="F6" s="16" t="str">
        <x:v>All access</x:v>
      </x:c>
      <x:c r="G6" s="16" t="str">
        <x:v>Approved</x:v>
      </x:c>
      <x:c r="H6" s="16" t="str">
        <x:v>IAM Analyst</x:v>
      </x:c>
      <x:c r="I6" s="16"/>
      <x:c r="J6" s="16" t="str">
        <x:v>In Progress</x:v>
      </x:c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Access Reviews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Review ID</x:v>
      </x:c>
      <x:c r="B3" s="10" t="str">
        <x:v>Scope</x:v>
      </x:c>
      <x:c r="C3" s="10" t="str">
        <x:v>Reviewer</x:v>
      </x:c>
      <x:c r="D3" s="10" t="str">
        <x:v>Due Date</x:v>
      </x:c>
      <x:c r="E3" s="10" t="str">
        <x:v>Accounts</x:v>
      </x:c>
      <x:c r="F3" s="10" t="str">
        <x:v>Approved</x:v>
      </x:c>
      <x:c r="G3" s="10" t="str">
        <x:v>Removed</x:v>
      </x:c>
      <x:c r="H3" s="10" t="str">
        <x:v>Exceptions</x:v>
      </x:c>
      <x:c r="I3" s="10" t="str">
        <x:v>Completion %</x:v>
      </x:c>
      <x:c r="J3" s="10" t="str">
        <x:v>Status</x:v>
      </x:c>
    </x:row>
    <x:row r="4">
      <x:c r="A4" s="16" t="str">
        <x:v>AR-001</x:v>
      </x:c>
      <x:c r="B4" s="16" t="str">
        <x:v>Privileged cloud roles</x:v>
      </x:c>
      <x:c r="C4" s="16" t="str">
        <x:v>Cloud Security Lead</x:v>
      </x:c>
      <x:c r="D4" s="16" t="n">
        <x:v>46235</x:v>
      </x:c>
      <x:c r="E4" s="16" t="n">
        <x:v>18</x:v>
      </x:c>
      <x:c r="F4" s="16" t="n">
        <x:v>12</x:v>
      </x:c>
      <x:c r="G4" s="16" t="n">
        <x:v>3</x:v>
      </x:c>
      <x:c r="H4" s="16" t="n">
        <x:v>3</x:v>
      </x:c>
      <x:c r="I4" s="16" t="str"/>
      <x:c r="J4" s="16" t="str">
        <x:v>In Progress</x:v>
      </x:c>
    </x:row>
    <x:row r="5">
      <x:c r="A5" s="16" t="str">
        <x:v>AR-002</x:v>
      </x:c>
      <x:c r="B5" s="16" t="str">
        <x:v>Finance application access</x:v>
      </x:c>
      <x:c r="C5" s="16" t="str">
        <x:v>Finance Director</x:v>
      </x:c>
      <x:c r="D5" s="16" t="n">
        <x:v>46249</x:v>
      </x:c>
      <x:c r="E5" s="16" t="n">
        <x:v>42</x:v>
      </x:c>
      <x:c r="F5" s="16" t="n">
        <x:v>0</x:v>
      </x:c>
      <x:c r="G5" s="16" t="n">
        <x:v>0</x:v>
      </x:c>
      <x:c r="H5" s="16" t="n">
        <x:v>0</x:v>
      </x:c>
      <x:c r="I5" s="16" t="str"/>
      <x:c r="J5" s="16" t="str">
        <x:v>Not Started</x:v>
      </x:c>
    </x:row>
    <x:row r="6">
      <x:c r="A6" s="16" t="str">
        <x:v>AR-003</x:v>
      </x:c>
      <x:c r="B6" s="16" t="str">
        <x:v>Service accounts</x:v>
      </x:c>
      <x:c r="C6" s="16" t="str">
        <x:v>Application Owners</x:v>
      </x:c>
      <x:c r="D6" s="16" t="n">
        <x:v>46266</x:v>
      </x:c>
      <x:c r="E6" s="16" t="n">
        <x:v>27</x:v>
      </x:c>
      <x:c r="F6" s="16" t="n">
        <x:v>10</x:v>
      </x:c>
      <x:c r="G6" s="16" t="n">
        <x:v>2</x:v>
      </x:c>
      <x:c r="H6" s="16" t="n">
        <x:v>1</x:v>
      </x:c>
      <x:c r="I6" s="16" t="str"/>
      <x:c r="J6" s="16" t="str">
        <x:v>In Progress</x:v>
      </x:c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3" t="str">
        <x:v>SoD Register</x:v>
      </x:c>
      <x:c r="B1" s="3"/>
      <x:c r="C1" s="3"/>
      <x:c r="D1" s="3"/>
      <x:c r="E1" s="3"/>
      <x:c r="F1" s="3"/>
      <x:c r="G1" s="3"/>
      <x:c r="H1" s="3"/>
    </x:row>
    <x:row r="3">
      <x:c r="A3" s="10" t="str">
        <x:v>Conflict ID</x:v>
      </x:c>
      <x:c r="B3" s="10" t="str">
        <x:v>Role A</x:v>
      </x:c>
      <x:c r="C3" s="10" t="str">
        <x:v>Role B</x:v>
      </x:c>
      <x:c r="D3" s="10" t="str">
        <x:v>Conflict</x:v>
      </x:c>
      <x:c r="E3" s="10" t="str">
        <x:v>Risk</x:v>
      </x:c>
      <x:c r="F3" s="10" t="str">
        <x:v>Compensating Control</x:v>
      </x:c>
      <x:c r="G3" s="10" t="str">
        <x:v>Owner</x:v>
      </x:c>
      <x:c r="H3" s="10" t="str">
        <x:v>Status</x:v>
      </x:c>
    </x:row>
    <x:row r="4">
      <x:c r="A4" s="16" t="str">
        <x:v>SOD-001</x:v>
      </x:c>
      <x:c r="B4" s="16" t="str">
        <x:v>Payment Creator</x:v>
      </x:c>
      <x:c r="C4" s="16" t="str">
        <x:v>Payment Approver</x:v>
      </x:c>
      <x:c r="D4" s="16" t="str">
        <x:v>Same user can create and approve payments</x:v>
      </x:c>
      <x:c r="E4" s="16" t="str">
        <x:v>Critical</x:v>
      </x:c>
      <x:c r="F4" s="16" t="str">
        <x:v>Independent daily review</x:v>
      </x:c>
      <x:c r="G4" s="16" t="str">
        <x:v>Finance Director</x:v>
      </x:c>
      <x:c r="H4" s="16" t="str">
        <x:v>Open</x:v>
      </x:c>
    </x:row>
    <x:row r="5">
      <x:c r="A5" s="16" t="str">
        <x:v>SOD-002</x:v>
      </x:c>
      <x:c r="B5" s="16" t="str">
        <x:v>Cloud Administrator</x:v>
      </x:c>
      <x:c r="C5" s="16" t="str">
        <x:v>Security Auditor</x:v>
      </x:c>
      <x:c r="D5" s="16" t="str">
        <x:v>Administrator can alter evidence</x:v>
      </x:c>
      <x:c r="E5" s="16" t="str">
        <x:v>High</x:v>
      </x:c>
      <x:c r="F5" s="16" t="str">
        <x:v>Immutable logs and separate audit role</x:v>
      </x:c>
      <x:c r="G5" s="16" t="str">
        <x:v>CIO</x:v>
      </x:c>
      <x:c r="H5" s="16" t="str">
        <x:v>Mitigated</x:v>
      </x:c>
    </x:row>
    <x:row r="6">
      <x:c r="A6" s="16"/>
      <x:c r="B6" s="16"/>
      <x:c r="C6" s="16"/>
      <x:c r="D6" s="16"/>
      <x:c r="E6" s="16"/>
      <x:c r="F6" s="16"/>
      <x:c r="G6" s="16"/>
      <x:c r="H6" s="16"/>
    </x:row>
    <x:row r="7">
      <x:c r="A7" s="16"/>
      <x:c r="B7" s="16"/>
      <x:c r="C7" s="16"/>
      <x:c r="D7" s="16"/>
      <x:c r="E7" s="16"/>
      <x:c r="F7" s="16"/>
      <x:c r="G7" s="16"/>
      <x:c r="H7" s="16"/>
    </x:row>
    <x:row r="8">
      <x:c r="A8" s="16"/>
      <x:c r="B8" s="16"/>
      <x:c r="C8" s="16"/>
      <x:c r="D8" s="16"/>
      <x:c r="E8" s="16"/>
      <x:c r="F8" s="16"/>
      <x:c r="G8" s="16"/>
      <x:c r="H8" s="16"/>
    </x:row>
    <x:row r="9">
      <x:c r="A9" s="16"/>
      <x:c r="B9" s="16"/>
      <x:c r="C9" s="16"/>
      <x:c r="D9" s="16"/>
      <x:c r="E9" s="16"/>
      <x:c r="F9" s="16"/>
      <x:c r="G9" s="16"/>
      <x:c r="H9" s="16"/>
    </x:row>
    <x:row r="10">
      <x:c r="A10" s="16"/>
      <x:c r="B10" s="16"/>
      <x:c r="C10" s="16"/>
      <x:c r="D10" s="16"/>
      <x:c r="E10" s="16"/>
      <x:c r="F10" s="16"/>
      <x:c r="G10" s="16"/>
      <x:c r="H10" s="16"/>
    </x:row>
    <x:row r="11">
      <x:c r="A11" s="16"/>
      <x:c r="B11" s="16"/>
      <x:c r="C11" s="16"/>
      <x:c r="D11" s="16"/>
      <x:c r="E11" s="16"/>
      <x:c r="F11" s="16"/>
      <x:c r="G11" s="16"/>
      <x:c r="H11" s="16"/>
    </x:row>
    <x:row r="12">
      <x:c r="A12" s="16"/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  <x:row r="15">
      <x:c r="A15" s="16"/>
      <x:c r="B15" s="16"/>
      <x:c r="C15" s="16"/>
      <x:c r="D15" s="16"/>
      <x:c r="E15" s="16"/>
      <x:c r="F15" s="16"/>
      <x:c r="G15" s="16"/>
      <x:c r="H15" s="16"/>
    </x:row>
    <x:row r="16">
      <x:c r="A16" s="16"/>
      <x:c r="B16" s="16"/>
      <x:c r="C16" s="16"/>
      <x:c r="D16" s="16"/>
      <x:c r="E16" s="16"/>
      <x:c r="F16" s="16"/>
      <x:c r="G16" s="16"/>
      <x:c r="H16" s="16"/>
    </x:row>
    <x:row r="17">
      <x:c r="A17" s="16"/>
      <x:c r="B17" s="16"/>
      <x:c r="C17" s="16"/>
      <x:c r="D17" s="16"/>
      <x:c r="E17" s="16"/>
      <x:c r="F17" s="16"/>
      <x:c r="G17" s="16"/>
      <x:c r="H17" s="16"/>
    </x:row>
    <x:row r="18">
      <x:c r="A18" s="16"/>
      <x:c r="B18" s="16"/>
      <x:c r="C18" s="16"/>
      <x:c r="D18" s="16"/>
      <x:c r="E18" s="16"/>
      <x:c r="F18" s="16"/>
      <x:c r="G18" s="16"/>
      <x:c r="H18" s="16"/>
    </x:row>
    <x:row r="19">
      <x:c r="A19" s="16"/>
      <x:c r="B19" s="16"/>
      <x:c r="C19" s="16"/>
      <x:c r="D19" s="16"/>
      <x:c r="E19" s="16"/>
      <x:c r="F19" s="16"/>
      <x:c r="G19" s="16"/>
      <x:c r="H19" s="16"/>
    </x:row>
    <x:row r="20">
      <x:c r="A20" s="16"/>
      <x:c r="B20" s="16"/>
      <x:c r="C20" s="16"/>
      <x:c r="D20" s="16"/>
      <x:c r="E20" s="16"/>
      <x:c r="F20" s="16"/>
      <x:c r="G20" s="16"/>
      <x:c r="H20" s="16"/>
    </x:row>
  </x:sheetData>
  <x:mergeCells>
    <x:mergeCell ref="A1:H1"/>
  </x:mergeCells>
  <x:pageMargins left="0.7" right="0.7" top="0.75" bottom="0.75" header="0.3" footer="0.3"/>
</x:worksheet>
</file>