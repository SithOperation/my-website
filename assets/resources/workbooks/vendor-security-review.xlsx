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b6d90a9a2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1b1817e33014920"/>
    <x:sheet xmlns:r="http://schemas.openxmlformats.org/officeDocument/2006/relationships" name="Vendor Inventory" sheetId="2" r:id="R2f33c54774734d24"/>
    <x:sheet xmlns:r="http://schemas.openxmlformats.org/officeDocument/2006/relationships" name="Security Review" sheetId="3" r:id="R8041e7b29a2d4d59"/>
    <x:sheet xmlns:r="http://schemas.openxmlformats.org/officeDocument/2006/relationships" name="Findings" sheetId="4" r:id="R256654981a0d4848"/>
    <x:sheet xmlns:r="http://schemas.openxmlformats.org/officeDocument/2006/relationships" name="Evidence Register" sheetId="5" r:id="R9a1e1522de0c45a9"/>
    <x:sheet xmlns:r="http://schemas.openxmlformats.org/officeDocument/2006/relationships" name="Renewal Calendar" sheetId="6" r:id="R57d82c721ce7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7A1F1F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D96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005f1d1be437c" /><Relationship Type="http://schemas.openxmlformats.org/officeDocument/2006/relationships/theme" Target="/xl/theme/theme1.xml" Id="Rdfe0c07070444670" /><Relationship Type="http://schemas.openxmlformats.org/officeDocument/2006/relationships/sharedStrings" Target="/xl/sharedStrings.xml" Id="R8421d4f0c5b2405e" /><Relationship Type="http://schemas.openxmlformats.org/officeDocument/2006/relationships/worksheet" Target="/xl/worksheets/sheet1.xml" Id="R01b1817e33014920" /><Relationship Type="http://schemas.openxmlformats.org/officeDocument/2006/relationships/worksheet" Target="/xl/worksheets/sheet2.xml" Id="R2f33c54774734d24" /><Relationship Type="http://schemas.openxmlformats.org/officeDocument/2006/relationships/worksheet" Target="/xl/worksheets/sheet3.xml" Id="R8041e7b29a2d4d59" /><Relationship Type="http://schemas.openxmlformats.org/officeDocument/2006/relationships/worksheet" Target="/xl/worksheets/sheet4.xml" Id="R256654981a0d4848" /><Relationship Type="http://schemas.openxmlformats.org/officeDocument/2006/relationships/worksheet" Target="/xl/worksheets/sheet5.xml" Id="R9a1e1522de0c45a9" /><Relationship Type="http://schemas.openxmlformats.org/officeDocument/2006/relationships/worksheet" Target="/xl/worksheets/sheet6.xml" Id="R57d82c721ce740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2" hidden="0" customWidth="1"/>
  </x:cols>
  <x:sheetData>
    <x:row r="1">
      <x:c r="A1" s="4" t="str">
        <x:v>Vendor Security Review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Vendors</x:v>
      </x:c>
      <x:c r="B4" t="n">
        <x:f>COUNTIF('Vendor Inventory'!A4:A203,"&lt;&gt;")</x:f>
        <x:v>3</x:v>
      </x:c>
    </x:row>
    <x:row r="5">
      <x:c r="A5" t="str">
        <x:v>Critical Vendors</x:v>
      </x:c>
      <x:c r="B5" t="n">
        <x:f>COUNTIF('Vendor Inventory'!H4:H203,"Critical")</x:f>
        <x:v>1</x:v>
      </x:c>
    </x:row>
    <x:row r="6">
      <x:c r="A6" t="str">
        <x:v>Active Vendors</x:v>
      </x:c>
      <x:c r="B6" t="n">
        <x:f>COUNTIF('Vendor Inventory'!N4:N203,"Active")</x:f>
        <x:v>2</x:v>
      </x:c>
    </x:row>
    <x:row r="7">
      <x:c r="A7" t="str">
        <x:v>Open High/Critical Findings</x:v>
      </x:c>
      <x:c r="B7" t="n">
        <x:f>COUNTIFS('Findings'!D4:D203,"High",'Findings'!I4:I203,"&lt;&gt;Complete")+COUNTIFS('Findings'!D4:D203,"Critical",'Findings'!I4:I203,"&lt;&gt;Complete")</x:f>
        <x:v>2</x:v>
      </x:c>
    </x:row>
    <x:row r="8">
      <x:c r="A8" t="str">
        <x:v>Overdue Reviews</x:v>
      </x:c>
      <x:c r="B8" t="n">
        <x:f>COUNTIF('Renewal Calendar'!G4:G203,"Overdue")</x:f>
        <x:v>0</x:v>
      </x:c>
    </x:row>
    <x:row r="9">
      <x:c r="A9" t="str">
        <x:v>Due Within 30 Days</x:v>
      </x:c>
      <x:c r="B9" t="n">
        <x:f>COUNTIF('Renewal Calendar'!G4:G203,"Due Soon")</x:f>
        <x:v>1</x:v>
      </x:c>
    </x:row>
    <x:row r="10">
      <x:c r="A10" t="str">
        <x:v>Average Control Score</x:v>
      </x:c>
      <x:c r="B10" s="26" t="n">
        <x:f>IFERROR(AVERAGE('Security Review'!F4:F503),0)</x:f>
        <x:v>3.5</x:v>
      </x:c>
    </x:row>
    <x:row r="11">
      <x:c r="A11" t="str">
        <x:v>Incomplete Review Actions</x:v>
      </x:c>
      <x:c r="B11" t="n">
        <x:f>COUNTIF('Security Review'!P4:P503,"Not Started")+COUNTIF('Security Review'!P4:P503,"Planned")+COUNTIF('Security Review'!P4:P503,"In Progress")</x:f>
        <x:v>4</x:v>
      </x:c>
    </x:row>
    <x:row r="14">
      <x:c r="A14" s="12" t="str">
        <x:v>Review Domain</x:v>
      </x:c>
      <x:c r="B14" s="12" t="str">
        <x:v>Core Question</x:v>
      </x:c>
      <x:c r="C14" s="12" t="str">
        <x:v>Example Evidence</x:v>
      </x:c>
    </x:row>
    <x:row r="15">
      <x:c r="A15" t="str">
        <x:v>Governance</x:v>
      </x:c>
      <x:c r="B15" t="str">
        <x:v>Does the supplier manage security responsibilities and risk?</x:v>
      </x:c>
      <x:c r="C15" t="str">
        <x:v>Policies, roles, risk process</x:v>
      </x:c>
    </x:row>
    <x:row r="16">
      <x:c r="A16" t="str">
        <x:v>Identity</x:v>
      </x:c>
      <x:c r="B16" t="str">
        <x:v>Is access strong, approved, reviewed, and removed?</x:v>
      </x:c>
      <x:c r="C16" t="str">
        <x:v>MFA, role matrix, access reviews</x:v>
      </x:c>
    </x:row>
    <x:row r="17">
      <x:c r="A17" t="str">
        <x:v>Data Protection</x:v>
      </x:c>
      <x:c r="B17" t="str">
        <x:v>Is data minimized, encrypted, retained, and deleted?</x:v>
      </x:c>
      <x:c r="C17" t="str">
        <x:v>Architecture, encryption, deletion terms</x:v>
      </x:c>
    </x:row>
    <x:row r="18">
      <x:c r="A18" t="str">
        <x:v>Logging</x:v>
      </x:c>
      <x:c r="B18" t="str">
        <x:v>Can important activity be detected and reconstructed?</x:v>
      </x:c>
      <x:c r="C18" t="str">
        <x:v>Log descriptions, retention, alerts</x:v>
      </x:c>
    </x:row>
    <x:row r="19">
      <x:c r="A19" t="str">
        <x:v>Incident Response</x:v>
      </x:c>
      <x:c r="B19" t="str">
        <x:v>Will the supplier notify and coordinate promptly?</x:v>
      </x:c>
      <x:c r="C19" t="str">
        <x:v>Plan, contract language, exercise</x:v>
      </x:c>
    </x:row>
    <x:row r="20">
      <x:c r="A20" t="str">
        <x:v>Resilience</x:v>
      </x:c>
      <x:c r="B20" t="str">
        <x:v>Can the service recover within business needs?</x:v>
      </x:c>
      <x:c r="C20" t="str">
        <x:v>BCP, DR tests, RTO/RPO</x:v>
      </x:c>
    </x:row>
    <x:row r="21">
      <x:c r="A21" t="str">
        <x:v>Subprocessors</x:v>
      </x:c>
      <x:c r="B21" t="str">
        <x:v>Are downstream suppliers governed?</x:v>
      </x:c>
      <x:c r="C21" t="str">
        <x:v>List, due diligence, notice terms</x:v>
      </x:c>
    </x:row>
    <x:row r="22">
      <x:c r="A22" t="str">
        <x:v>Offboarding</x:v>
      </x:c>
      <x:c r="B22" t="str">
        <x:v>Can access and data be returned or destroyed?</x:v>
      </x:c>
      <x:c r="C22" t="str">
        <x:v>Exit plan, deletion certification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8" hidden="0" customWidth="1"/>
    <x:col min="4" max="4" width="20" hidden="0" customWidth="1"/>
    <x:col min="5" max="5" width="20" hidden="0" customWidth="1"/>
    <x:col min="6" max="6" width="28" hidden="0" customWidth="1"/>
    <x:col min="7" max="7" width="26" hidden="0" customWidth="1"/>
    <x:col min="8" max="8" width="13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16" hidden="0" customWidth="1"/>
  </x:cols>
  <x:sheetData>
    <x:row r="1">
      <x:c r="A1" s="4" t="str">
        <x:v>Third-Party Vendor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Vendor ID</x:v>
      </x:c>
      <x:c r="B3" s="12" t="str">
        <x:v>Vendor Name</x:v>
      </x:c>
      <x:c r="C3" s="12" t="str">
        <x:v>Service</x:v>
      </x:c>
      <x:c r="D3" s="12" t="str">
        <x:v>Business Owner</x:v>
      </x:c>
      <x:c r="E3" s="12" t="str">
        <x:v>Technical Owner</x:v>
      </x:c>
      <x:c r="F3" s="12" t="str">
        <x:v>Data Access</x:v>
      </x:c>
      <x:c r="G3" s="12" t="str">
        <x:v>Network / System Access</x:v>
      </x:c>
      <x:c r="H3" s="12" t="str">
        <x:v>Criticality</x:v>
      </x:c>
      <x:c r="I3" s="12" t="str">
        <x:v>Contract Start</x:v>
      </x:c>
      <x:c r="J3" s="12" t="str">
        <x:v>Contract End</x:v>
      </x:c>
      <x:c r="K3" s="12" t="str">
        <x:v>Review Frequency</x:v>
      </x:c>
      <x:c r="L3" s="12" t="str">
        <x:v>Last Review</x:v>
      </x:c>
      <x:c r="M3" s="12" t="str">
        <x:v>Next Review</x:v>
      </x:c>
      <x:c r="N3" s="12" t="str">
        <x:v>Status</x:v>
      </x:c>
    </x:row>
    <x:row r="4">
      <x:c r="A4" s="20" t="str">
        <x:v>V-001</x:v>
      </x:c>
      <x:c r="B4" s="20" t="str">
        <x:v>Example Payroll Cloud</x:v>
      </x:c>
      <x:c r="C4" s="20" t="str">
        <x:v>Payroll processing</x:v>
      </x:c>
      <x:c r="D4" s="20" t="str">
        <x:v>Finance Director</x:v>
      </x:c>
      <x:c r="E4" s="20" t="str">
        <x:v>HRIS Owner</x:v>
      </x:c>
      <x:c r="F4" s="20" t="str">
        <x:v>Restricted employee data</x:v>
      </x:c>
      <x:c r="G4" s="20" t="str">
        <x:v>API and SSO</x:v>
      </x:c>
      <x:c r="H4" s="20" t="str">
        <x:v>Critical</x:v>
      </x:c>
      <x:c r="I4" s="21" t="n">
        <x:v>45658</x:v>
      </x:c>
      <x:c r="J4" s="21" t="n">
        <x:v>46752</x:v>
      </x:c>
      <x:c r="K4" s="20" t="str">
        <x:v>Annual</x:v>
      </x:c>
      <x:c r="L4" s="21" t="n">
        <x:v>46037</x:v>
      </x:c>
      <x:c r="M4" s="21" t="n">
        <x:v>46402</x:v>
      </x:c>
      <x:c r="N4" s="20" t="str">
        <x:v>Active</x:v>
      </x:c>
    </x:row>
    <x:row r="5">
      <x:c r="A5" s="20" t="str">
        <x:v>V-002</x:v>
      </x:c>
      <x:c r="B5" s="20" t="str">
        <x:v>Example Analytics Service</x:v>
      </x:c>
      <x:c r="C5" s="20" t="str">
        <x:v>Website analytics</x:v>
      </x:c>
      <x:c r="D5" s="20" t="str">
        <x:v>Marketing Director</x:v>
      </x:c>
      <x:c r="E5" s="20" t="str">
        <x:v>Web Admin</x:v>
      </x:c>
      <x:c r="F5" s="20" t="str">
        <x:v>Usage and device data</x:v>
      </x:c>
      <x:c r="G5" s="20" t="str">
        <x:v>JavaScript integration</x:v>
      </x:c>
      <x:c r="H5" s="20" t="str">
        <x:v>Moderate</x:v>
      </x:c>
      <x:c r="I5" s="21" t="n">
        <x:v>46023</x:v>
      </x:c>
      <x:c r="J5" s="21" t="n">
        <x:v>46388</x:v>
      </x:c>
      <x:c r="K5" s="20" t="str">
        <x:v>Annual</x:v>
      </x:c>
      <x:c r="L5" s="21" t="n">
        <x:v>46027</x:v>
      </x:c>
      <x:c r="M5" s="21" t="n">
        <x:v>46392</x:v>
      </x:c>
      <x:c r="N5" s="20" t="str">
        <x:v>Active</x:v>
      </x:c>
    </x:row>
    <x:row r="6">
      <x:c r="A6" s="20" t="str">
        <x:v>V-003</x:v>
      </x:c>
      <x:c r="B6" s="20" t="str">
        <x:v>Example Maintenance Co.</x:v>
      </x:c>
      <x:c r="C6" s="20" t="str">
        <x:v>Building maintenance</x:v>
      </x:c>
      <x:c r="D6" s="20" t="str">
        <x:v>Facilities Manager</x:v>
      </x:c>
      <x:c r="E6" s="20" t="str">
        <x:v>Facilities IT</x:v>
      </x:c>
      <x:c r="F6" s="20" t="str">
        <x:v>Visitor and facility information</x:v>
      </x:c>
      <x:c r="G6" s="20" t="str">
        <x:v>Limited portal</x:v>
      </x:c>
      <x:c r="H6" s="20" t="str">
        <x:v>High</x:v>
      </x:c>
      <x:c r="I6" s="21" t="n">
        <x:v>45839</x:v>
      </x:c>
      <x:c r="J6" s="21" t="n">
        <x:v>46265</x:v>
      </x:c>
      <x:c r="K6" s="20" t="str">
        <x:v>Annual</x:v>
      </x:c>
      <x:c r="L6" s="21" t="n">
        <x:v>45870</x:v>
      </x:c>
      <x:c r="M6" s="21" t="n">
        <x:v>46235</x:v>
      </x:c>
      <x:c r="N6" s="20" t="str">
        <x:v>Renewal Review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1"/>
      <x:c r="J7" s="21"/>
      <x:c r="K7" s="20"/>
      <x:c r="L7" s="21"/>
      <x:c r="M7" s="21"/>
      <x:c r="N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1"/>
      <x:c r="J8" s="21"/>
      <x:c r="K8" s="20"/>
      <x:c r="L8" s="21"/>
      <x:c r="M8" s="21"/>
      <x:c r="N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1"/>
      <x:c r="J9" s="21"/>
      <x:c r="K9" s="20"/>
      <x:c r="L9" s="21"/>
      <x:c r="M9" s="21"/>
      <x:c r="N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1"/>
      <x:c r="J10" s="21"/>
      <x:c r="K10" s="20"/>
      <x:c r="L10" s="21"/>
      <x:c r="M10" s="21"/>
      <x:c r="N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1"/>
      <x:c r="J11" s="21"/>
      <x:c r="K11" s="20"/>
      <x:c r="L11" s="21"/>
      <x:c r="M11" s="21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1"/>
      <x:c r="J12" s="21"/>
      <x:c r="K12" s="20"/>
      <x:c r="L12" s="21"/>
      <x:c r="M12" s="21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1"/>
      <x:c r="J13" s="21"/>
      <x:c r="K13" s="20"/>
      <x:c r="L13" s="21"/>
      <x:c r="M13" s="21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1"/>
      <x:c r="J14" s="21"/>
      <x:c r="K14" s="20"/>
      <x:c r="L14" s="21"/>
      <x:c r="M14" s="21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1"/>
      <x:c r="J15" s="21"/>
      <x:c r="K15" s="20"/>
      <x:c r="L15" s="21"/>
      <x:c r="M15" s="21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1"/>
      <x:c r="J16" s="21"/>
      <x:c r="K16" s="20"/>
      <x:c r="L16" s="21"/>
      <x:c r="M16" s="21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1"/>
      <x:c r="J17" s="21"/>
      <x:c r="K17" s="20"/>
      <x:c r="L17" s="21"/>
      <x:c r="M17" s="21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1"/>
      <x:c r="J18" s="21"/>
      <x:c r="K18" s="20"/>
      <x:c r="L18" s="21"/>
      <x:c r="M18" s="21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1"/>
      <x:c r="J19" s="21"/>
      <x:c r="K19" s="20"/>
      <x:c r="L19" s="21"/>
      <x:c r="M19" s="21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1"/>
      <x:c r="J20" s="21"/>
      <x:c r="K20" s="20"/>
      <x:c r="L20" s="21"/>
      <x:c r="M20" s="21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1"/>
      <x:c r="J21" s="21"/>
      <x:c r="K21" s="20"/>
      <x:c r="L21" s="21"/>
      <x:c r="M21" s="21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1"/>
      <x:c r="J22" s="21"/>
      <x:c r="K22" s="20"/>
      <x:c r="L22" s="21"/>
      <x:c r="M22" s="21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1"/>
      <x:c r="J23" s="21"/>
      <x:c r="K23" s="20"/>
      <x:c r="L23" s="21"/>
      <x:c r="M23" s="21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1"/>
      <x:c r="J24" s="21"/>
      <x:c r="K24" s="20"/>
      <x:c r="L24" s="21"/>
      <x:c r="M24" s="21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1"/>
      <x:c r="J25" s="21"/>
      <x:c r="K25" s="20"/>
      <x:c r="L25" s="21"/>
      <x:c r="M25" s="21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1"/>
      <x:c r="J26" s="21"/>
      <x:c r="K26" s="20"/>
      <x:c r="L26" s="21"/>
      <x:c r="M26" s="21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1"/>
      <x:c r="J27" s="21"/>
      <x:c r="K27" s="20"/>
      <x:c r="L27" s="21"/>
      <x:c r="M27" s="21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1"/>
      <x:c r="J28" s="21"/>
      <x:c r="K28" s="20"/>
      <x:c r="L28" s="21"/>
      <x:c r="M28" s="21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1"/>
      <x:c r="J29" s="21"/>
      <x:c r="K29" s="20"/>
      <x:c r="L29" s="21"/>
      <x:c r="M29" s="21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1"/>
      <x:c r="J30" s="21"/>
      <x:c r="K30" s="20"/>
      <x:c r="L30" s="21"/>
      <x:c r="M30" s="21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1"/>
      <x:c r="J31" s="21"/>
      <x:c r="K31" s="20"/>
      <x:c r="L31" s="21"/>
      <x:c r="M31" s="21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1"/>
      <x:c r="J32" s="21"/>
      <x:c r="K32" s="20"/>
      <x:c r="L32" s="21"/>
      <x:c r="M32" s="21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1"/>
      <x:c r="J33" s="21"/>
      <x:c r="K33" s="20"/>
      <x:c r="L33" s="21"/>
      <x:c r="M33" s="21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1"/>
      <x:c r="J34" s="21"/>
      <x:c r="K34" s="20"/>
      <x:c r="L34" s="21"/>
      <x:c r="M34" s="21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1"/>
      <x:c r="J35" s="21"/>
      <x:c r="K35" s="20"/>
      <x:c r="L35" s="21"/>
      <x:c r="M35" s="21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1"/>
      <x:c r="J36" s="21"/>
      <x:c r="K36" s="20"/>
      <x:c r="L36" s="21"/>
      <x:c r="M36" s="21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1"/>
      <x:c r="J37" s="21"/>
      <x:c r="K37" s="20"/>
      <x:c r="L37" s="21"/>
      <x:c r="M37" s="21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1"/>
      <x:c r="J38" s="21"/>
      <x:c r="K38" s="20"/>
      <x:c r="L38" s="21"/>
      <x:c r="M38" s="21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1"/>
      <x:c r="J39" s="21"/>
      <x:c r="K39" s="20"/>
      <x:c r="L39" s="21"/>
      <x:c r="M39" s="21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1"/>
      <x:c r="J40" s="21"/>
      <x:c r="K40" s="20"/>
      <x:c r="L40" s="21"/>
      <x:c r="M40" s="21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1"/>
      <x:c r="J41" s="21"/>
      <x:c r="K41" s="20"/>
      <x:c r="L41" s="21"/>
      <x:c r="M41" s="21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1"/>
      <x:c r="J42" s="21"/>
      <x:c r="K42" s="20"/>
      <x:c r="L42" s="21"/>
      <x:c r="M42" s="21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1"/>
      <x:c r="J43" s="21"/>
      <x:c r="K43" s="20"/>
      <x:c r="L43" s="21"/>
      <x:c r="M43" s="21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1"/>
      <x:c r="J44" s="21"/>
      <x:c r="K44" s="20"/>
      <x:c r="L44" s="21"/>
      <x:c r="M44" s="21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1"/>
      <x:c r="J45" s="21"/>
      <x:c r="K45" s="20"/>
      <x:c r="L45" s="21"/>
      <x:c r="M45" s="21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1"/>
      <x:c r="J46" s="21"/>
      <x:c r="K46" s="20"/>
      <x:c r="L46" s="21"/>
      <x:c r="M46" s="21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1"/>
      <x:c r="J47" s="21"/>
      <x:c r="K47" s="20"/>
      <x:c r="L47" s="21"/>
      <x:c r="M47" s="21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1"/>
      <x:c r="J48" s="21"/>
      <x:c r="K48" s="20"/>
      <x:c r="L48" s="21"/>
      <x:c r="M48" s="21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1"/>
      <x:c r="J49" s="21"/>
      <x:c r="K49" s="20"/>
      <x:c r="L49" s="21"/>
      <x:c r="M49" s="21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1"/>
      <x:c r="J50" s="21"/>
      <x:c r="K50" s="20"/>
      <x:c r="L50" s="21"/>
      <x:c r="M50" s="21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1"/>
      <x:c r="J51" s="21"/>
      <x:c r="K51" s="20"/>
      <x:c r="L51" s="21"/>
      <x:c r="M51" s="21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1"/>
      <x:c r="J52" s="21"/>
      <x:c r="K52" s="20"/>
      <x:c r="L52" s="21"/>
      <x:c r="M52" s="21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1"/>
      <x:c r="J53" s="21"/>
      <x:c r="K53" s="20"/>
      <x:c r="L53" s="21"/>
      <x:c r="M53" s="21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1"/>
      <x:c r="J54" s="21"/>
      <x:c r="K54" s="20"/>
      <x:c r="L54" s="21"/>
      <x:c r="M54" s="21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1"/>
      <x:c r="J55" s="21"/>
      <x:c r="K55" s="20"/>
      <x:c r="L55" s="21"/>
      <x:c r="M55" s="21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1"/>
      <x:c r="J56" s="21"/>
      <x:c r="K56" s="20"/>
      <x:c r="L56" s="21"/>
      <x:c r="M56" s="21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1"/>
      <x:c r="J57" s="21"/>
      <x:c r="K57" s="20"/>
      <x:c r="L57" s="21"/>
      <x:c r="M57" s="21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1"/>
      <x:c r="J58" s="21"/>
      <x:c r="K58" s="20"/>
      <x:c r="L58" s="21"/>
      <x:c r="M58" s="21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1"/>
      <x:c r="J59" s="21"/>
      <x:c r="K59" s="20"/>
      <x:c r="L59" s="21"/>
      <x:c r="M59" s="21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1"/>
      <x:c r="J60" s="21"/>
      <x:c r="K60" s="20"/>
      <x:c r="L60" s="21"/>
      <x:c r="M60" s="21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1"/>
      <x:c r="J61" s="21"/>
      <x:c r="K61" s="20"/>
      <x:c r="L61" s="21"/>
      <x:c r="M61" s="21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1"/>
      <x:c r="J62" s="21"/>
      <x:c r="K62" s="20"/>
      <x:c r="L62" s="21"/>
      <x:c r="M62" s="21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1"/>
      <x:c r="J63" s="21"/>
      <x:c r="K63" s="20"/>
      <x:c r="L63" s="21"/>
      <x:c r="M63" s="21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1"/>
      <x:c r="J64" s="21"/>
      <x:c r="K64" s="20"/>
      <x:c r="L64" s="21"/>
      <x:c r="M64" s="21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1"/>
      <x:c r="J65" s="21"/>
      <x:c r="K65" s="20"/>
      <x:c r="L65" s="21"/>
      <x:c r="M65" s="21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1"/>
      <x:c r="J66" s="21"/>
      <x:c r="K66" s="20"/>
      <x:c r="L66" s="21"/>
      <x:c r="M66" s="21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1"/>
      <x:c r="J67" s="21"/>
      <x:c r="K67" s="20"/>
      <x:c r="L67" s="21"/>
      <x:c r="M67" s="21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1"/>
      <x:c r="J68" s="21"/>
      <x:c r="K68" s="20"/>
      <x:c r="L68" s="21"/>
      <x:c r="M68" s="21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1"/>
      <x:c r="J69" s="21"/>
      <x:c r="K69" s="20"/>
      <x:c r="L69" s="21"/>
      <x:c r="M69" s="21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1"/>
      <x:c r="J70" s="21"/>
      <x:c r="K70" s="20"/>
      <x:c r="L70" s="21"/>
      <x:c r="M70" s="21"/>
      <x:c r="N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1"/>
      <x:c r="J71" s="21"/>
      <x:c r="K71" s="20"/>
      <x:c r="L71" s="21"/>
      <x:c r="M71" s="21"/>
      <x:c r="N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1"/>
      <x:c r="J72" s="21"/>
      <x:c r="K72" s="20"/>
      <x:c r="L72" s="21"/>
      <x:c r="M72" s="21"/>
      <x:c r="N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1"/>
      <x:c r="J73" s="21"/>
      <x:c r="K73" s="20"/>
      <x:c r="L73" s="21"/>
      <x:c r="M73" s="21"/>
      <x:c r="N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1"/>
      <x:c r="J74" s="21"/>
      <x:c r="K74" s="20"/>
      <x:c r="L74" s="21"/>
      <x:c r="M74" s="21"/>
      <x:c r="N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1"/>
      <x:c r="J75" s="21"/>
      <x:c r="K75" s="20"/>
      <x:c r="L75" s="21"/>
      <x:c r="M75" s="21"/>
      <x:c r="N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1"/>
      <x:c r="J76" s="21"/>
      <x:c r="K76" s="20"/>
      <x:c r="L76" s="21"/>
      <x:c r="M76" s="21"/>
      <x:c r="N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1"/>
      <x:c r="J77" s="21"/>
      <x:c r="K77" s="20"/>
      <x:c r="L77" s="21"/>
      <x:c r="M77" s="21"/>
      <x:c r="N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1"/>
      <x:c r="J78" s="21"/>
      <x:c r="K78" s="20"/>
      <x:c r="L78" s="21"/>
      <x:c r="M78" s="21"/>
      <x:c r="N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1"/>
      <x:c r="J79" s="21"/>
      <x:c r="K79" s="20"/>
      <x:c r="L79" s="21"/>
      <x:c r="M79" s="21"/>
      <x:c r="N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1"/>
      <x:c r="J80" s="21"/>
      <x:c r="K80" s="20"/>
      <x:c r="L80" s="21"/>
      <x:c r="M80" s="21"/>
      <x:c r="N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1"/>
      <x:c r="J81" s="21"/>
      <x:c r="K81" s="20"/>
      <x:c r="L81" s="21"/>
      <x:c r="M81" s="21"/>
      <x:c r="N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1"/>
      <x:c r="J82" s="21"/>
      <x:c r="K82" s="20"/>
      <x:c r="L82" s="21"/>
      <x:c r="M82" s="21"/>
      <x:c r="N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1"/>
      <x:c r="J83" s="21"/>
      <x:c r="K83" s="20"/>
      <x:c r="L83" s="21"/>
      <x:c r="M83" s="21"/>
      <x:c r="N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1"/>
      <x:c r="J84" s="21"/>
      <x:c r="K84" s="20"/>
      <x:c r="L84" s="21"/>
      <x:c r="M84" s="21"/>
      <x:c r="N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1"/>
      <x:c r="J85" s="21"/>
      <x:c r="K85" s="20"/>
      <x:c r="L85" s="21"/>
      <x:c r="M85" s="21"/>
      <x:c r="N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1"/>
      <x:c r="J86" s="21"/>
      <x:c r="K86" s="20"/>
      <x:c r="L86" s="21"/>
      <x:c r="M86" s="21"/>
      <x:c r="N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1"/>
      <x:c r="J87" s="21"/>
      <x:c r="K87" s="20"/>
      <x:c r="L87" s="21"/>
      <x:c r="M87" s="21"/>
      <x:c r="N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1"/>
      <x:c r="J88" s="21"/>
      <x:c r="K88" s="20"/>
      <x:c r="L88" s="21"/>
      <x:c r="M88" s="21"/>
      <x:c r="N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1"/>
      <x:c r="J89" s="21"/>
      <x:c r="K89" s="20"/>
      <x:c r="L89" s="21"/>
      <x:c r="M89" s="21"/>
      <x:c r="N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1"/>
      <x:c r="J90" s="21"/>
      <x:c r="K90" s="20"/>
      <x:c r="L90" s="21"/>
      <x:c r="M90" s="21"/>
      <x:c r="N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1"/>
      <x:c r="J91" s="21"/>
      <x:c r="K91" s="20"/>
      <x:c r="L91" s="21"/>
      <x:c r="M91" s="21"/>
      <x:c r="N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1"/>
      <x:c r="J92" s="21"/>
      <x:c r="K92" s="20"/>
      <x:c r="L92" s="21"/>
      <x:c r="M92" s="21"/>
      <x:c r="N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1"/>
      <x:c r="J93" s="21"/>
      <x:c r="K93" s="20"/>
      <x:c r="L93" s="21"/>
      <x:c r="M93" s="21"/>
      <x:c r="N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1"/>
      <x:c r="J94" s="21"/>
      <x:c r="K94" s="20"/>
      <x:c r="L94" s="21"/>
      <x:c r="M94" s="21"/>
      <x:c r="N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1"/>
      <x:c r="J95" s="21"/>
      <x:c r="K95" s="20"/>
      <x:c r="L95" s="21"/>
      <x:c r="M95" s="21"/>
      <x:c r="N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1"/>
      <x:c r="J96" s="21"/>
      <x:c r="K96" s="20"/>
      <x:c r="L96" s="21"/>
      <x:c r="M96" s="21"/>
      <x:c r="N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1"/>
      <x:c r="J97" s="21"/>
      <x:c r="K97" s="20"/>
      <x:c r="L97" s="21"/>
      <x:c r="M97" s="21"/>
      <x:c r="N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1"/>
      <x:c r="J98" s="21"/>
      <x:c r="K98" s="20"/>
      <x:c r="L98" s="21"/>
      <x:c r="M98" s="21"/>
      <x:c r="N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1"/>
      <x:c r="J99" s="21"/>
      <x:c r="K99" s="20"/>
      <x:c r="L99" s="21"/>
      <x:c r="M99" s="21"/>
      <x:c r="N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1"/>
      <x:c r="J100" s="21"/>
      <x:c r="K100" s="20"/>
      <x:c r="L100" s="21"/>
      <x:c r="M100" s="21"/>
      <x:c r="N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1"/>
      <x:c r="J101" s="21"/>
      <x:c r="K101" s="20"/>
      <x:c r="L101" s="21"/>
      <x:c r="M101" s="21"/>
      <x:c r="N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1"/>
      <x:c r="J102" s="21"/>
      <x:c r="K102" s="20"/>
      <x:c r="L102" s="21"/>
      <x:c r="M102" s="21"/>
      <x:c r="N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1"/>
      <x:c r="J103" s="21"/>
      <x:c r="K103" s="20"/>
      <x:c r="L103" s="21"/>
      <x:c r="M103" s="21"/>
      <x:c r="N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1"/>
      <x:c r="J104" s="21"/>
      <x:c r="K104" s="20"/>
      <x:c r="L104" s="21"/>
      <x:c r="M104" s="21"/>
      <x:c r="N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1"/>
      <x:c r="J105" s="21"/>
      <x:c r="K105" s="20"/>
      <x:c r="L105" s="21"/>
      <x:c r="M105" s="21"/>
      <x:c r="N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1"/>
      <x:c r="J106" s="21"/>
      <x:c r="K106" s="20"/>
      <x:c r="L106" s="21"/>
      <x:c r="M106" s="21"/>
      <x:c r="N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1"/>
      <x:c r="J107" s="21"/>
      <x:c r="K107" s="20"/>
      <x:c r="L107" s="21"/>
      <x:c r="M107" s="21"/>
      <x:c r="N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1"/>
      <x:c r="J108" s="21"/>
      <x:c r="K108" s="20"/>
      <x:c r="L108" s="21"/>
      <x:c r="M108" s="21"/>
      <x:c r="N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1"/>
      <x:c r="J109" s="21"/>
      <x:c r="K109" s="20"/>
      <x:c r="L109" s="21"/>
      <x:c r="M109" s="21"/>
      <x:c r="N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1"/>
      <x:c r="J110" s="21"/>
      <x:c r="K110" s="20"/>
      <x:c r="L110" s="21"/>
      <x:c r="M110" s="21"/>
      <x:c r="N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1"/>
      <x:c r="J111" s="21"/>
      <x:c r="K111" s="20"/>
      <x:c r="L111" s="21"/>
      <x:c r="M111" s="21"/>
      <x:c r="N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1"/>
      <x:c r="J112" s="21"/>
      <x:c r="K112" s="20"/>
      <x:c r="L112" s="21"/>
      <x:c r="M112" s="21"/>
      <x:c r="N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1"/>
      <x:c r="J113" s="21"/>
      <x:c r="K113" s="20"/>
      <x:c r="L113" s="21"/>
      <x:c r="M113" s="21"/>
      <x:c r="N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1"/>
      <x:c r="J114" s="21"/>
      <x:c r="K114" s="20"/>
      <x:c r="L114" s="21"/>
      <x:c r="M114" s="21"/>
      <x:c r="N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1"/>
      <x:c r="J115" s="21"/>
      <x:c r="K115" s="20"/>
      <x:c r="L115" s="21"/>
      <x:c r="M115" s="21"/>
      <x:c r="N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1"/>
      <x:c r="J116" s="21"/>
      <x:c r="K116" s="20"/>
      <x:c r="L116" s="21"/>
      <x:c r="M116" s="21"/>
      <x:c r="N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1"/>
      <x:c r="J117" s="21"/>
      <x:c r="K117" s="20"/>
      <x:c r="L117" s="21"/>
      <x:c r="M117" s="21"/>
      <x:c r="N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1"/>
      <x:c r="J118" s="21"/>
      <x:c r="K118" s="20"/>
      <x:c r="L118" s="21"/>
      <x:c r="M118" s="21"/>
      <x:c r="N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1"/>
      <x:c r="J119" s="21"/>
      <x:c r="K119" s="20"/>
      <x:c r="L119" s="21"/>
      <x:c r="M119" s="21"/>
      <x:c r="N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1"/>
      <x:c r="J120" s="21"/>
      <x:c r="K120" s="20"/>
      <x:c r="L120" s="21"/>
      <x:c r="M120" s="21"/>
      <x:c r="N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1"/>
      <x:c r="J121" s="21"/>
      <x:c r="K121" s="20"/>
      <x:c r="L121" s="21"/>
      <x:c r="M121" s="21"/>
      <x:c r="N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1"/>
      <x:c r="J122" s="21"/>
      <x:c r="K122" s="20"/>
      <x:c r="L122" s="21"/>
      <x:c r="M122" s="21"/>
      <x:c r="N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1"/>
      <x:c r="J123" s="21"/>
      <x:c r="K123" s="20"/>
      <x:c r="L123" s="21"/>
      <x:c r="M123" s="21"/>
      <x:c r="N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1"/>
      <x:c r="J124" s="21"/>
      <x:c r="K124" s="20"/>
      <x:c r="L124" s="21"/>
      <x:c r="M124" s="21"/>
      <x:c r="N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1"/>
      <x:c r="J125" s="21"/>
      <x:c r="K125" s="20"/>
      <x:c r="L125" s="21"/>
      <x:c r="M125" s="21"/>
      <x:c r="N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1"/>
      <x:c r="J126" s="21"/>
      <x:c r="K126" s="20"/>
      <x:c r="L126" s="21"/>
      <x:c r="M126" s="21"/>
      <x:c r="N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1"/>
      <x:c r="J127" s="21"/>
      <x:c r="K127" s="20"/>
      <x:c r="L127" s="21"/>
      <x:c r="M127" s="21"/>
      <x:c r="N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1"/>
      <x:c r="J128" s="21"/>
      <x:c r="K128" s="20"/>
      <x:c r="L128" s="21"/>
      <x:c r="M128" s="21"/>
      <x:c r="N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1"/>
      <x:c r="J129" s="21"/>
      <x:c r="K129" s="20"/>
      <x:c r="L129" s="21"/>
      <x:c r="M129" s="21"/>
      <x:c r="N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1"/>
      <x:c r="J130" s="21"/>
      <x:c r="K130" s="20"/>
      <x:c r="L130" s="21"/>
      <x:c r="M130" s="21"/>
      <x:c r="N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1"/>
      <x:c r="J131" s="21"/>
      <x:c r="K131" s="20"/>
      <x:c r="L131" s="21"/>
      <x:c r="M131" s="21"/>
      <x:c r="N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1"/>
      <x:c r="J132" s="21"/>
      <x:c r="K132" s="20"/>
      <x:c r="L132" s="21"/>
      <x:c r="M132" s="21"/>
      <x:c r="N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1"/>
      <x:c r="J133" s="21"/>
      <x:c r="K133" s="20"/>
      <x:c r="L133" s="21"/>
      <x:c r="M133" s="21"/>
      <x:c r="N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1"/>
      <x:c r="J134" s="21"/>
      <x:c r="K134" s="20"/>
      <x:c r="L134" s="21"/>
      <x:c r="M134" s="21"/>
      <x:c r="N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1"/>
      <x:c r="J135" s="21"/>
      <x:c r="K135" s="20"/>
      <x:c r="L135" s="21"/>
      <x:c r="M135" s="21"/>
      <x:c r="N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1"/>
      <x:c r="J136" s="21"/>
      <x:c r="K136" s="20"/>
      <x:c r="L136" s="21"/>
      <x:c r="M136" s="21"/>
      <x:c r="N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1"/>
      <x:c r="J137" s="21"/>
      <x:c r="K137" s="20"/>
      <x:c r="L137" s="21"/>
      <x:c r="M137" s="21"/>
      <x:c r="N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1"/>
      <x:c r="J138" s="21"/>
      <x:c r="K138" s="20"/>
      <x:c r="L138" s="21"/>
      <x:c r="M138" s="21"/>
      <x:c r="N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1"/>
      <x:c r="J139" s="21"/>
      <x:c r="K139" s="20"/>
      <x:c r="L139" s="21"/>
      <x:c r="M139" s="21"/>
      <x:c r="N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1"/>
      <x:c r="J140" s="21"/>
      <x:c r="K140" s="20"/>
      <x:c r="L140" s="21"/>
      <x:c r="M140" s="21"/>
      <x:c r="N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1"/>
      <x:c r="J141" s="21"/>
      <x:c r="K141" s="20"/>
      <x:c r="L141" s="21"/>
      <x:c r="M141" s="21"/>
      <x:c r="N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1"/>
      <x:c r="J142" s="21"/>
      <x:c r="K142" s="20"/>
      <x:c r="L142" s="21"/>
      <x:c r="M142" s="21"/>
      <x:c r="N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1"/>
      <x:c r="J143" s="21"/>
      <x:c r="K143" s="20"/>
      <x:c r="L143" s="21"/>
      <x:c r="M143" s="21"/>
      <x:c r="N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1"/>
      <x:c r="J144" s="21"/>
      <x:c r="K144" s="20"/>
      <x:c r="L144" s="21"/>
      <x:c r="M144" s="21"/>
      <x:c r="N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1"/>
      <x:c r="J145" s="21"/>
      <x:c r="K145" s="20"/>
      <x:c r="L145" s="21"/>
      <x:c r="M145" s="21"/>
      <x:c r="N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1"/>
      <x:c r="J146" s="21"/>
      <x:c r="K146" s="20"/>
      <x:c r="L146" s="21"/>
      <x:c r="M146" s="21"/>
      <x:c r="N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1"/>
      <x:c r="J147" s="21"/>
      <x:c r="K147" s="20"/>
      <x:c r="L147" s="21"/>
      <x:c r="M147" s="21"/>
      <x:c r="N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1"/>
      <x:c r="J148" s="21"/>
      <x:c r="K148" s="20"/>
      <x:c r="L148" s="21"/>
      <x:c r="M148" s="21"/>
      <x:c r="N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1"/>
      <x:c r="J149" s="21"/>
      <x:c r="K149" s="20"/>
      <x:c r="L149" s="21"/>
      <x:c r="M149" s="21"/>
      <x:c r="N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1"/>
      <x:c r="J150" s="21"/>
      <x:c r="K150" s="20"/>
      <x:c r="L150" s="21"/>
      <x:c r="M150" s="21"/>
      <x:c r="N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1"/>
      <x:c r="J151" s="21"/>
      <x:c r="K151" s="20"/>
      <x:c r="L151" s="21"/>
      <x:c r="M151" s="21"/>
      <x:c r="N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1"/>
      <x:c r="J152" s="21"/>
      <x:c r="K152" s="20"/>
      <x:c r="L152" s="21"/>
      <x:c r="M152" s="21"/>
      <x:c r="N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1"/>
      <x:c r="J153" s="21"/>
      <x:c r="K153" s="20"/>
      <x:c r="L153" s="21"/>
      <x:c r="M153" s="21"/>
      <x:c r="N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1"/>
      <x:c r="J154" s="21"/>
      <x:c r="K154" s="20"/>
      <x:c r="L154" s="21"/>
      <x:c r="M154" s="21"/>
      <x:c r="N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1"/>
      <x:c r="J155" s="21"/>
      <x:c r="K155" s="20"/>
      <x:c r="L155" s="21"/>
      <x:c r="M155" s="21"/>
      <x:c r="N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1"/>
      <x:c r="J156" s="21"/>
      <x:c r="K156" s="20"/>
      <x:c r="L156" s="21"/>
      <x:c r="M156" s="21"/>
      <x:c r="N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1"/>
      <x:c r="J157" s="21"/>
      <x:c r="K157" s="20"/>
      <x:c r="L157" s="21"/>
      <x:c r="M157" s="21"/>
      <x:c r="N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1"/>
      <x:c r="J158" s="21"/>
      <x:c r="K158" s="20"/>
      <x:c r="L158" s="21"/>
      <x:c r="M158" s="21"/>
      <x:c r="N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1"/>
      <x:c r="J159" s="21"/>
      <x:c r="K159" s="20"/>
      <x:c r="L159" s="21"/>
      <x:c r="M159" s="21"/>
      <x:c r="N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1"/>
      <x:c r="J160" s="21"/>
      <x:c r="K160" s="20"/>
      <x:c r="L160" s="21"/>
      <x:c r="M160" s="21"/>
      <x:c r="N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1"/>
      <x:c r="J161" s="21"/>
      <x:c r="K161" s="20"/>
      <x:c r="L161" s="21"/>
      <x:c r="M161" s="21"/>
      <x:c r="N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1"/>
      <x:c r="J162" s="21"/>
      <x:c r="K162" s="20"/>
      <x:c r="L162" s="21"/>
      <x:c r="M162" s="21"/>
      <x:c r="N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1"/>
      <x:c r="J163" s="21"/>
      <x:c r="K163" s="20"/>
      <x:c r="L163" s="21"/>
      <x:c r="M163" s="21"/>
      <x:c r="N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1"/>
      <x:c r="J164" s="21"/>
      <x:c r="K164" s="20"/>
      <x:c r="L164" s="21"/>
      <x:c r="M164" s="21"/>
      <x:c r="N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1"/>
      <x:c r="J165" s="21"/>
      <x:c r="K165" s="20"/>
      <x:c r="L165" s="21"/>
      <x:c r="M165" s="21"/>
      <x:c r="N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1"/>
      <x:c r="J166" s="21"/>
      <x:c r="K166" s="20"/>
      <x:c r="L166" s="21"/>
      <x:c r="M166" s="21"/>
      <x:c r="N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1"/>
      <x:c r="J167" s="21"/>
      <x:c r="K167" s="20"/>
      <x:c r="L167" s="21"/>
      <x:c r="M167" s="21"/>
      <x:c r="N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1"/>
      <x:c r="J168" s="21"/>
      <x:c r="K168" s="20"/>
      <x:c r="L168" s="21"/>
      <x:c r="M168" s="21"/>
      <x:c r="N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1"/>
      <x:c r="J169" s="21"/>
      <x:c r="K169" s="20"/>
      <x:c r="L169" s="21"/>
      <x:c r="M169" s="21"/>
      <x:c r="N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1"/>
      <x:c r="J170" s="21"/>
      <x:c r="K170" s="20"/>
      <x:c r="L170" s="21"/>
      <x:c r="M170" s="21"/>
      <x:c r="N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1"/>
      <x:c r="J171" s="21"/>
      <x:c r="K171" s="20"/>
      <x:c r="L171" s="21"/>
      <x:c r="M171" s="21"/>
      <x:c r="N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1"/>
      <x:c r="J172" s="21"/>
      <x:c r="K172" s="20"/>
      <x:c r="L172" s="21"/>
      <x:c r="M172" s="21"/>
      <x:c r="N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1"/>
      <x:c r="J173" s="21"/>
      <x:c r="K173" s="20"/>
      <x:c r="L173" s="21"/>
      <x:c r="M173" s="21"/>
      <x:c r="N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1"/>
      <x:c r="J174" s="21"/>
      <x:c r="K174" s="20"/>
      <x:c r="L174" s="21"/>
      <x:c r="M174" s="21"/>
      <x:c r="N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1"/>
      <x:c r="J175" s="21"/>
      <x:c r="K175" s="20"/>
      <x:c r="L175" s="21"/>
      <x:c r="M175" s="21"/>
      <x:c r="N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1"/>
      <x:c r="J176" s="21"/>
      <x:c r="K176" s="20"/>
      <x:c r="L176" s="21"/>
      <x:c r="M176" s="21"/>
      <x:c r="N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1"/>
      <x:c r="J177" s="21"/>
      <x:c r="K177" s="20"/>
      <x:c r="L177" s="21"/>
      <x:c r="M177" s="21"/>
      <x:c r="N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1"/>
      <x:c r="J178" s="21"/>
      <x:c r="K178" s="20"/>
      <x:c r="L178" s="21"/>
      <x:c r="M178" s="21"/>
      <x:c r="N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1"/>
      <x:c r="J179" s="21"/>
      <x:c r="K179" s="20"/>
      <x:c r="L179" s="21"/>
      <x:c r="M179" s="21"/>
      <x:c r="N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1"/>
      <x:c r="J180" s="21"/>
      <x:c r="K180" s="20"/>
      <x:c r="L180" s="21"/>
      <x:c r="M180" s="21"/>
      <x:c r="N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1"/>
      <x:c r="J181" s="21"/>
      <x:c r="K181" s="20"/>
      <x:c r="L181" s="21"/>
      <x:c r="M181" s="21"/>
      <x:c r="N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1"/>
      <x:c r="J182" s="21"/>
      <x:c r="K182" s="20"/>
      <x:c r="L182" s="21"/>
      <x:c r="M182" s="21"/>
      <x:c r="N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1"/>
      <x:c r="J183" s="21"/>
      <x:c r="K183" s="20"/>
      <x:c r="L183" s="21"/>
      <x:c r="M183" s="21"/>
      <x:c r="N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1"/>
      <x:c r="J184" s="21"/>
      <x:c r="K184" s="20"/>
      <x:c r="L184" s="21"/>
      <x:c r="M184" s="21"/>
      <x:c r="N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1"/>
      <x:c r="J185" s="21"/>
      <x:c r="K185" s="20"/>
      <x:c r="L185" s="21"/>
      <x:c r="M185" s="21"/>
      <x:c r="N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1"/>
      <x:c r="J186" s="21"/>
      <x:c r="K186" s="20"/>
      <x:c r="L186" s="21"/>
      <x:c r="M186" s="21"/>
      <x:c r="N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1"/>
      <x:c r="J187" s="21"/>
      <x:c r="K187" s="20"/>
      <x:c r="L187" s="21"/>
      <x:c r="M187" s="21"/>
      <x:c r="N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1"/>
      <x:c r="J188" s="21"/>
      <x:c r="K188" s="20"/>
      <x:c r="L188" s="21"/>
      <x:c r="M188" s="21"/>
      <x:c r="N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1"/>
      <x:c r="J189" s="21"/>
      <x:c r="K189" s="20"/>
      <x:c r="L189" s="21"/>
      <x:c r="M189" s="21"/>
      <x:c r="N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1"/>
      <x:c r="J190" s="21"/>
      <x:c r="K190" s="20"/>
      <x:c r="L190" s="21"/>
      <x:c r="M190" s="21"/>
      <x:c r="N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1"/>
      <x:c r="J191" s="21"/>
      <x:c r="K191" s="20"/>
      <x:c r="L191" s="21"/>
      <x:c r="M191" s="21"/>
      <x:c r="N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1"/>
      <x:c r="J192" s="21"/>
      <x:c r="K192" s="20"/>
      <x:c r="L192" s="21"/>
      <x:c r="M192" s="21"/>
      <x:c r="N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1"/>
      <x:c r="J193" s="21"/>
      <x:c r="K193" s="20"/>
      <x:c r="L193" s="21"/>
      <x:c r="M193" s="21"/>
      <x:c r="N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1"/>
      <x:c r="J194" s="21"/>
      <x:c r="K194" s="20"/>
      <x:c r="L194" s="21"/>
      <x:c r="M194" s="21"/>
      <x:c r="N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1"/>
      <x:c r="J195" s="21"/>
      <x:c r="K195" s="20"/>
      <x:c r="L195" s="21"/>
      <x:c r="M195" s="21"/>
      <x:c r="N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1"/>
      <x:c r="J196" s="21"/>
      <x:c r="K196" s="20"/>
      <x:c r="L196" s="21"/>
      <x:c r="M196" s="21"/>
      <x:c r="N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1"/>
      <x:c r="J197" s="21"/>
      <x:c r="K197" s="20"/>
      <x:c r="L197" s="21"/>
      <x:c r="M197" s="21"/>
      <x:c r="N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1"/>
      <x:c r="J198" s="21"/>
      <x:c r="K198" s="20"/>
      <x:c r="L198" s="21"/>
      <x:c r="M198" s="21"/>
      <x:c r="N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1"/>
      <x:c r="J199" s="21"/>
      <x:c r="K199" s="20"/>
      <x:c r="L199" s="21"/>
      <x:c r="M199" s="21"/>
      <x:c r="N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1"/>
      <x:c r="J200" s="21"/>
      <x:c r="K200" s="20"/>
      <x:c r="L200" s="21"/>
      <x:c r="M200" s="21"/>
      <x:c r="N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1"/>
      <x:c r="J201" s="21"/>
      <x:c r="K201" s="20"/>
      <x:c r="L201" s="21"/>
      <x:c r="M201" s="21"/>
      <x:c r="N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1"/>
      <x:c r="J202" s="21"/>
      <x:c r="K202" s="20"/>
      <x:c r="L202" s="21"/>
      <x:c r="M202" s="21"/>
      <x:c r="N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1"/>
      <x:c r="J203" s="21"/>
      <x:c r="K203" s="20"/>
      <x:c r="L203" s="21"/>
      <x:c r="M203" s="21"/>
      <x:c r="N203" s="20"/>
    </x:row>
  </x:sheetData>
  <x:mergeCells>
    <x:mergeCell ref="A1:N1"/>
  </x:mergeCells>
  <x:dataValidations count="3">
    <x:dataValidation type="list" sqref="H4:H203">
      <x:formula1>"Low,Moderate,High,Critical"</x:formula1>
    </x:dataValidation>
    <x:dataValidation type="list" sqref="K4:K203">
      <x:formula1>"Quarterly,Semiannual,Annual,Biennial,Event-Driven"</x:formula1>
    </x:dataValidation>
    <x:dataValidation type="list" sqref="N4:N203">
      <x:formula1>"Prospective,Active,Renewal Review,Suspended,Terminated"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8" hidden="0" customWidth="1"/>
    <x:col min="4" max="4" width="40" hidden="0" customWidth="1"/>
    <x:col min="5" max="5" width="10" hidden="0" customWidth="1"/>
    <x:col min="6" max="6" width="10" hidden="0" customWidth="1"/>
    <x:col min="7" max="7" width="14" hidden="0" customWidth="1"/>
    <x:col min="8" max="8" width="30" hidden="0" customWidth="1"/>
    <x:col min="9" max="9" width="14" hidden="0" customWidth="1"/>
    <x:col min="10" max="10" width="18" hidden="0" customWidth="1"/>
    <x:col min="11" max="11" width="28" hidden="0" customWidth="1"/>
    <x:col min="12" max="12" width="14" hidden="0" customWidth="1"/>
    <x:col min="13" max="13" width="34" hidden="0" customWidth="1"/>
    <x:col min="14" max="14" width="18" hidden="0" customWidth="1"/>
    <x:col min="15" max="15" width="14" hidden="0" customWidth="1"/>
    <x:col min="16" max="16" width="16" hidden="0" customWidth="1"/>
  </x:cols>
  <x:sheetData>
    <x:row r="1">
      <x:c r="A1" s="4" t="str">
        <x:v>Vendor Security Control Review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2" t="str">
        <x:v>Review ID</x:v>
      </x:c>
      <x:c r="B3" s="12" t="str">
        <x:v>Vendor ID</x:v>
      </x:c>
      <x:c r="C3" s="12" t="str">
        <x:v>Domain</x:v>
      </x:c>
      <x:c r="D3" s="12" t="str">
        <x:v>Review Question / Outcome</x:v>
      </x:c>
      <x:c r="E3" s="12" t="str">
        <x:v>Weight</x:v>
      </x:c>
      <x:c r="F3" s="12" t="str">
        <x:v>Score</x:v>
      </x:c>
      <x:c r="G3" s="12" t="str">
        <x:v>Weighted Score</x:v>
      </x:c>
      <x:c r="H3" s="12" t="str">
        <x:v>Evidence</x:v>
      </x:c>
      <x:c r="I3" s="12" t="str">
        <x:v>Evidence Date</x:v>
      </x:c>
      <x:c r="J3" s="12" t="str">
        <x:v>Reviewer</x:v>
      </x:c>
      <x:c r="K3" s="12" t="str">
        <x:v>Gap</x:v>
      </x:c>
      <x:c r="L3" s="12" t="str">
        <x:v>Risk Rating</x:v>
      </x:c>
      <x:c r="M3" s="12" t="str">
        <x:v>Required Action</x:v>
      </x:c>
      <x:c r="N3" s="12" t="str">
        <x:v>Owner</x:v>
      </x:c>
      <x:c r="O3" s="12" t="str">
        <x:v>Target Date</x:v>
      </x:c>
      <x:c r="P3" s="12" t="str">
        <x:v>Status</x:v>
      </x:c>
    </x:row>
    <x:row r="4">
      <x:c r="A4" s="20" t="str">
        <x:v>VR-001</x:v>
      </x:c>
      <x:c r="B4" s="20" t="str">
        <x:v>V-001</x:v>
      </x:c>
      <x:c r="C4" s="20" t="str">
        <x:v>Governance</x:v>
      </x:c>
      <x:c r="D4" s="20" t="str">
        <x:v>Security roles and policies are documented</x:v>
      </x:c>
      <x:c r="E4" s="20" t="n">
        <x:v>3</x:v>
      </x:c>
      <x:c r="F4" s="20" t="n">
        <x:v>4</x:v>
      </x:c>
      <x:c r="G4" s="20" t="n">
        <x:f>IF(OR(E4="",F4=""),"",E4*F4)</x:f>
        <x:v>12</x:v>
      </x:c>
      <x:c r="H4" s="20" t="str">
        <x:v>SOC 2 report and policy index</x:v>
      </x:c>
      <x:c r="I4" s="21" t="n">
        <x:v>46032</x:v>
      </x:c>
      <x:c r="J4" s="20" t="str">
        <x:v>J. Reviewer</x:v>
      </x:c>
      <x:c r="K4" s="20" t="str"/>
      <x:c r="L4" s="20" t="str">
        <x:f>IF(F4="","",IF(F4=0,"Critical",IF(F4=1,"High",IF(F4=2,"Moderate",IF(F4=3,"Low","Effective")))))</x:f>
        <x:v>Effective</x:v>
      </x:c>
      <x:c r="M4" s="20" t="str">
        <x:v>Confirm policy review cadence</x:v>
      </x:c>
      <x:c r="N4" s="20" t="str">
        <x:v>Vendor Owner</x:v>
      </x:c>
      <x:c r="O4" s="21" t="n">
        <x:v>46082</x:v>
      </x:c>
      <x:c r="P4" s="20" t="str">
        <x:v>Complete</x:v>
      </x:c>
    </x:row>
    <x:row r="5">
      <x:c r="A5" s="20" t="str">
        <x:v>VR-002</x:v>
      </x:c>
      <x:c r="B5" s="20" t="str">
        <x:v>V-001</x:v>
      </x:c>
      <x:c r="C5" s="20" t="str">
        <x:v>Identity</x:v>
      </x:c>
      <x:c r="D5" s="20" t="str">
        <x:v>MFA is required for privileged access</x:v>
      </x:c>
      <x:c r="E5" s="20" t="n">
        <x:v>5</x:v>
      </x:c>
      <x:c r="F5" s="20" t="n">
        <x:v>3</x:v>
      </x:c>
      <x:c r="G5" s="20" t="n">
        <x:f>IF(OR(E5="",F5=""),"",E5*F5)</x:f>
        <x:v>15</x:v>
      </x:c>
      <x:c r="H5" s="20" t="str">
        <x:v>Control evidence</x:v>
      </x:c>
      <x:c r="I5" s="21" t="n">
        <x:v>46032</x:v>
      </x:c>
      <x:c r="J5" s="20" t="str">
        <x:v>J. Reviewer</x:v>
      </x:c>
      <x:c r="K5" s="20" t="str">
        <x:v>Contractor access exception</x:v>
      </x:c>
      <x:c r="L5" s="20" t="str">
        <x:f>IF(F5="","",IF(F5=0,"Critical",IF(F5=1,"High",IF(F5=2,"Moderate",IF(F5=3,"Low","Effective")))))</x:f>
        <x:v>Low</x:v>
      </x:c>
      <x:c r="M5" s="20" t="str">
        <x:v>Close exception or document safeguard</x:v>
      </x:c>
      <x:c r="N5" s="20" t="str">
        <x:v>IAM Lead</x:v>
      </x:c>
      <x:c r="O5" s="21" t="n">
        <x:v>46096</x:v>
      </x:c>
      <x:c r="P5" s="20" t="str">
        <x:v>In Progress</x:v>
      </x:c>
    </x:row>
    <x:row r="6">
      <x:c r="A6" s="20" t="str">
        <x:v>VR-003</x:v>
      </x:c>
      <x:c r="B6" s="20" t="str">
        <x:v>V-001</x:v>
      </x:c>
      <x:c r="C6" s="20" t="str">
        <x:v>Data Protection</x:v>
      </x:c>
      <x:c r="D6" s="20" t="str">
        <x:v>Restricted data is encrypted in transit and at rest</x:v>
      </x:c>
      <x:c r="E6" s="20" t="n">
        <x:v>5</x:v>
      </x:c>
      <x:c r="F6" s="20" t="n">
        <x:v>4</x:v>
      </x:c>
      <x:c r="G6" s="20" t="n">
        <x:f>IF(OR(E6="",F6=""),"",E6*F6)</x:f>
        <x:v>20</x:v>
      </x:c>
      <x:c r="H6" s="20" t="str">
        <x:v>Encryption statement</x:v>
      </x:c>
      <x:c r="I6" s="21" t="n">
        <x:v>46032</x:v>
      </x:c>
      <x:c r="J6" s="20" t="str">
        <x:v>J. Reviewer</x:v>
      </x:c>
      <x:c r="K6" s="20" t="str"/>
      <x:c r="L6" s="20" t="str">
        <x:f>IF(F6="","",IF(F6=0,"Critical",IF(F6=1,"High",IF(F6=2,"Moderate",IF(F6=3,"Low","Effective")))))</x:f>
        <x:v>Effective</x:v>
      </x:c>
      <x:c r="M6" s="20" t="str"/>
      <x:c r="N6" s="20" t="str"/>
      <x:c r="O6" s="21" t="str">
        <x:v>Complete</x:v>
      </x:c>
      <x:c r="P6" s="20"/>
    </x:row>
    <x:row r="7">
      <x:c r="A7" s="20" t="str">
        <x:v>VR-004</x:v>
      </x:c>
      <x:c r="B7" s="20" t="str">
        <x:v>V-001</x:v>
      </x:c>
      <x:c r="C7" s="20" t="str">
        <x:v>Logging</x:v>
      </x:c>
      <x:c r="D7" s="20" t="str">
        <x:v>Administrative actions are logged and retained</x:v>
      </x:c>
      <x:c r="E7" s="20" t="n">
        <x:v>4</x:v>
      </x:c>
      <x:c r="F7" s="20" t="n">
        <x:v>3</x:v>
      </x:c>
      <x:c r="G7" s="20" t="n">
        <x:f>IF(OR(E7="",F7=""),"",E7*F7)</x:f>
        <x:v>12</x:v>
      </x:c>
      <x:c r="H7" s="20" t="str">
        <x:v>Logging description</x:v>
      </x:c>
      <x:c r="I7" s="21" t="n">
        <x:v>46032</x:v>
      </x:c>
      <x:c r="J7" s="20" t="str">
        <x:v>J. Reviewer</x:v>
      </x:c>
      <x:c r="K7" s="20" t="str">
        <x:v>Retention not stated</x:v>
      </x:c>
      <x:c r="L7" s="20" t="str">
        <x:f>IF(F7="","",IF(F7=0,"Critical",IF(F7=1,"High",IF(F7=2,"Moderate",IF(F7=3,"Low","Effective")))))</x:f>
        <x:v>Low</x:v>
      </x:c>
      <x:c r="M7" s="20" t="str">
        <x:v>Confirm retention period</x:v>
      </x:c>
      <x:c r="N7" s="20" t="str">
        <x:v>Security Lead</x:v>
      </x:c>
      <x:c r="O7" s="21" t="n">
        <x:v>46096</x:v>
      </x:c>
      <x:c r="P7" s="20" t="str">
        <x:v>Planned</x:v>
      </x:c>
    </x:row>
    <x:row r="8">
      <x:c r="A8" s="20" t="str">
        <x:v>VR-005</x:v>
      </x:c>
      <x:c r="B8" s="20" t="str">
        <x:v>V-001</x:v>
      </x:c>
      <x:c r="C8" s="20" t="str">
        <x:v>Incident Response</x:v>
      </x:c>
      <x:c r="D8" s="20" t="str">
        <x:v>Contract includes notification requirements</x:v>
      </x:c>
      <x:c r="E8" s="20" t="n">
        <x:v>5</x:v>
      </x:c>
      <x:c r="F8" s="20" t="n">
        <x:v>4</x:v>
      </x:c>
      <x:c r="G8" s="20" t="n">
        <x:f>IF(OR(E8="",F8=""),"",E8*F8)</x:f>
        <x:v>20</x:v>
      </x:c>
      <x:c r="H8" s="20" t="str">
        <x:v>Contract section 8</x:v>
      </x:c>
      <x:c r="I8" s="21" t="n">
        <x:v>46032</x:v>
      </x:c>
      <x:c r="J8" s="20" t="str">
        <x:v>J. Reviewer</x:v>
      </x:c>
      <x:c r="K8" s="20" t="str"/>
      <x:c r="L8" s="20" t="str">
        <x:f>IF(F8="","",IF(F8=0,"Critical",IF(F8=1,"High",IF(F8=2,"Moderate",IF(F8=3,"Low","Effective")))))</x:f>
        <x:v>Effective</x:v>
      </x:c>
      <x:c r="M8" s="20" t="str"/>
      <x:c r="N8" s="20" t="str"/>
      <x:c r="O8" s="21" t="str">
        <x:v>Complete</x:v>
      </x:c>
      <x:c r="P8" s="20"/>
    </x:row>
    <x:row r="9">
      <x:c r="A9" s="20" t="str">
        <x:v>VR-006</x:v>
      </x:c>
      <x:c r="B9" s="20" t="str">
        <x:v>V-001</x:v>
      </x:c>
      <x:c r="C9" s="20" t="str">
        <x:v>Resilience</x:v>
      </x:c>
      <x:c r="D9" s="20" t="str">
        <x:v>Recovery tests are conducted and summarized</x:v>
      </x:c>
      <x:c r="E9" s="20" t="n">
        <x:v>4</x:v>
      </x:c>
      <x:c r="F9" s="20" t="n">
        <x:v>3</x:v>
      </x:c>
      <x:c r="G9" s="20" t="n">
        <x:f>IF(OR(E9="",F9=""),"",E9*F9)</x:f>
        <x:v>12</x:v>
      </x:c>
      <x:c r="H9" s="20" t="str">
        <x:v>BCP summary</x:v>
      </x:c>
      <x:c r="I9" s="21" t="n">
        <x:v>46032</x:v>
      </x:c>
      <x:c r="J9" s="20" t="str">
        <x:v>J. Reviewer</x:v>
      </x:c>
      <x:c r="K9" s="20" t="str">
        <x:v>Latest test older than 12 months</x:v>
      </x:c>
      <x:c r="L9" s="20" t="str">
        <x:f>IF(F9="","",IF(F9=0,"Critical",IF(F9=1,"High",IF(F9=2,"Moderate",IF(F9=3,"Low","Effective")))))</x:f>
        <x:v>Low</x:v>
      </x:c>
      <x:c r="M9" s="20" t="str">
        <x:v>Request current test summary</x:v>
      </x:c>
      <x:c r="N9" s="20" t="str">
        <x:v>Vendor Owner</x:v>
      </x:c>
      <x:c r="O9" s="21" t="n">
        <x:v>46113</x:v>
      </x:c>
      <x:c r="P9" s="20" t="str">
        <x:v>Planned</x:v>
      </x:c>
    </x:row>
    <x:row r="10">
      <x:c r="A10" s="20" t="str">
        <x:v>VR-007</x:v>
      </x:c>
      <x:c r="B10" s="20" t="str">
        <x:v>V-001</x:v>
      </x:c>
      <x:c r="C10" s="20" t="str">
        <x:v>Subprocessors</x:v>
      </x:c>
      <x:c r="D10" s="20" t="str">
        <x:v>Subprocessors are disclosed and governed</x:v>
      </x:c>
      <x:c r="E10" s="20" t="n">
        <x:v>4</x:v>
      </x:c>
      <x:c r="F10" s="20" t="n">
        <x:v>3</x:v>
      </x:c>
      <x:c r="G10" s="20" t="n">
        <x:f>IF(OR(E10="",F10=""),"",E10*F10)</x:f>
        <x:v>12</x:v>
      </x:c>
      <x:c r="H10" s="20" t="str">
        <x:v>Subprocessor list</x:v>
      </x:c>
      <x:c r="I10" s="21" t="n">
        <x:v>46032</x:v>
      </x:c>
      <x:c r="J10" s="20" t="str">
        <x:v>J. Reviewer</x:v>
      </x:c>
      <x:c r="K10" s="20" t="str">
        <x:v>Change notification unclear</x:v>
      </x:c>
      <x:c r="L10" s="20" t="str">
        <x:f>IF(F10="","",IF(F10=0,"Critical",IF(F10=1,"High",IF(F10=2,"Moderate",IF(F10=3,"Low","Effective")))))</x:f>
        <x:v>Low</x:v>
      </x:c>
      <x:c r="M10" s="20" t="str">
        <x:v>Amend notification language</x:v>
      </x:c>
      <x:c r="N10" s="20" t="str">
        <x:v>Legal Counsel</x:v>
      </x:c>
      <x:c r="O10" s="21" t="n">
        <x:v>46127</x:v>
      </x:c>
      <x:c r="P10" s="20" t="str">
        <x:v>Planned</x:v>
      </x:c>
    </x:row>
    <x:row r="11">
      <x:c r="A11" s="20" t="str">
        <x:v>VR-008</x:v>
      </x:c>
      <x:c r="B11" s="20" t="str">
        <x:v>V-001</x:v>
      </x:c>
      <x:c r="C11" s="20" t="str">
        <x:v>Offboarding</x:v>
      </x:c>
      <x:c r="D11" s="20" t="str">
        <x:v>Data return and deletion are contractually addressed</x:v>
      </x:c>
      <x:c r="E11" s="20" t="n">
        <x:v>5</x:v>
      </x:c>
      <x:c r="F11" s="20" t="n">
        <x:v>4</x:v>
      </x:c>
      <x:c r="G11" s="20" t="n">
        <x:f>IF(OR(E11="",F11=""),"",E11*F11)</x:f>
        <x:v>20</x:v>
      </x:c>
      <x:c r="H11" s="20" t="str">
        <x:v>Contract section 11</x:v>
      </x:c>
      <x:c r="I11" s="21" t="n">
        <x:v>46032</x:v>
      </x:c>
      <x:c r="J11" s="20" t="str">
        <x:v>J. Reviewer</x:v>
      </x:c>
      <x:c r="K11" s="20" t="str"/>
      <x:c r="L11" s="20" t="str">
        <x:f>IF(F11="","",IF(F11=0,"Critical",IF(F11=1,"High",IF(F11=2,"Moderate",IF(F11=3,"Low","Effective")))))</x:f>
        <x:v>Effective</x:v>
      </x:c>
      <x:c r="M11" s="20" t="str"/>
      <x:c r="N11" s="20" t="str"/>
      <x:c r="O11" s="21" t="str">
        <x:v>Complete</x:v>
      </x:c>
      <x:c r="P11" s="20"/>
    </x:row>
    <x:row r="12">
      <x:c r="A12" s="20"/>
      <x:c r="B12" s="20"/>
      <x:c r="C12" s="20"/>
      <x:c r="D12" s="20"/>
      <x:c r="E12" s="20"/>
      <x:c r="F12" s="20"/>
      <x:c r="G12" s="20" t="str">
        <x:f>IF(OR(E12="",F12=""),"",E12*F12)</x:f>
      </x:c>
      <x:c r="H12" s="20"/>
      <x:c r="I12" s="21"/>
      <x:c r="J12" s="20"/>
      <x:c r="K12" s="20"/>
      <x:c r="L12" s="20" t="str">
        <x:f>IF(F12="","",IF(F12=0,"Critical",IF(F12=1,"High",IF(F12=2,"Moderate",IF(F12=3,"Low","Effective")))))</x:f>
      </x:c>
      <x:c r="M12" s="20"/>
      <x:c r="N12" s="20"/>
      <x:c r="O12" s="21"/>
      <x:c r="P12" s="20"/>
    </x:row>
    <x:row r="13">
      <x:c r="A13" s="20"/>
      <x:c r="B13" s="20"/>
      <x:c r="C13" s="20"/>
      <x:c r="D13" s="20"/>
      <x:c r="E13" s="20"/>
      <x:c r="F13" s="20"/>
      <x:c r="G13" s="20" t="str">
        <x:f>IF(OR(E13="",F13=""),"",E13*F13)</x:f>
      </x:c>
      <x:c r="H13" s="20"/>
      <x:c r="I13" s="21"/>
      <x:c r="J13" s="20"/>
      <x:c r="K13" s="20"/>
      <x:c r="L13" s="20" t="str">
        <x:f>IF(F13="","",IF(F13=0,"Critical",IF(F13=1,"High",IF(F13=2,"Moderate",IF(F13=3,"Low","Effective")))))</x:f>
      </x:c>
      <x:c r="M13" s="20"/>
      <x:c r="N13" s="20"/>
      <x:c r="O13" s="21"/>
      <x:c r="P13" s="20"/>
    </x:row>
    <x:row r="14">
      <x:c r="A14" s="20"/>
      <x:c r="B14" s="20"/>
      <x:c r="C14" s="20"/>
      <x:c r="D14" s="20"/>
      <x:c r="E14" s="20"/>
      <x:c r="F14" s="20"/>
      <x:c r="G14" s="20" t="str">
        <x:f>IF(OR(E14="",F14=""),"",E14*F14)</x:f>
      </x:c>
      <x:c r="H14" s="20"/>
      <x:c r="I14" s="21"/>
      <x:c r="J14" s="20"/>
      <x:c r="K14" s="20"/>
      <x:c r="L14" s="20" t="str">
        <x:f>IF(F14="","",IF(F14=0,"Critical",IF(F14=1,"High",IF(F14=2,"Moderate",IF(F14=3,"Low","Effective")))))</x:f>
      </x:c>
      <x:c r="M14" s="20"/>
      <x:c r="N14" s="20"/>
      <x:c r="O14" s="21"/>
      <x:c r="P14" s="20"/>
    </x:row>
    <x:row r="15">
      <x:c r="A15" s="20"/>
      <x:c r="B15" s="20"/>
      <x:c r="C15" s="20"/>
      <x:c r="D15" s="20"/>
      <x:c r="E15" s="20"/>
      <x:c r="F15" s="20"/>
      <x:c r="G15" s="20" t="str">
        <x:f>IF(OR(E15="",F15=""),"",E15*F15)</x:f>
      </x:c>
      <x:c r="H15" s="20"/>
      <x:c r="I15" s="21"/>
      <x:c r="J15" s="20"/>
      <x:c r="K15" s="20"/>
      <x:c r="L15" s="20" t="str">
        <x:f>IF(F15="","",IF(F15=0,"Critical",IF(F15=1,"High",IF(F15=2,"Moderate",IF(F15=3,"Low","Effective")))))</x:f>
      </x:c>
      <x:c r="M15" s="20"/>
      <x:c r="N15" s="20"/>
      <x:c r="O15" s="21"/>
      <x:c r="P15" s="20"/>
    </x:row>
    <x:row r="16">
      <x:c r="A16" s="20"/>
      <x:c r="B16" s="20"/>
      <x:c r="C16" s="20"/>
      <x:c r="D16" s="20"/>
      <x:c r="E16" s="20"/>
      <x:c r="F16" s="20"/>
      <x:c r="G16" s="20" t="str">
        <x:f>IF(OR(E16="",F16=""),"",E16*F16)</x:f>
      </x:c>
      <x:c r="H16" s="20"/>
      <x:c r="I16" s="21"/>
      <x:c r="J16" s="20"/>
      <x:c r="K16" s="20"/>
      <x:c r="L16" s="20" t="str">
        <x:f>IF(F16="","",IF(F16=0,"Critical",IF(F16=1,"High",IF(F16=2,"Moderate",IF(F16=3,"Low","Effective")))))</x:f>
      </x:c>
      <x:c r="M16" s="20"/>
      <x:c r="N16" s="20"/>
      <x:c r="O16" s="21"/>
      <x:c r="P16" s="20"/>
    </x:row>
    <x:row r="17">
      <x:c r="A17" s="20"/>
      <x:c r="B17" s="20"/>
      <x:c r="C17" s="20"/>
      <x:c r="D17" s="20"/>
      <x:c r="E17" s="20"/>
      <x:c r="F17" s="20"/>
      <x:c r="G17" s="20" t="str">
        <x:f>IF(OR(E17="",F17=""),"",E17*F17)</x:f>
      </x:c>
      <x:c r="H17" s="20"/>
      <x:c r="I17" s="21"/>
      <x:c r="J17" s="20"/>
      <x:c r="K17" s="20"/>
      <x:c r="L17" s="20" t="str">
        <x:f>IF(F17="","",IF(F17=0,"Critical",IF(F17=1,"High",IF(F17=2,"Moderate",IF(F17=3,"Low","Effective")))))</x:f>
      </x:c>
      <x:c r="M17" s="20"/>
      <x:c r="N17" s="20"/>
      <x:c r="O17" s="21"/>
      <x:c r="P17" s="20"/>
    </x:row>
    <x:row r="18">
      <x:c r="A18" s="20"/>
      <x:c r="B18" s="20"/>
      <x:c r="C18" s="20"/>
      <x:c r="D18" s="20"/>
      <x:c r="E18" s="20"/>
      <x:c r="F18" s="20"/>
      <x:c r="G18" s="20" t="str">
        <x:f>IF(OR(E18="",F18=""),"",E18*F18)</x:f>
      </x:c>
      <x:c r="H18" s="20"/>
      <x:c r="I18" s="21"/>
      <x:c r="J18" s="20"/>
      <x:c r="K18" s="20"/>
      <x:c r="L18" s="20" t="str">
        <x:f>IF(F18="","",IF(F18=0,"Critical",IF(F18=1,"High",IF(F18=2,"Moderate",IF(F18=3,"Low","Effective")))))</x:f>
      </x:c>
      <x:c r="M18" s="20"/>
      <x:c r="N18" s="20"/>
      <x:c r="O18" s="21"/>
      <x:c r="P18" s="20"/>
    </x:row>
    <x:row r="19">
      <x:c r="A19" s="20"/>
      <x:c r="B19" s="20"/>
      <x:c r="C19" s="20"/>
      <x:c r="D19" s="20"/>
      <x:c r="E19" s="20"/>
      <x:c r="F19" s="20"/>
      <x:c r="G19" s="20" t="str">
        <x:f>IF(OR(E19="",F19=""),"",E19*F19)</x:f>
      </x:c>
      <x:c r="H19" s="20"/>
      <x:c r="I19" s="21"/>
      <x:c r="J19" s="20"/>
      <x:c r="K19" s="20"/>
      <x:c r="L19" s="20" t="str">
        <x:f>IF(F19="","",IF(F19=0,"Critical",IF(F19=1,"High",IF(F19=2,"Moderate",IF(F19=3,"Low","Effective")))))</x:f>
      </x:c>
      <x:c r="M19" s="20"/>
      <x:c r="N19" s="20"/>
      <x:c r="O19" s="21"/>
      <x:c r="P19" s="20"/>
    </x:row>
    <x:row r="20">
      <x:c r="A20" s="20"/>
      <x:c r="B20" s="20"/>
      <x:c r="C20" s="20"/>
      <x:c r="D20" s="20"/>
      <x:c r="E20" s="20"/>
      <x:c r="F20" s="20"/>
      <x:c r="G20" s="20" t="str">
        <x:f>IF(OR(E20="",F20=""),"",E20*F20)</x:f>
      </x:c>
      <x:c r="H20" s="20"/>
      <x:c r="I20" s="21"/>
      <x:c r="J20" s="20"/>
      <x:c r="K20" s="20"/>
      <x:c r="L20" s="20" t="str">
        <x:f>IF(F20="","",IF(F20=0,"Critical",IF(F20=1,"High",IF(F20=2,"Moderate",IF(F20=3,"Low","Effective")))))</x:f>
      </x:c>
      <x:c r="M20" s="20"/>
      <x:c r="N20" s="20"/>
      <x:c r="O20" s="21"/>
      <x:c r="P20" s="20"/>
    </x:row>
    <x:row r="21">
      <x:c r="A21" s="20"/>
      <x:c r="B21" s="20"/>
      <x:c r="C21" s="20"/>
      <x:c r="D21" s="20"/>
      <x:c r="E21" s="20"/>
      <x:c r="F21" s="20"/>
      <x:c r="G21" s="20" t="str">
        <x:f>IF(OR(E21="",F21=""),"",E21*F21)</x:f>
      </x:c>
      <x:c r="H21" s="20"/>
      <x:c r="I21" s="21"/>
      <x:c r="J21" s="20"/>
      <x:c r="K21" s="20"/>
      <x:c r="L21" s="20" t="str">
        <x:f>IF(F21="","",IF(F21=0,"Critical",IF(F21=1,"High",IF(F21=2,"Moderate",IF(F21=3,"Low","Effective")))))</x:f>
      </x:c>
      <x:c r="M21" s="20"/>
      <x:c r="N21" s="20"/>
      <x:c r="O21" s="21"/>
      <x:c r="P21" s="20"/>
    </x:row>
    <x:row r="22">
      <x:c r="A22" s="20"/>
      <x:c r="B22" s="20"/>
      <x:c r="C22" s="20"/>
      <x:c r="D22" s="20"/>
      <x:c r="E22" s="20"/>
      <x:c r="F22" s="20"/>
      <x:c r="G22" s="20" t="str">
        <x:f>IF(OR(E22="",F22=""),"",E22*F22)</x:f>
      </x:c>
      <x:c r="H22" s="20"/>
      <x:c r="I22" s="21"/>
      <x:c r="J22" s="20"/>
      <x:c r="K22" s="20"/>
      <x:c r="L22" s="20" t="str">
        <x:f>IF(F22="","",IF(F22=0,"Critical",IF(F22=1,"High",IF(F22=2,"Moderate",IF(F22=3,"Low","Effective")))))</x:f>
      </x:c>
      <x:c r="M22" s="20"/>
      <x:c r="N22" s="20"/>
      <x:c r="O22" s="21"/>
      <x:c r="P22" s="20"/>
    </x:row>
    <x:row r="23">
      <x:c r="A23" s="20"/>
      <x:c r="B23" s="20"/>
      <x:c r="C23" s="20"/>
      <x:c r="D23" s="20"/>
      <x:c r="E23" s="20"/>
      <x:c r="F23" s="20"/>
      <x:c r="G23" s="20" t="str">
        <x:f>IF(OR(E23="",F23=""),"",E23*F23)</x:f>
      </x:c>
      <x:c r="H23" s="20"/>
      <x:c r="I23" s="21"/>
      <x:c r="J23" s="20"/>
      <x:c r="K23" s="20"/>
      <x:c r="L23" s="20" t="str">
        <x:f>IF(F23="","",IF(F23=0,"Critical",IF(F23=1,"High",IF(F23=2,"Moderate",IF(F23=3,"Low","Effective")))))</x:f>
      </x:c>
      <x:c r="M23" s="20"/>
      <x:c r="N23" s="20"/>
      <x:c r="O23" s="21"/>
      <x:c r="P23" s="20"/>
    </x:row>
    <x:row r="24">
      <x:c r="A24" s="20"/>
      <x:c r="B24" s="20"/>
      <x:c r="C24" s="20"/>
      <x:c r="D24" s="20"/>
      <x:c r="E24" s="20"/>
      <x:c r="F24" s="20"/>
      <x:c r="G24" s="20" t="str">
        <x:f>IF(OR(E24="",F24=""),"",E24*F24)</x:f>
      </x:c>
      <x:c r="H24" s="20"/>
      <x:c r="I24" s="21"/>
      <x:c r="J24" s="20"/>
      <x:c r="K24" s="20"/>
      <x:c r="L24" s="20" t="str">
        <x:f>IF(F24="","",IF(F24=0,"Critical",IF(F24=1,"High",IF(F24=2,"Moderate",IF(F24=3,"Low","Effective")))))</x:f>
      </x:c>
      <x:c r="M24" s="20"/>
      <x:c r="N24" s="20"/>
      <x:c r="O24" s="21"/>
      <x:c r="P24" s="20"/>
    </x:row>
    <x:row r="25">
      <x:c r="A25" s="20"/>
      <x:c r="B25" s="20"/>
      <x:c r="C25" s="20"/>
      <x:c r="D25" s="20"/>
      <x:c r="E25" s="20"/>
      <x:c r="F25" s="20"/>
      <x:c r="G25" s="20" t="str">
        <x:f>IF(OR(E25="",F25=""),"",E25*F25)</x:f>
      </x:c>
      <x:c r="H25" s="20"/>
      <x:c r="I25" s="21"/>
      <x:c r="J25" s="20"/>
      <x:c r="K25" s="20"/>
      <x:c r="L25" s="20" t="str">
        <x:f>IF(F25="","",IF(F25=0,"Critical",IF(F25=1,"High",IF(F25=2,"Moderate",IF(F25=3,"Low","Effective")))))</x:f>
      </x:c>
      <x:c r="M25" s="20"/>
      <x:c r="N25" s="20"/>
      <x:c r="O25" s="21"/>
      <x:c r="P25" s="20"/>
    </x:row>
    <x:row r="26">
      <x:c r="A26" s="20"/>
      <x:c r="B26" s="20"/>
      <x:c r="C26" s="20"/>
      <x:c r="D26" s="20"/>
      <x:c r="E26" s="20"/>
      <x:c r="F26" s="20"/>
      <x:c r="G26" s="20" t="str">
        <x:f>IF(OR(E26="",F26=""),"",E26*F26)</x:f>
      </x:c>
      <x:c r="H26" s="20"/>
      <x:c r="I26" s="21"/>
      <x:c r="J26" s="20"/>
      <x:c r="K26" s="20"/>
      <x:c r="L26" s="20" t="str">
        <x:f>IF(F26="","",IF(F26=0,"Critical",IF(F26=1,"High",IF(F26=2,"Moderate",IF(F26=3,"Low","Effective")))))</x:f>
      </x:c>
      <x:c r="M26" s="20"/>
      <x:c r="N26" s="20"/>
      <x:c r="O26" s="21"/>
      <x:c r="P26" s="20"/>
    </x:row>
    <x:row r="27">
      <x:c r="A27" s="20"/>
      <x:c r="B27" s="20"/>
      <x:c r="C27" s="20"/>
      <x:c r="D27" s="20"/>
      <x:c r="E27" s="20"/>
      <x:c r="F27" s="20"/>
      <x:c r="G27" s="20" t="str">
        <x:f>IF(OR(E27="",F27=""),"",E27*F27)</x:f>
      </x:c>
      <x:c r="H27" s="20"/>
      <x:c r="I27" s="21"/>
      <x:c r="J27" s="20"/>
      <x:c r="K27" s="20"/>
      <x:c r="L27" s="20" t="str">
        <x:f>IF(F27="","",IF(F27=0,"Critical",IF(F27=1,"High",IF(F27=2,"Moderate",IF(F27=3,"Low","Effective")))))</x:f>
      </x:c>
      <x:c r="M27" s="20"/>
      <x:c r="N27" s="20"/>
      <x:c r="O27" s="21"/>
      <x:c r="P27" s="20"/>
    </x:row>
    <x:row r="28">
      <x:c r="A28" s="20"/>
      <x:c r="B28" s="20"/>
      <x:c r="C28" s="20"/>
      <x:c r="D28" s="20"/>
      <x:c r="E28" s="20"/>
      <x:c r="F28" s="20"/>
      <x:c r="G28" s="20" t="str">
        <x:f>IF(OR(E28="",F28=""),"",E28*F28)</x:f>
      </x:c>
      <x:c r="H28" s="20"/>
      <x:c r="I28" s="21"/>
      <x:c r="J28" s="20"/>
      <x:c r="K28" s="20"/>
      <x:c r="L28" s="20" t="str">
        <x:f>IF(F28="","",IF(F28=0,"Critical",IF(F28=1,"High",IF(F28=2,"Moderate",IF(F28=3,"Low","Effective")))))</x:f>
      </x:c>
      <x:c r="M28" s="20"/>
      <x:c r="N28" s="20"/>
      <x:c r="O28" s="21"/>
      <x:c r="P28" s="20"/>
    </x:row>
    <x:row r="29">
      <x:c r="A29" s="20"/>
      <x:c r="B29" s="20"/>
      <x:c r="C29" s="20"/>
      <x:c r="D29" s="20"/>
      <x:c r="E29" s="20"/>
      <x:c r="F29" s="20"/>
      <x:c r="G29" s="20" t="str">
        <x:f>IF(OR(E29="",F29=""),"",E29*F29)</x:f>
      </x:c>
      <x:c r="H29" s="20"/>
      <x:c r="I29" s="21"/>
      <x:c r="J29" s="20"/>
      <x:c r="K29" s="20"/>
      <x:c r="L29" s="20" t="str">
        <x:f>IF(F29="","",IF(F29=0,"Critical",IF(F29=1,"High",IF(F29=2,"Moderate",IF(F29=3,"Low","Effective")))))</x:f>
      </x:c>
      <x:c r="M29" s="20"/>
      <x:c r="N29" s="20"/>
      <x:c r="O29" s="21"/>
      <x:c r="P29" s="20"/>
    </x:row>
    <x:row r="30">
      <x:c r="A30" s="20"/>
      <x:c r="B30" s="20"/>
      <x:c r="C30" s="20"/>
      <x:c r="D30" s="20"/>
      <x:c r="E30" s="20"/>
      <x:c r="F30" s="20"/>
      <x:c r="G30" s="20" t="str">
        <x:f>IF(OR(E30="",F30=""),"",E30*F30)</x:f>
      </x:c>
      <x:c r="H30" s="20"/>
      <x:c r="I30" s="21"/>
      <x:c r="J30" s="20"/>
      <x:c r="K30" s="20"/>
      <x:c r="L30" s="20" t="str">
        <x:f>IF(F30="","",IF(F30=0,"Critical",IF(F30=1,"High",IF(F30=2,"Moderate",IF(F30=3,"Low","Effective")))))</x:f>
      </x:c>
      <x:c r="M30" s="20"/>
      <x:c r="N30" s="20"/>
      <x:c r="O30" s="21"/>
      <x:c r="P30" s="20"/>
    </x:row>
    <x:row r="31">
      <x:c r="A31" s="20"/>
      <x:c r="B31" s="20"/>
      <x:c r="C31" s="20"/>
      <x:c r="D31" s="20"/>
      <x:c r="E31" s="20"/>
      <x:c r="F31" s="20"/>
      <x:c r="G31" s="20" t="str">
        <x:f>IF(OR(E31="",F31=""),"",E31*F31)</x:f>
      </x:c>
      <x:c r="H31" s="20"/>
      <x:c r="I31" s="21"/>
      <x:c r="J31" s="20"/>
      <x:c r="K31" s="20"/>
      <x:c r="L31" s="20" t="str">
        <x:f>IF(F31="","",IF(F31=0,"Critical",IF(F31=1,"High",IF(F31=2,"Moderate",IF(F31=3,"Low","Effective")))))</x:f>
      </x:c>
      <x:c r="M31" s="20"/>
      <x:c r="N31" s="20"/>
      <x:c r="O31" s="21"/>
      <x:c r="P31" s="20"/>
    </x:row>
    <x:row r="32">
      <x:c r="A32" s="20"/>
      <x:c r="B32" s="20"/>
      <x:c r="C32" s="20"/>
      <x:c r="D32" s="20"/>
      <x:c r="E32" s="20"/>
      <x:c r="F32" s="20"/>
      <x:c r="G32" s="20" t="str">
        <x:f>IF(OR(E32="",F32=""),"",E32*F32)</x:f>
      </x:c>
      <x:c r="H32" s="20"/>
      <x:c r="I32" s="21"/>
      <x:c r="J32" s="20"/>
      <x:c r="K32" s="20"/>
      <x:c r="L32" s="20" t="str">
        <x:f>IF(F32="","",IF(F32=0,"Critical",IF(F32=1,"High",IF(F32=2,"Moderate",IF(F32=3,"Low","Effective")))))</x:f>
      </x:c>
      <x:c r="M32" s="20"/>
      <x:c r="N32" s="20"/>
      <x:c r="O32" s="21"/>
      <x:c r="P32" s="20"/>
    </x:row>
    <x:row r="33">
      <x:c r="A33" s="20"/>
      <x:c r="B33" s="20"/>
      <x:c r="C33" s="20"/>
      <x:c r="D33" s="20"/>
      <x:c r="E33" s="20"/>
      <x:c r="F33" s="20"/>
      <x:c r="G33" s="20" t="str">
        <x:f>IF(OR(E33="",F33=""),"",E33*F33)</x:f>
      </x:c>
      <x:c r="H33" s="20"/>
      <x:c r="I33" s="21"/>
      <x:c r="J33" s="20"/>
      <x:c r="K33" s="20"/>
      <x:c r="L33" s="20" t="str">
        <x:f>IF(F33="","",IF(F33=0,"Critical",IF(F33=1,"High",IF(F33=2,"Moderate",IF(F33=3,"Low","Effective")))))</x:f>
      </x:c>
      <x:c r="M33" s="20"/>
      <x:c r="N33" s="20"/>
      <x:c r="O33" s="21"/>
      <x:c r="P33" s="20"/>
    </x:row>
    <x:row r="34">
      <x:c r="A34" s="20"/>
      <x:c r="B34" s="20"/>
      <x:c r="C34" s="20"/>
      <x:c r="D34" s="20"/>
      <x:c r="E34" s="20"/>
      <x:c r="F34" s="20"/>
      <x:c r="G34" s="20" t="str">
        <x:f>IF(OR(E34="",F34=""),"",E34*F34)</x:f>
      </x:c>
      <x:c r="H34" s="20"/>
      <x:c r="I34" s="21"/>
      <x:c r="J34" s="20"/>
      <x:c r="K34" s="20"/>
      <x:c r="L34" s="20" t="str">
        <x:f>IF(F34="","",IF(F34=0,"Critical",IF(F34=1,"High",IF(F34=2,"Moderate",IF(F34=3,"Low","Effective")))))</x:f>
      </x:c>
      <x:c r="M34" s="20"/>
      <x:c r="N34" s="20"/>
      <x:c r="O34" s="21"/>
      <x:c r="P34" s="20"/>
    </x:row>
    <x:row r="35">
      <x:c r="A35" s="20"/>
      <x:c r="B35" s="20"/>
      <x:c r="C35" s="20"/>
      <x:c r="D35" s="20"/>
      <x:c r="E35" s="20"/>
      <x:c r="F35" s="20"/>
      <x:c r="G35" s="20" t="str">
        <x:f>IF(OR(E35="",F35=""),"",E35*F35)</x:f>
      </x:c>
      <x:c r="H35" s="20"/>
      <x:c r="I35" s="21"/>
      <x:c r="J35" s="20"/>
      <x:c r="K35" s="20"/>
      <x:c r="L35" s="20" t="str">
        <x:f>IF(F35="","",IF(F35=0,"Critical",IF(F35=1,"High",IF(F35=2,"Moderate",IF(F35=3,"Low","Effective")))))</x:f>
      </x:c>
      <x:c r="M35" s="20"/>
      <x:c r="N35" s="20"/>
      <x:c r="O35" s="21"/>
      <x:c r="P35" s="20"/>
    </x:row>
    <x:row r="36">
      <x:c r="A36" s="20"/>
      <x:c r="B36" s="20"/>
      <x:c r="C36" s="20"/>
      <x:c r="D36" s="20"/>
      <x:c r="E36" s="20"/>
      <x:c r="F36" s="20"/>
      <x:c r="G36" s="20" t="str">
        <x:f>IF(OR(E36="",F36=""),"",E36*F36)</x:f>
      </x:c>
      <x:c r="H36" s="20"/>
      <x:c r="I36" s="21"/>
      <x:c r="J36" s="20"/>
      <x:c r="K36" s="20"/>
      <x:c r="L36" s="20" t="str">
        <x:f>IF(F36="","",IF(F36=0,"Critical",IF(F36=1,"High",IF(F36=2,"Moderate",IF(F36=3,"Low","Effective")))))</x:f>
      </x:c>
      <x:c r="M36" s="20"/>
      <x:c r="N36" s="20"/>
      <x:c r="O36" s="21"/>
      <x:c r="P36" s="20"/>
    </x:row>
    <x:row r="37">
      <x:c r="A37" s="20"/>
      <x:c r="B37" s="20"/>
      <x:c r="C37" s="20"/>
      <x:c r="D37" s="20"/>
      <x:c r="E37" s="20"/>
      <x:c r="F37" s="20"/>
      <x:c r="G37" s="20" t="str">
        <x:f>IF(OR(E37="",F37=""),"",E37*F37)</x:f>
      </x:c>
      <x:c r="H37" s="20"/>
      <x:c r="I37" s="21"/>
      <x:c r="J37" s="20"/>
      <x:c r="K37" s="20"/>
      <x:c r="L37" s="20" t="str">
        <x:f>IF(F37="","",IF(F37=0,"Critical",IF(F37=1,"High",IF(F37=2,"Moderate",IF(F37=3,"Low","Effective")))))</x:f>
      </x:c>
      <x:c r="M37" s="20"/>
      <x:c r="N37" s="20"/>
      <x:c r="O37" s="21"/>
      <x:c r="P37" s="20"/>
    </x:row>
    <x:row r="38">
      <x:c r="A38" s="20"/>
      <x:c r="B38" s="20"/>
      <x:c r="C38" s="20"/>
      <x:c r="D38" s="20"/>
      <x:c r="E38" s="20"/>
      <x:c r="F38" s="20"/>
      <x:c r="G38" s="20" t="str">
        <x:f>IF(OR(E38="",F38=""),"",E38*F38)</x:f>
      </x:c>
      <x:c r="H38" s="20"/>
      <x:c r="I38" s="21"/>
      <x:c r="J38" s="20"/>
      <x:c r="K38" s="20"/>
      <x:c r="L38" s="20" t="str">
        <x:f>IF(F38="","",IF(F38=0,"Critical",IF(F38=1,"High",IF(F38=2,"Moderate",IF(F38=3,"Low","Effective")))))</x:f>
      </x:c>
      <x:c r="M38" s="20"/>
      <x:c r="N38" s="20"/>
      <x:c r="O38" s="21"/>
      <x:c r="P38" s="20"/>
    </x:row>
    <x:row r="39">
      <x:c r="A39" s="20"/>
      <x:c r="B39" s="20"/>
      <x:c r="C39" s="20"/>
      <x:c r="D39" s="20"/>
      <x:c r="E39" s="20"/>
      <x:c r="F39" s="20"/>
      <x:c r="G39" s="20" t="str">
        <x:f>IF(OR(E39="",F39=""),"",E39*F39)</x:f>
      </x:c>
      <x:c r="H39" s="20"/>
      <x:c r="I39" s="21"/>
      <x:c r="J39" s="20"/>
      <x:c r="K39" s="20"/>
      <x:c r="L39" s="20" t="str">
        <x:f>IF(F39="","",IF(F39=0,"Critical",IF(F39=1,"High",IF(F39=2,"Moderate",IF(F39=3,"Low","Effective")))))</x:f>
      </x:c>
      <x:c r="M39" s="20"/>
      <x:c r="N39" s="20"/>
      <x:c r="O39" s="21"/>
      <x:c r="P39" s="20"/>
    </x:row>
    <x:row r="40">
      <x:c r="A40" s="20"/>
      <x:c r="B40" s="20"/>
      <x:c r="C40" s="20"/>
      <x:c r="D40" s="20"/>
      <x:c r="E40" s="20"/>
      <x:c r="F40" s="20"/>
      <x:c r="G40" s="20" t="str">
        <x:f>IF(OR(E40="",F40=""),"",E40*F40)</x:f>
      </x:c>
      <x:c r="H40" s="20"/>
      <x:c r="I40" s="21"/>
      <x:c r="J40" s="20"/>
      <x:c r="K40" s="20"/>
      <x:c r="L40" s="20" t="str">
        <x:f>IF(F40="","",IF(F40=0,"Critical",IF(F40=1,"High",IF(F40=2,"Moderate",IF(F40=3,"Low","Effective")))))</x:f>
      </x:c>
      <x:c r="M40" s="20"/>
      <x:c r="N40" s="20"/>
      <x:c r="O40" s="21"/>
      <x:c r="P40" s="20"/>
    </x:row>
    <x:row r="41">
      <x:c r="A41" s="20"/>
      <x:c r="B41" s="20"/>
      <x:c r="C41" s="20"/>
      <x:c r="D41" s="20"/>
      <x:c r="E41" s="20"/>
      <x:c r="F41" s="20"/>
      <x:c r="G41" s="20" t="str">
        <x:f>IF(OR(E41="",F41=""),"",E41*F41)</x:f>
      </x:c>
      <x:c r="H41" s="20"/>
      <x:c r="I41" s="21"/>
      <x:c r="J41" s="20"/>
      <x:c r="K41" s="20"/>
      <x:c r="L41" s="20" t="str">
        <x:f>IF(F41="","",IF(F41=0,"Critical",IF(F41=1,"High",IF(F41=2,"Moderate",IF(F41=3,"Low","Effective")))))</x:f>
      </x:c>
      <x:c r="M41" s="20"/>
      <x:c r="N41" s="20"/>
      <x:c r="O41" s="21"/>
      <x:c r="P41" s="20"/>
    </x:row>
    <x:row r="42">
      <x:c r="A42" s="20"/>
      <x:c r="B42" s="20"/>
      <x:c r="C42" s="20"/>
      <x:c r="D42" s="20"/>
      <x:c r="E42" s="20"/>
      <x:c r="F42" s="20"/>
      <x:c r="G42" s="20" t="str">
        <x:f>IF(OR(E42="",F42=""),"",E42*F42)</x:f>
      </x:c>
      <x:c r="H42" s="20"/>
      <x:c r="I42" s="21"/>
      <x:c r="J42" s="20"/>
      <x:c r="K42" s="20"/>
      <x:c r="L42" s="20" t="str">
        <x:f>IF(F42="","",IF(F42=0,"Critical",IF(F42=1,"High",IF(F42=2,"Moderate",IF(F42=3,"Low","Effective")))))</x:f>
      </x:c>
      <x:c r="M42" s="20"/>
      <x:c r="N42" s="20"/>
      <x:c r="O42" s="21"/>
      <x:c r="P42" s="20"/>
    </x:row>
    <x:row r="43">
      <x:c r="A43" s="20"/>
      <x:c r="B43" s="20"/>
      <x:c r="C43" s="20"/>
      <x:c r="D43" s="20"/>
      <x:c r="E43" s="20"/>
      <x:c r="F43" s="20"/>
      <x:c r="G43" s="20" t="str">
        <x:f>IF(OR(E43="",F43=""),"",E43*F43)</x:f>
      </x:c>
      <x:c r="H43" s="20"/>
      <x:c r="I43" s="21"/>
      <x:c r="J43" s="20"/>
      <x:c r="K43" s="20"/>
      <x:c r="L43" s="20" t="str">
        <x:f>IF(F43="","",IF(F43=0,"Critical",IF(F43=1,"High",IF(F43=2,"Moderate",IF(F43=3,"Low","Effective")))))</x:f>
      </x:c>
      <x:c r="M43" s="20"/>
      <x:c r="N43" s="20"/>
      <x:c r="O43" s="21"/>
      <x:c r="P43" s="20"/>
    </x:row>
    <x:row r="44">
      <x:c r="A44" s="20"/>
      <x:c r="B44" s="20"/>
      <x:c r="C44" s="20"/>
      <x:c r="D44" s="20"/>
      <x:c r="E44" s="20"/>
      <x:c r="F44" s="20"/>
      <x:c r="G44" s="20" t="str">
        <x:f>IF(OR(E44="",F44=""),"",E44*F44)</x:f>
      </x:c>
      <x:c r="H44" s="20"/>
      <x:c r="I44" s="21"/>
      <x:c r="J44" s="20"/>
      <x:c r="K44" s="20"/>
      <x:c r="L44" s="20" t="str">
        <x:f>IF(F44="","",IF(F44=0,"Critical",IF(F44=1,"High",IF(F44=2,"Moderate",IF(F44=3,"Low","Effective")))))</x:f>
      </x:c>
      <x:c r="M44" s="20"/>
      <x:c r="N44" s="20"/>
      <x:c r="O44" s="21"/>
      <x:c r="P44" s="20"/>
    </x:row>
    <x:row r="45">
      <x:c r="A45" s="20"/>
      <x:c r="B45" s="20"/>
      <x:c r="C45" s="20"/>
      <x:c r="D45" s="20"/>
      <x:c r="E45" s="20"/>
      <x:c r="F45" s="20"/>
      <x:c r="G45" s="20" t="str">
        <x:f>IF(OR(E45="",F45=""),"",E45*F45)</x:f>
      </x:c>
      <x:c r="H45" s="20"/>
      <x:c r="I45" s="21"/>
      <x:c r="J45" s="20"/>
      <x:c r="K45" s="20"/>
      <x:c r="L45" s="20" t="str">
        <x:f>IF(F45="","",IF(F45=0,"Critical",IF(F45=1,"High",IF(F45=2,"Moderate",IF(F45=3,"Low","Effective")))))</x:f>
      </x:c>
      <x:c r="M45" s="20"/>
      <x:c r="N45" s="20"/>
      <x:c r="O45" s="21"/>
      <x:c r="P45" s="20"/>
    </x:row>
    <x:row r="46">
      <x:c r="A46" s="20"/>
      <x:c r="B46" s="20"/>
      <x:c r="C46" s="20"/>
      <x:c r="D46" s="20"/>
      <x:c r="E46" s="20"/>
      <x:c r="F46" s="20"/>
      <x:c r="G46" s="20" t="str">
        <x:f>IF(OR(E46="",F46=""),"",E46*F46)</x:f>
      </x:c>
      <x:c r="H46" s="20"/>
      <x:c r="I46" s="21"/>
      <x:c r="J46" s="20"/>
      <x:c r="K46" s="20"/>
      <x:c r="L46" s="20" t="str">
        <x:f>IF(F46="","",IF(F46=0,"Critical",IF(F46=1,"High",IF(F46=2,"Moderate",IF(F46=3,"Low","Effective")))))</x:f>
      </x:c>
      <x:c r="M46" s="20"/>
      <x:c r="N46" s="20"/>
      <x:c r="O46" s="21"/>
      <x:c r="P46" s="20"/>
    </x:row>
    <x:row r="47">
      <x:c r="A47" s="20"/>
      <x:c r="B47" s="20"/>
      <x:c r="C47" s="20"/>
      <x:c r="D47" s="20"/>
      <x:c r="E47" s="20"/>
      <x:c r="F47" s="20"/>
      <x:c r="G47" s="20" t="str">
        <x:f>IF(OR(E47="",F47=""),"",E47*F47)</x:f>
      </x:c>
      <x:c r="H47" s="20"/>
      <x:c r="I47" s="21"/>
      <x:c r="J47" s="20"/>
      <x:c r="K47" s="20"/>
      <x:c r="L47" s="20" t="str">
        <x:f>IF(F47="","",IF(F47=0,"Critical",IF(F47=1,"High",IF(F47=2,"Moderate",IF(F47=3,"Low","Effective")))))</x:f>
      </x:c>
      <x:c r="M47" s="20"/>
      <x:c r="N47" s="20"/>
      <x:c r="O47" s="21"/>
      <x:c r="P47" s="20"/>
    </x:row>
    <x:row r="48">
      <x:c r="A48" s="20"/>
      <x:c r="B48" s="20"/>
      <x:c r="C48" s="20"/>
      <x:c r="D48" s="20"/>
      <x:c r="E48" s="20"/>
      <x:c r="F48" s="20"/>
      <x:c r="G48" s="20" t="str">
        <x:f>IF(OR(E48="",F48=""),"",E48*F48)</x:f>
      </x:c>
      <x:c r="H48" s="20"/>
      <x:c r="I48" s="21"/>
      <x:c r="J48" s="20"/>
      <x:c r="K48" s="20"/>
      <x:c r="L48" s="20" t="str">
        <x:f>IF(F48="","",IF(F48=0,"Critical",IF(F48=1,"High",IF(F48=2,"Moderate",IF(F48=3,"Low","Effective")))))</x:f>
      </x:c>
      <x:c r="M48" s="20"/>
      <x:c r="N48" s="20"/>
      <x:c r="O48" s="21"/>
      <x:c r="P48" s="20"/>
    </x:row>
    <x:row r="49">
      <x:c r="A49" s="20"/>
      <x:c r="B49" s="20"/>
      <x:c r="C49" s="20"/>
      <x:c r="D49" s="20"/>
      <x:c r="E49" s="20"/>
      <x:c r="F49" s="20"/>
      <x:c r="G49" s="20" t="str">
        <x:f>IF(OR(E49="",F49=""),"",E49*F49)</x:f>
      </x:c>
      <x:c r="H49" s="20"/>
      <x:c r="I49" s="21"/>
      <x:c r="J49" s="20"/>
      <x:c r="K49" s="20"/>
      <x:c r="L49" s="20" t="str">
        <x:f>IF(F49="","",IF(F49=0,"Critical",IF(F49=1,"High",IF(F49=2,"Moderate",IF(F49=3,"Low","Effective")))))</x:f>
      </x:c>
      <x:c r="M49" s="20"/>
      <x:c r="N49" s="20"/>
      <x:c r="O49" s="21"/>
      <x:c r="P49" s="20"/>
    </x:row>
    <x:row r="50">
      <x:c r="A50" s="20"/>
      <x:c r="B50" s="20"/>
      <x:c r="C50" s="20"/>
      <x:c r="D50" s="20"/>
      <x:c r="E50" s="20"/>
      <x:c r="F50" s="20"/>
      <x:c r="G50" s="20" t="str">
        <x:f>IF(OR(E50="",F50=""),"",E50*F50)</x:f>
      </x:c>
      <x:c r="H50" s="20"/>
      <x:c r="I50" s="21"/>
      <x:c r="J50" s="20"/>
      <x:c r="K50" s="20"/>
      <x:c r="L50" s="20" t="str">
        <x:f>IF(F50="","",IF(F50=0,"Critical",IF(F50=1,"High",IF(F50=2,"Moderate",IF(F50=3,"Low","Effective")))))</x:f>
      </x:c>
      <x:c r="M50" s="20"/>
      <x:c r="N50" s="20"/>
      <x:c r="O50" s="21"/>
      <x:c r="P50" s="20"/>
    </x:row>
    <x:row r="51">
      <x:c r="A51" s="20"/>
      <x:c r="B51" s="20"/>
      <x:c r="C51" s="20"/>
      <x:c r="D51" s="20"/>
      <x:c r="E51" s="20"/>
      <x:c r="F51" s="20"/>
      <x:c r="G51" s="20" t="str">
        <x:f>IF(OR(E51="",F51=""),"",E51*F51)</x:f>
      </x:c>
      <x:c r="H51" s="20"/>
      <x:c r="I51" s="21"/>
      <x:c r="J51" s="20"/>
      <x:c r="K51" s="20"/>
      <x:c r="L51" s="20" t="str">
        <x:f>IF(F51="","",IF(F51=0,"Critical",IF(F51=1,"High",IF(F51=2,"Moderate",IF(F51=3,"Low","Effective")))))</x:f>
      </x:c>
      <x:c r="M51" s="20"/>
      <x:c r="N51" s="20"/>
      <x:c r="O51" s="21"/>
      <x:c r="P51" s="20"/>
    </x:row>
    <x:row r="52">
      <x:c r="A52" s="20"/>
      <x:c r="B52" s="20"/>
      <x:c r="C52" s="20"/>
      <x:c r="D52" s="20"/>
      <x:c r="E52" s="20"/>
      <x:c r="F52" s="20"/>
      <x:c r="G52" s="20" t="str">
        <x:f>IF(OR(E52="",F52=""),"",E52*F52)</x:f>
      </x:c>
      <x:c r="H52" s="20"/>
      <x:c r="I52" s="21"/>
      <x:c r="J52" s="20"/>
      <x:c r="K52" s="20"/>
      <x:c r="L52" s="20" t="str">
        <x:f>IF(F52="","",IF(F52=0,"Critical",IF(F52=1,"High",IF(F52=2,"Moderate",IF(F52=3,"Low","Effective")))))</x:f>
      </x:c>
      <x:c r="M52" s="20"/>
      <x:c r="N52" s="20"/>
      <x:c r="O52" s="21"/>
      <x:c r="P52" s="20"/>
    </x:row>
    <x:row r="53">
      <x:c r="A53" s="20"/>
      <x:c r="B53" s="20"/>
      <x:c r="C53" s="20"/>
      <x:c r="D53" s="20"/>
      <x:c r="E53" s="20"/>
      <x:c r="F53" s="20"/>
      <x:c r="G53" s="20" t="str">
        <x:f>IF(OR(E53="",F53=""),"",E53*F53)</x:f>
      </x:c>
      <x:c r="H53" s="20"/>
      <x:c r="I53" s="21"/>
      <x:c r="J53" s="20"/>
      <x:c r="K53" s="20"/>
      <x:c r="L53" s="20" t="str">
        <x:f>IF(F53="","",IF(F53=0,"Critical",IF(F53=1,"High",IF(F53=2,"Moderate",IF(F53=3,"Low","Effective")))))</x:f>
      </x:c>
      <x:c r="M53" s="20"/>
      <x:c r="N53" s="20"/>
      <x:c r="O53" s="21"/>
      <x:c r="P53" s="20"/>
    </x:row>
    <x:row r="54">
      <x:c r="A54" s="20"/>
      <x:c r="B54" s="20"/>
      <x:c r="C54" s="20"/>
      <x:c r="D54" s="20"/>
      <x:c r="E54" s="20"/>
      <x:c r="F54" s="20"/>
      <x:c r="G54" s="20" t="str">
        <x:f>IF(OR(E54="",F54=""),"",E54*F54)</x:f>
      </x:c>
      <x:c r="H54" s="20"/>
      <x:c r="I54" s="21"/>
      <x:c r="J54" s="20"/>
      <x:c r="K54" s="20"/>
      <x:c r="L54" s="20" t="str">
        <x:f>IF(F54="","",IF(F54=0,"Critical",IF(F54=1,"High",IF(F54=2,"Moderate",IF(F54=3,"Low","Effective")))))</x:f>
      </x:c>
      <x:c r="M54" s="20"/>
      <x:c r="N54" s="20"/>
      <x:c r="O54" s="21"/>
      <x:c r="P54" s="20"/>
    </x:row>
    <x:row r="55">
      <x:c r="A55" s="20"/>
      <x:c r="B55" s="20"/>
      <x:c r="C55" s="20"/>
      <x:c r="D55" s="20"/>
      <x:c r="E55" s="20"/>
      <x:c r="F55" s="20"/>
      <x:c r="G55" s="20" t="str">
        <x:f>IF(OR(E55="",F55=""),"",E55*F55)</x:f>
      </x:c>
      <x:c r="H55" s="20"/>
      <x:c r="I55" s="21"/>
      <x:c r="J55" s="20"/>
      <x:c r="K55" s="20"/>
      <x:c r="L55" s="20" t="str">
        <x:f>IF(F55="","",IF(F55=0,"Critical",IF(F55=1,"High",IF(F55=2,"Moderate",IF(F55=3,"Low","Effective")))))</x:f>
      </x:c>
      <x:c r="M55" s="20"/>
      <x:c r="N55" s="20"/>
      <x:c r="O55" s="21"/>
      <x:c r="P55" s="20"/>
    </x:row>
    <x:row r="56">
      <x:c r="A56" s="20"/>
      <x:c r="B56" s="20"/>
      <x:c r="C56" s="20"/>
      <x:c r="D56" s="20"/>
      <x:c r="E56" s="20"/>
      <x:c r="F56" s="20"/>
      <x:c r="G56" s="20" t="str">
        <x:f>IF(OR(E56="",F56=""),"",E56*F56)</x:f>
      </x:c>
      <x:c r="H56" s="20"/>
      <x:c r="I56" s="21"/>
      <x:c r="J56" s="20"/>
      <x:c r="K56" s="20"/>
      <x:c r="L56" s="20" t="str">
        <x:f>IF(F56="","",IF(F56=0,"Critical",IF(F56=1,"High",IF(F56=2,"Moderate",IF(F56=3,"Low","Effective")))))</x:f>
      </x:c>
      <x:c r="M56" s="20"/>
      <x:c r="N56" s="20"/>
      <x:c r="O56" s="21"/>
      <x:c r="P56" s="20"/>
    </x:row>
    <x:row r="57">
      <x:c r="A57" s="20"/>
      <x:c r="B57" s="20"/>
      <x:c r="C57" s="20"/>
      <x:c r="D57" s="20"/>
      <x:c r="E57" s="20"/>
      <x:c r="F57" s="20"/>
      <x:c r="G57" s="20" t="str">
        <x:f>IF(OR(E57="",F57=""),"",E57*F57)</x:f>
      </x:c>
      <x:c r="H57" s="20"/>
      <x:c r="I57" s="21"/>
      <x:c r="J57" s="20"/>
      <x:c r="K57" s="20"/>
      <x:c r="L57" s="20" t="str">
        <x:f>IF(F57="","",IF(F57=0,"Critical",IF(F57=1,"High",IF(F57=2,"Moderate",IF(F57=3,"Low","Effective")))))</x:f>
      </x:c>
      <x:c r="M57" s="20"/>
      <x:c r="N57" s="20"/>
      <x:c r="O57" s="21"/>
      <x:c r="P57" s="20"/>
    </x:row>
    <x:row r="58">
      <x:c r="A58" s="20"/>
      <x:c r="B58" s="20"/>
      <x:c r="C58" s="20"/>
      <x:c r="D58" s="20"/>
      <x:c r="E58" s="20"/>
      <x:c r="F58" s="20"/>
      <x:c r="G58" s="20" t="str">
        <x:f>IF(OR(E58="",F58=""),"",E58*F58)</x:f>
      </x:c>
      <x:c r="H58" s="20"/>
      <x:c r="I58" s="21"/>
      <x:c r="J58" s="20"/>
      <x:c r="K58" s="20"/>
      <x:c r="L58" s="20" t="str">
        <x:f>IF(F58="","",IF(F58=0,"Critical",IF(F58=1,"High",IF(F58=2,"Moderate",IF(F58=3,"Low","Effective")))))</x:f>
      </x:c>
      <x:c r="M58" s="20"/>
      <x:c r="N58" s="20"/>
      <x:c r="O58" s="21"/>
      <x:c r="P58" s="20"/>
    </x:row>
    <x:row r="59">
      <x:c r="A59" s="20"/>
      <x:c r="B59" s="20"/>
      <x:c r="C59" s="20"/>
      <x:c r="D59" s="20"/>
      <x:c r="E59" s="20"/>
      <x:c r="F59" s="20"/>
      <x:c r="G59" s="20" t="str">
        <x:f>IF(OR(E59="",F59=""),"",E59*F59)</x:f>
      </x:c>
      <x:c r="H59" s="20"/>
      <x:c r="I59" s="21"/>
      <x:c r="J59" s="20"/>
      <x:c r="K59" s="20"/>
      <x:c r="L59" s="20" t="str">
        <x:f>IF(F59="","",IF(F59=0,"Critical",IF(F59=1,"High",IF(F59=2,"Moderate",IF(F59=3,"Low","Effective")))))</x:f>
      </x:c>
      <x:c r="M59" s="20"/>
      <x:c r="N59" s="20"/>
      <x:c r="O59" s="21"/>
      <x:c r="P59" s="20"/>
    </x:row>
    <x:row r="60">
      <x:c r="A60" s="20"/>
      <x:c r="B60" s="20"/>
      <x:c r="C60" s="20"/>
      <x:c r="D60" s="20"/>
      <x:c r="E60" s="20"/>
      <x:c r="F60" s="20"/>
      <x:c r="G60" s="20" t="str">
        <x:f>IF(OR(E60="",F60=""),"",E60*F60)</x:f>
      </x:c>
      <x:c r="H60" s="20"/>
      <x:c r="I60" s="21"/>
      <x:c r="J60" s="20"/>
      <x:c r="K60" s="20"/>
      <x:c r="L60" s="20" t="str">
        <x:f>IF(F60="","",IF(F60=0,"Critical",IF(F60=1,"High",IF(F60=2,"Moderate",IF(F60=3,"Low","Effective")))))</x:f>
      </x:c>
      <x:c r="M60" s="20"/>
      <x:c r="N60" s="20"/>
      <x:c r="O60" s="21"/>
      <x:c r="P60" s="20"/>
    </x:row>
    <x:row r="61">
      <x:c r="A61" s="20"/>
      <x:c r="B61" s="20"/>
      <x:c r="C61" s="20"/>
      <x:c r="D61" s="20"/>
      <x:c r="E61" s="20"/>
      <x:c r="F61" s="20"/>
      <x:c r="G61" s="20" t="str">
        <x:f>IF(OR(E61="",F61=""),"",E61*F61)</x:f>
      </x:c>
      <x:c r="H61" s="20"/>
      <x:c r="I61" s="21"/>
      <x:c r="J61" s="20"/>
      <x:c r="K61" s="20"/>
      <x:c r="L61" s="20" t="str">
        <x:f>IF(F61="","",IF(F61=0,"Critical",IF(F61=1,"High",IF(F61=2,"Moderate",IF(F61=3,"Low","Effective")))))</x:f>
      </x:c>
      <x:c r="M61" s="20"/>
      <x:c r="N61" s="20"/>
      <x:c r="O61" s="21"/>
      <x:c r="P61" s="20"/>
    </x:row>
    <x:row r="62">
      <x:c r="A62" s="20"/>
      <x:c r="B62" s="20"/>
      <x:c r="C62" s="20"/>
      <x:c r="D62" s="20"/>
      <x:c r="E62" s="20"/>
      <x:c r="F62" s="20"/>
      <x:c r="G62" s="20" t="str">
        <x:f>IF(OR(E62="",F62=""),"",E62*F62)</x:f>
      </x:c>
      <x:c r="H62" s="20"/>
      <x:c r="I62" s="21"/>
      <x:c r="J62" s="20"/>
      <x:c r="K62" s="20"/>
      <x:c r="L62" s="20" t="str">
        <x:f>IF(F62="","",IF(F62=0,"Critical",IF(F62=1,"High",IF(F62=2,"Moderate",IF(F62=3,"Low","Effective")))))</x:f>
      </x:c>
      <x:c r="M62" s="20"/>
      <x:c r="N62" s="20"/>
      <x:c r="O62" s="21"/>
      <x:c r="P62" s="20"/>
    </x:row>
    <x:row r="63">
      <x:c r="A63" s="20"/>
      <x:c r="B63" s="20"/>
      <x:c r="C63" s="20"/>
      <x:c r="D63" s="20"/>
      <x:c r="E63" s="20"/>
      <x:c r="F63" s="20"/>
      <x:c r="G63" s="20" t="str">
        <x:f>IF(OR(E63="",F63=""),"",E63*F63)</x:f>
      </x:c>
      <x:c r="H63" s="20"/>
      <x:c r="I63" s="21"/>
      <x:c r="J63" s="20"/>
      <x:c r="K63" s="20"/>
      <x:c r="L63" s="20" t="str">
        <x:f>IF(F63="","",IF(F63=0,"Critical",IF(F63=1,"High",IF(F63=2,"Moderate",IF(F63=3,"Low","Effective")))))</x:f>
      </x:c>
      <x:c r="M63" s="20"/>
      <x:c r="N63" s="20"/>
      <x:c r="O63" s="21"/>
      <x:c r="P63" s="20"/>
    </x:row>
    <x:row r="64">
      <x:c r="A64" s="20"/>
      <x:c r="B64" s="20"/>
      <x:c r="C64" s="20"/>
      <x:c r="D64" s="20"/>
      <x:c r="E64" s="20"/>
      <x:c r="F64" s="20"/>
      <x:c r="G64" s="20" t="str">
        <x:f>IF(OR(E64="",F64=""),"",E64*F64)</x:f>
      </x:c>
      <x:c r="H64" s="20"/>
      <x:c r="I64" s="21"/>
      <x:c r="J64" s="20"/>
      <x:c r="K64" s="20"/>
      <x:c r="L64" s="20" t="str">
        <x:f>IF(F64="","",IF(F64=0,"Critical",IF(F64=1,"High",IF(F64=2,"Moderate",IF(F64=3,"Low","Effective")))))</x:f>
      </x:c>
      <x:c r="M64" s="20"/>
      <x:c r="N64" s="20"/>
      <x:c r="O64" s="21"/>
      <x:c r="P64" s="20"/>
    </x:row>
    <x:row r="65">
      <x:c r="A65" s="20"/>
      <x:c r="B65" s="20"/>
      <x:c r="C65" s="20"/>
      <x:c r="D65" s="20"/>
      <x:c r="E65" s="20"/>
      <x:c r="F65" s="20"/>
      <x:c r="G65" s="20" t="str">
        <x:f>IF(OR(E65="",F65=""),"",E65*F65)</x:f>
      </x:c>
      <x:c r="H65" s="20"/>
      <x:c r="I65" s="21"/>
      <x:c r="J65" s="20"/>
      <x:c r="K65" s="20"/>
      <x:c r="L65" s="20" t="str">
        <x:f>IF(F65="","",IF(F65=0,"Critical",IF(F65=1,"High",IF(F65=2,"Moderate",IF(F65=3,"Low","Effective")))))</x:f>
      </x:c>
      <x:c r="M65" s="20"/>
      <x:c r="N65" s="20"/>
      <x:c r="O65" s="21"/>
      <x:c r="P65" s="20"/>
    </x:row>
    <x:row r="66">
      <x:c r="A66" s="20"/>
      <x:c r="B66" s="20"/>
      <x:c r="C66" s="20"/>
      <x:c r="D66" s="20"/>
      <x:c r="E66" s="20"/>
      <x:c r="F66" s="20"/>
      <x:c r="G66" s="20" t="str">
        <x:f>IF(OR(E66="",F66=""),"",E66*F66)</x:f>
      </x:c>
      <x:c r="H66" s="20"/>
      <x:c r="I66" s="21"/>
      <x:c r="J66" s="20"/>
      <x:c r="K66" s="20"/>
      <x:c r="L66" s="20" t="str">
        <x:f>IF(F66="","",IF(F66=0,"Critical",IF(F66=1,"High",IF(F66=2,"Moderate",IF(F66=3,"Low","Effective")))))</x:f>
      </x:c>
      <x:c r="M66" s="20"/>
      <x:c r="N66" s="20"/>
      <x:c r="O66" s="21"/>
      <x:c r="P66" s="20"/>
    </x:row>
    <x:row r="67">
      <x:c r="A67" s="20"/>
      <x:c r="B67" s="20"/>
      <x:c r="C67" s="20"/>
      <x:c r="D67" s="20"/>
      <x:c r="E67" s="20"/>
      <x:c r="F67" s="20"/>
      <x:c r="G67" s="20" t="str">
        <x:f>IF(OR(E67="",F67=""),"",E67*F67)</x:f>
      </x:c>
      <x:c r="H67" s="20"/>
      <x:c r="I67" s="21"/>
      <x:c r="J67" s="20"/>
      <x:c r="K67" s="20"/>
      <x:c r="L67" s="20" t="str">
        <x:f>IF(F67="","",IF(F67=0,"Critical",IF(F67=1,"High",IF(F67=2,"Moderate",IF(F67=3,"Low","Effective")))))</x:f>
      </x:c>
      <x:c r="M67" s="20"/>
      <x:c r="N67" s="20"/>
      <x:c r="O67" s="21"/>
      <x:c r="P67" s="20"/>
    </x:row>
    <x:row r="68">
      <x:c r="A68" s="20"/>
      <x:c r="B68" s="20"/>
      <x:c r="C68" s="20"/>
      <x:c r="D68" s="20"/>
      <x:c r="E68" s="20"/>
      <x:c r="F68" s="20"/>
      <x:c r="G68" s="20" t="str">
        <x:f>IF(OR(E68="",F68=""),"",E68*F68)</x:f>
      </x:c>
      <x:c r="H68" s="20"/>
      <x:c r="I68" s="21"/>
      <x:c r="J68" s="20"/>
      <x:c r="K68" s="20"/>
      <x:c r="L68" s="20" t="str">
        <x:f>IF(F68="","",IF(F68=0,"Critical",IF(F68=1,"High",IF(F68=2,"Moderate",IF(F68=3,"Low","Effective")))))</x:f>
      </x:c>
      <x:c r="M68" s="20"/>
      <x:c r="N68" s="20"/>
      <x:c r="O68" s="21"/>
      <x:c r="P68" s="20"/>
    </x:row>
    <x:row r="69">
      <x:c r="A69" s="20"/>
      <x:c r="B69" s="20"/>
      <x:c r="C69" s="20"/>
      <x:c r="D69" s="20"/>
      <x:c r="E69" s="20"/>
      <x:c r="F69" s="20"/>
      <x:c r="G69" s="20" t="str">
        <x:f>IF(OR(E69="",F69=""),"",E69*F69)</x:f>
      </x:c>
      <x:c r="H69" s="20"/>
      <x:c r="I69" s="21"/>
      <x:c r="J69" s="20"/>
      <x:c r="K69" s="20"/>
      <x:c r="L69" s="20" t="str">
        <x:f>IF(F69="","",IF(F69=0,"Critical",IF(F69=1,"High",IF(F69=2,"Moderate",IF(F69=3,"Low","Effective")))))</x:f>
      </x:c>
      <x:c r="M69" s="20"/>
      <x:c r="N69" s="20"/>
      <x:c r="O69" s="21"/>
      <x:c r="P69" s="20"/>
    </x:row>
    <x:row r="70">
      <x:c r="A70" s="20"/>
      <x:c r="B70" s="20"/>
      <x:c r="C70" s="20"/>
      <x:c r="D70" s="20"/>
      <x:c r="E70" s="20"/>
      <x:c r="F70" s="20"/>
      <x:c r="G70" s="20" t="str">
        <x:f>IF(OR(E70="",F70=""),"",E70*F70)</x:f>
      </x:c>
      <x:c r="H70" s="20"/>
      <x:c r="I70" s="21"/>
      <x:c r="J70" s="20"/>
      <x:c r="K70" s="20"/>
      <x:c r="L70" s="20" t="str">
        <x:f>IF(F70="","",IF(F70=0,"Critical",IF(F70=1,"High",IF(F70=2,"Moderate",IF(F70=3,"Low","Effective")))))</x:f>
      </x:c>
      <x:c r="M70" s="20"/>
      <x:c r="N70" s="20"/>
      <x:c r="O70" s="21"/>
      <x:c r="P70" s="20"/>
    </x:row>
    <x:row r="71">
      <x:c r="A71" s="20"/>
      <x:c r="B71" s="20"/>
      <x:c r="C71" s="20"/>
      <x:c r="D71" s="20"/>
      <x:c r="E71" s="20"/>
      <x:c r="F71" s="20"/>
      <x:c r="G71" s="20" t="str">
        <x:f>IF(OR(E71="",F71=""),"",E71*F71)</x:f>
      </x:c>
      <x:c r="H71" s="20"/>
      <x:c r="I71" s="21"/>
      <x:c r="J71" s="20"/>
      <x:c r="K71" s="20"/>
      <x:c r="L71" s="20" t="str">
        <x:f>IF(F71="","",IF(F71=0,"Critical",IF(F71=1,"High",IF(F71=2,"Moderate",IF(F71=3,"Low","Effective")))))</x:f>
      </x:c>
      <x:c r="M71" s="20"/>
      <x:c r="N71" s="20"/>
      <x:c r="O71" s="21"/>
      <x:c r="P71" s="20"/>
    </x:row>
    <x:row r="72">
      <x:c r="A72" s="20"/>
      <x:c r="B72" s="20"/>
      <x:c r="C72" s="20"/>
      <x:c r="D72" s="20"/>
      <x:c r="E72" s="20"/>
      <x:c r="F72" s="20"/>
      <x:c r="G72" s="20" t="str">
        <x:f>IF(OR(E72="",F72=""),"",E72*F72)</x:f>
      </x:c>
      <x:c r="H72" s="20"/>
      <x:c r="I72" s="21"/>
      <x:c r="J72" s="20"/>
      <x:c r="K72" s="20"/>
      <x:c r="L72" s="20" t="str">
        <x:f>IF(F72="","",IF(F72=0,"Critical",IF(F72=1,"High",IF(F72=2,"Moderate",IF(F72=3,"Low","Effective")))))</x:f>
      </x:c>
      <x:c r="M72" s="20"/>
      <x:c r="N72" s="20"/>
      <x:c r="O72" s="21"/>
      <x:c r="P72" s="20"/>
    </x:row>
    <x:row r="73">
      <x:c r="A73" s="20"/>
      <x:c r="B73" s="20"/>
      <x:c r="C73" s="20"/>
      <x:c r="D73" s="20"/>
      <x:c r="E73" s="20"/>
      <x:c r="F73" s="20"/>
      <x:c r="G73" s="20" t="str">
        <x:f>IF(OR(E73="",F73=""),"",E73*F73)</x:f>
      </x:c>
      <x:c r="H73" s="20"/>
      <x:c r="I73" s="21"/>
      <x:c r="J73" s="20"/>
      <x:c r="K73" s="20"/>
      <x:c r="L73" s="20" t="str">
        <x:f>IF(F73="","",IF(F73=0,"Critical",IF(F73=1,"High",IF(F73=2,"Moderate",IF(F73=3,"Low","Effective")))))</x:f>
      </x:c>
      <x:c r="M73" s="20"/>
      <x:c r="N73" s="20"/>
      <x:c r="O73" s="21"/>
      <x:c r="P73" s="20"/>
    </x:row>
    <x:row r="74">
      <x:c r="A74" s="20"/>
      <x:c r="B74" s="20"/>
      <x:c r="C74" s="20"/>
      <x:c r="D74" s="20"/>
      <x:c r="E74" s="20"/>
      <x:c r="F74" s="20"/>
      <x:c r="G74" s="20" t="str">
        <x:f>IF(OR(E74="",F74=""),"",E74*F74)</x:f>
      </x:c>
      <x:c r="H74" s="20"/>
      <x:c r="I74" s="21"/>
      <x:c r="J74" s="20"/>
      <x:c r="K74" s="20"/>
      <x:c r="L74" s="20" t="str">
        <x:f>IF(F74="","",IF(F74=0,"Critical",IF(F74=1,"High",IF(F74=2,"Moderate",IF(F74=3,"Low","Effective")))))</x:f>
      </x:c>
      <x:c r="M74" s="20"/>
      <x:c r="N74" s="20"/>
      <x:c r="O74" s="21"/>
      <x:c r="P74" s="20"/>
    </x:row>
    <x:row r="75">
      <x:c r="A75" s="20"/>
      <x:c r="B75" s="20"/>
      <x:c r="C75" s="20"/>
      <x:c r="D75" s="20"/>
      <x:c r="E75" s="20"/>
      <x:c r="F75" s="20"/>
      <x:c r="G75" s="20" t="str">
        <x:f>IF(OR(E75="",F75=""),"",E75*F75)</x:f>
      </x:c>
      <x:c r="H75" s="20"/>
      <x:c r="I75" s="21"/>
      <x:c r="J75" s="20"/>
      <x:c r="K75" s="20"/>
      <x:c r="L75" s="20" t="str">
        <x:f>IF(F75="","",IF(F75=0,"Critical",IF(F75=1,"High",IF(F75=2,"Moderate",IF(F75=3,"Low","Effective")))))</x:f>
      </x:c>
      <x:c r="M75" s="20"/>
      <x:c r="N75" s="20"/>
      <x:c r="O75" s="21"/>
      <x:c r="P75" s="20"/>
    </x:row>
    <x:row r="76">
      <x:c r="A76" s="20"/>
      <x:c r="B76" s="20"/>
      <x:c r="C76" s="20"/>
      <x:c r="D76" s="20"/>
      <x:c r="E76" s="20"/>
      <x:c r="F76" s="20"/>
      <x:c r="G76" s="20" t="str">
        <x:f>IF(OR(E76="",F76=""),"",E76*F76)</x:f>
      </x:c>
      <x:c r="H76" s="20"/>
      <x:c r="I76" s="21"/>
      <x:c r="J76" s="20"/>
      <x:c r="K76" s="20"/>
      <x:c r="L76" s="20" t="str">
        <x:f>IF(F76="","",IF(F76=0,"Critical",IF(F76=1,"High",IF(F76=2,"Moderate",IF(F76=3,"Low","Effective")))))</x:f>
      </x:c>
      <x:c r="M76" s="20"/>
      <x:c r="N76" s="20"/>
      <x:c r="O76" s="21"/>
      <x:c r="P76" s="20"/>
    </x:row>
    <x:row r="77">
      <x:c r="A77" s="20"/>
      <x:c r="B77" s="20"/>
      <x:c r="C77" s="20"/>
      <x:c r="D77" s="20"/>
      <x:c r="E77" s="20"/>
      <x:c r="F77" s="20"/>
      <x:c r="G77" s="20" t="str">
        <x:f>IF(OR(E77="",F77=""),"",E77*F77)</x:f>
      </x:c>
      <x:c r="H77" s="20"/>
      <x:c r="I77" s="21"/>
      <x:c r="J77" s="20"/>
      <x:c r="K77" s="20"/>
      <x:c r="L77" s="20" t="str">
        <x:f>IF(F77="","",IF(F77=0,"Critical",IF(F77=1,"High",IF(F77=2,"Moderate",IF(F77=3,"Low","Effective")))))</x:f>
      </x:c>
      <x:c r="M77" s="20"/>
      <x:c r="N77" s="20"/>
      <x:c r="O77" s="21"/>
      <x:c r="P77" s="20"/>
    </x:row>
    <x:row r="78">
      <x:c r="A78" s="20"/>
      <x:c r="B78" s="20"/>
      <x:c r="C78" s="20"/>
      <x:c r="D78" s="20"/>
      <x:c r="E78" s="20"/>
      <x:c r="F78" s="20"/>
      <x:c r="G78" s="20" t="str">
        <x:f>IF(OR(E78="",F78=""),"",E78*F78)</x:f>
      </x:c>
      <x:c r="H78" s="20"/>
      <x:c r="I78" s="21"/>
      <x:c r="J78" s="20"/>
      <x:c r="K78" s="20"/>
      <x:c r="L78" s="20" t="str">
        <x:f>IF(F78="","",IF(F78=0,"Critical",IF(F78=1,"High",IF(F78=2,"Moderate",IF(F78=3,"Low","Effective")))))</x:f>
      </x:c>
      <x:c r="M78" s="20"/>
      <x:c r="N78" s="20"/>
      <x:c r="O78" s="21"/>
      <x:c r="P78" s="20"/>
    </x:row>
    <x:row r="79">
      <x:c r="A79" s="20"/>
      <x:c r="B79" s="20"/>
      <x:c r="C79" s="20"/>
      <x:c r="D79" s="20"/>
      <x:c r="E79" s="20"/>
      <x:c r="F79" s="20"/>
      <x:c r="G79" s="20" t="str">
        <x:f>IF(OR(E79="",F79=""),"",E79*F79)</x:f>
      </x:c>
      <x:c r="H79" s="20"/>
      <x:c r="I79" s="21"/>
      <x:c r="J79" s="20"/>
      <x:c r="K79" s="20"/>
      <x:c r="L79" s="20" t="str">
        <x:f>IF(F79="","",IF(F79=0,"Critical",IF(F79=1,"High",IF(F79=2,"Moderate",IF(F79=3,"Low","Effective")))))</x:f>
      </x:c>
      <x:c r="M79" s="20"/>
      <x:c r="N79" s="20"/>
      <x:c r="O79" s="21"/>
      <x:c r="P79" s="20"/>
    </x:row>
    <x:row r="80">
      <x:c r="A80" s="20"/>
      <x:c r="B80" s="20"/>
      <x:c r="C80" s="20"/>
      <x:c r="D80" s="20"/>
      <x:c r="E80" s="20"/>
      <x:c r="F80" s="20"/>
      <x:c r="G80" s="20" t="str">
        <x:f>IF(OR(E80="",F80=""),"",E80*F80)</x:f>
      </x:c>
      <x:c r="H80" s="20"/>
      <x:c r="I80" s="21"/>
      <x:c r="J80" s="20"/>
      <x:c r="K80" s="20"/>
      <x:c r="L80" s="20" t="str">
        <x:f>IF(F80="","",IF(F80=0,"Critical",IF(F80=1,"High",IF(F80=2,"Moderate",IF(F80=3,"Low","Effective")))))</x:f>
      </x:c>
      <x:c r="M80" s="20"/>
      <x:c r="N80" s="20"/>
      <x:c r="O80" s="21"/>
      <x:c r="P80" s="20"/>
    </x:row>
    <x:row r="81">
      <x:c r="A81" s="20"/>
      <x:c r="B81" s="20"/>
      <x:c r="C81" s="20"/>
      <x:c r="D81" s="20"/>
      <x:c r="E81" s="20"/>
      <x:c r="F81" s="20"/>
      <x:c r="G81" s="20" t="str">
        <x:f>IF(OR(E81="",F81=""),"",E81*F81)</x:f>
      </x:c>
      <x:c r="H81" s="20"/>
      <x:c r="I81" s="21"/>
      <x:c r="J81" s="20"/>
      <x:c r="K81" s="20"/>
      <x:c r="L81" s="20" t="str">
        <x:f>IF(F81="","",IF(F81=0,"Critical",IF(F81=1,"High",IF(F81=2,"Moderate",IF(F81=3,"Low","Effective")))))</x:f>
      </x:c>
      <x:c r="M81" s="20"/>
      <x:c r="N81" s="20"/>
      <x:c r="O81" s="21"/>
      <x:c r="P81" s="20"/>
    </x:row>
    <x:row r="82">
      <x:c r="A82" s="20"/>
      <x:c r="B82" s="20"/>
      <x:c r="C82" s="20"/>
      <x:c r="D82" s="20"/>
      <x:c r="E82" s="20"/>
      <x:c r="F82" s="20"/>
      <x:c r="G82" s="20" t="str">
        <x:f>IF(OR(E82="",F82=""),"",E82*F82)</x:f>
      </x:c>
      <x:c r="H82" s="20"/>
      <x:c r="I82" s="21"/>
      <x:c r="J82" s="20"/>
      <x:c r="K82" s="20"/>
      <x:c r="L82" s="20" t="str">
        <x:f>IF(F82="","",IF(F82=0,"Critical",IF(F82=1,"High",IF(F82=2,"Moderate",IF(F82=3,"Low","Effective")))))</x:f>
      </x:c>
      <x:c r="M82" s="20"/>
      <x:c r="N82" s="20"/>
      <x:c r="O82" s="21"/>
      <x:c r="P82" s="20"/>
    </x:row>
    <x:row r="83">
      <x:c r="A83" s="20"/>
      <x:c r="B83" s="20"/>
      <x:c r="C83" s="20"/>
      <x:c r="D83" s="20"/>
      <x:c r="E83" s="20"/>
      <x:c r="F83" s="20"/>
      <x:c r="G83" s="20" t="str">
        <x:f>IF(OR(E83="",F83=""),"",E83*F83)</x:f>
      </x:c>
      <x:c r="H83" s="20"/>
      <x:c r="I83" s="21"/>
      <x:c r="J83" s="20"/>
      <x:c r="K83" s="20"/>
      <x:c r="L83" s="20" t="str">
        <x:f>IF(F83="","",IF(F83=0,"Critical",IF(F83=1,"High",IF(F83=2,"Moderate",IF(F83=3,"Low","Effective")))))</x:f>
      </x:c>
      <x:c r="M83" s="20"/>
      <x:c r="N83" s="20"/>
      <x:c r="O83" s="21"/>
      <x:c r="P83" s="20"/>
    </x:row>
    <x:row r="84">
      <x:c r="A84" s="20"/>
      <x:c r="B84" s="20"/>
      <x:c r="C84" s="20"/>
      <x:c r="D84" s="20"/>
      <x:c r="E84" s="20"/>
      <x:c r="F84" s="20"/>
      <x:c r="G84" s="20" t="str">
        <x:f>IF(OR(E84="",F84=""),"",E84*F84)</x:f>
      </x:c>
      <x:c r="H84" s="20"/>
      <x:c r="I84" s="21"/>
      <x:c r="J84" s="20"/>
      <x:c r="K84" s="20"/>
      <x:c r="L84" s="20" t="str">
        <x:f>IF(F84="","",IF(F84=0,"Critical",IF(F84=1,"High",IF(F84=2,"Moderate",IF(F84=3,"Low","Effective")))))</x:f>
      </x:c>
      <x:c r="M84" s="20"/>
      <x:c r="N84" s="20"/>
      <x:c r="O84" s="21"/>
      <x:c r="P84" s="20"/>
    </x:row>
    <x:row r="85">
      <x:c r="A85" s="20"/>
      <x:c r="B85" s="20"/>
      <x:c r="C85" s="20"/>
      <x:c r="D85" s="20"/>
      <x:c r="E85" s="20"/>
      <x:c r="F85" s="20"/>
      <x:c r="G85" s="20" t="str">
        <x:f>IF(OR(E85="",F85=""),"",E85*F85)</x:f>
      </x:c>
      <x:c r="H85" s="20"/>
      <x:c r="I85" s="21"/>
      <x:c r="J85" s="20"/>
      <x:c r="K85" s="20"/>
      <x:c r="L85" s="20" t="str">
        <x:f>IF(F85="","",IF(F85=0,"Critical",IF(F85=1,"High",IF(F85=2,"Moderate",IF(F85=3,"Low","Effective")))))</x:f>
      </x:c>
      <x:c r="M85" s="20"/>
      <x:c r="N85" s="20"/>
      <x:c r="O85" s="21"/>
      <x:c r="P85" s="20"/>
    </x:row>
    <x:row r="86">
      <x:c r="A86" s="20"/>
      <x:c r="B86" s="20"/>
      <x:c r="C86" s="20"/>
      <x:c r="D86" s="20"/>
      <x:c r="E86" s="20"/>
      <x:c r="F86" s="20"/>
      <x:c r="G86" s="20" t="str">
        <x:f>IF(OR(E86="",F86=""),"",E86*F86)</x:f>
      </x:c>
      <x:c r="H86" s="20"/>
      <x:c r="I86" s="21"/>
      <x:c r="J86" s="20"/>
      <x:c r="K86" s="20"/>
      <x:c r="L86" s="20" t="str">
        <x:f>IF(F86="","",IF(F86=0,"Critical",IF(F86=1,"High",IF(F86=2,"Moderate",IF(F86=3,"Low","Effective")))))</x:f>
      </x:c>
      <x:c r="M86" s="20"/>
      <x:c r="N86" s="20"/>
      <x:c r="O86" s="21"/>
      <x:c r="P86" s="20"/>
    </x:row>
    <x:row r="87">
      <x:c r="A87" s="20"/>
      <x:c r="B87" s="20"/>
      <x:c r="C87" s="20"/>
      <x:c r="D87" s="20"/>
      <x:c r="E87" s="20"/>
      <x:c r="F87" s="20"/>
      <x:c r="G87" s="20" t="str">
        <x:f>IF(OR(E87="",F87=""),"",E87*F87)</x:f>
      </x:c>
      <x:c r="H87" s="20"/>
      <x:c r="I87" s="21"/>
      <x:c r="J87" s="20"/>
      <x:c r="K87" s="20"/>
      <x:c r="L87" s="20" t="str">
        <x:f>IF(F87="","",IF(F87=0,"Critical",IF(F87=1,"High",IF(F87=2,"Moderate",IF(F87=3,"Low","Effective")))))</x:f>
      </x:c>
      <x:c r="M87" s="20"/>
      <x:c r="N87" s="20"/>
      <x:c r="O87" s="21"/>
      <x:c r="P87" s="20"/>
    </x:row>
    <x:row r="88">
      <x:c r="A88" s="20"/>
      <x:c r="B88" s="20"/>
      <x:c r="C88" s="20"/>
      <x:c r="D88" s="20"/>
      <x:c r="E88" s="20"/>
      <x:c r="F88" s="20"/>
      <x:c r="G88" s="20" t="str">
        <x:f>IF(OR(E88="",F88=""),"",E88*F88)</x:f>
      </x:c>
      <x:c r="H88" s="20"/>
      <x:c r="I88" s="21"/>
      <x:c r="J88" s="20"/>
      <x:c r="K88" s="20"/>
      <x:c r="L88" s="20" t="str">
        <x:f>IF(F88="","",IF(F88=0,"Critical",IF(F88=1,"High",IF(F88=2,"Moderate",IF(F88=3,"Low","Effective")))))</x:f>
      </x:c>
      <x:c r="M88" s="20"/>
      <x:c r="N88" s="20"/>
      <x:c r="O88" s="21"/>
      <x:c r="P88" s="20"/>
    </x:row>
    <x:row r="89">
      <x:c r="A89" s="20"/>
      <x:c r="B89" s="20"/>
      <x:c r="C89" s="20"/>
      <x:c r="D89" s="20"/>
      <x:c r="E89" s="20"/>
      <x:c r="F89" s="20"/>
      <x:c r="G89" s="20" t="str">
        <x:f>IF(OR(E89="",F89=""),"",E89*F89)</x:f>
      </x:c>
      <x:c r="H89" s="20"/>
      <x:c r="I89" s="21"/>
      <x:c r="J89" s="20"/>
      <x:c r="K89" s="20"/>
      <x:c r="L89" s="20" t="str">
        <x:f>IF(F89="","",IF(F89=0,"Critical",IF(F89=1,"High",IF(F89=2,"Moderate",IF(F89=3,"Low","Effective")))))</x:f>
      </x:c>
      <x:c r="M89" s="20"/>
      <x:c r="N89" s="20"/>
      <x:c r="O89" s="21"/>
      <x:c r="P89" s="20"/>
    </x:row>
    <x:row r="90">
      <x:c r="A90" s="20"/>
      <x:c r="B90" s="20"/>
      <x:c r="C90" s="20"/>
      <x:c r="D90" s="20"/>
      <x:c r="E90" s="20"/>
      <x:c r="F90" s="20"/>
      <x:c r="G90" s="20" t="str">
        <x:f>IF(OR(E90="",F90=""),"",E90*F90)</x:f>
      </x:c>
      <x:c r="H90" s="20"/>
      <x:c r="I90" s="21"/>
      <x:c r="J90" s="20"/>
      <x:c r="K90" s="20"/>
      <x:c r="L90" s="20" t="str">
        <x:f>IF(F90="","",IF(F90=0,"Critical",IF(F90=1,"High",IF(F90=2,"Moderate",IF(F90=3,"Low","Effective")))))</x:f>
      </x:c>
      <x:c r="M90" s="20"/>
      <x:c r="N90" s="20"/>
      <x:c r="O90" s="21"/>
      <x:c r="P90" s="20"/>
    </x:row>
    <x:row r="91">
      <x:c r="A91" s="20"/>
      <x:c r="B91" s="20"/>
      <x:c r="C91" s="20"/>
      <x:c r="D91" s="20"/>
      <x:c r="E91" s="20"/>
      <x:c r="F91" s="20"/>
      <x:c r="G91" s="20" t="str">
        <x:f>IF(OR(E91="",F91=""),"",E91*F91)</x:f>
      </x:c>
      <x:c r="H91" s="20"/>
      <x:c r="I91" s="21"/>
      <x:c r="J91" s="20"/>
      <x:c r="K91" s="20"/>
      <x:c r="L91" s="20" t="str">
        <x:f>IF(F91="","",IF(F91=0,"Critical",IF(F91=1,"High",IF(F91=2,"Moderate",IF(F91=3,"Low","Effective")))))</x:f>
      </x:c>
      <x:c r="M91" s="20"/>
      <x:c r="N91" s="20"/>
      <x:c r="O91" s="21"/>
      <x:c r="P91" s="20"/>
    </x:row>
    <x:row r="92">
      <x:c r="A92" s="20"/>
      <x:c r="B92" s="20"/>
      <x:c r="C92" s="20"/>
      <x:c r="D92" s="20"/>
      <x:c r="E92" s="20"/>
      <x:c r="F92" s="20"/>
      <x:c r="G92" s="20" t="str">
        <x:f>IF(OR(E92="",F92=""),"",E92*F92)</x:f>
      </x:c>
      <x:c r="H92" s="20"/>
      <x:c r="I92" s="21"/>
      <x:c r="J92" s="20"/>
      <x:c r="K92" s="20"/>
      <x:c r="L92" s="20" t="str">
        <x:f>IF(F92="","",IF(F92=0,"Critical",IF(F92=1,"High",IF(F92=2,"Moderate",IF(F92=3,"Low","Effective")))))</x:f>
      </x:c>
      <x:c r="M92" s="20"/>
      <x:c r="N92" s="20"/>
      <x:c r="O92" s="21"/>
      <x:c r="P92" s="20"/>
    </x:row>
    <x:row r="93">
      <x:c r="A93" s="20"/>
      <x:c r="B93" s="20"/>
      <x:c r="C93" s="20"/>
      <x:c r="D93" s="20"/>
      <x:c r="E93" s="20"/>
      <x:c r="F93" s="20"/>
      <x:c r="G93" s="20" t="str">
        <x:f>IF(OR(E93="",F93=""),"",E93*F93)</x:f>
      </x:c>
      <x:c r="H93" s="20"/>
      <x:c r="I93" s="21"/>
      <x:c r="J93" s="20"/>
      <x:c r="K93" s="20"/>
      <x:c r="L93" s="20" t="str">
        <x:f>IF(F93="","",IF(F93=0,"Critical",IF(F93=1,"High",IF(F93=2,"Moderate",IF(F93=3,"Low","Effective")))))</x:f>
      </x:c>
      <x:c r="M93" s="20"/>
      <x:c r="N93" s="20"/>
      <x:c r="O93" s="21"/>
      <x:c r="P93" s="20"/>
    </x:row>
    <x:row r="94">
      <x:c r="A94" s="20"/>
      <x:c r="B94" s="20"/>
      <x:c r="C94" s="20"/>
      <x:c r="D94" s="20"/>
      <x:c r="E94" s="20"/>
      <x:c r="F94" s="20"/>
      <x:c r="G94" s="20" t="str">
        <x:f>IF(OR(E94="",F94=""),"",E94*F94)</x:f>
      </x:c>
      <x:c r="H94" s="20"/>
      <x:c r="I94" s="21"/>
      <x:c r="J94" s="20"/>
      <x:c r="K94" s="20"/>
      <x:c r="L94" s="20" t="str">
        <x:f>IF(F94="","",IF(F94=0,"Critical",IF(F94=1,"High",IF(F94=2,"Moderate",IF(F94=3,"Low","Effective")))))</x:f>
      </x:c>
      <x:c r="M94" s="20"/>
      <x:c r="N94" s="20"/>
      <x:c r="O94" s="21"/>
      <x:c r="P94" s="20"/>
    </x:row>
    <x:row r="95">
      <x:c r="A95" s="20"/>
      <x:c r="B95" s="20"/>
      <x:c r="C95" s="20"/>
      <x:c r="D95" s="20"/>
      <x:c r="E95" s="20"/>
      <x:c r="F95" s="20"/>
      <x:c r="G95" s="20" t="str">
        <x:f>IF(OR(E95="",F95=""),"",E95*F95)</x:f>
      </x:c>
      <x:c r="H95" s="20"/>
      <x:c r="I95" s="21"/>
      <x:c r="J95" s="20"/>
      <x:c r="K95" s="20"/>
      <x:c r="L95" s="20" t="str">
        <x:f>IF(F95="","",IF(F95=0,"Critical",IF(F95=1,"High",IF(F95=2,"Moderate",IF(F95=3,"Low","Effective")))))</x:f>
      </x:c>
      <x:c r="M95" s="20"/>
      <x:c r="N95" s="20"/>
      <x:c r="O95" s="21"/>
      <x:c r="P95" s="20"/>
    </x:row>
    <x:row r="96">
      <x:c r="A96" s="20"/>
      <x:c r="B96" s="20"/>
      <x:c r="C96" s="20"/>
      <x:c r="D96" s="20"/>
      <x:c r="E96" s="20"/>
      <x:c r="F96" s="20"/>
      <x:c r="G96" s="20" t="str">
        <x:f>IF(OR(E96="",F96=""),"",E96*F96)</x:f>
      </x:c>
      <x:c r="H96" s="20"/>
      <x:c r="I96" s="21"/>
      <x:c r="J96" s="20"/>
      <x:c r="K96" s="20"/>
      <x:c r="L96" s="20" t="str">
        <x:f>IF(F96="","",IF(F96=0,"Critical",IF(F96=1,"High",IF(F96=2,"Moderate",IF(F96=3,"Low","Effective")))))</x:f>
      </x:c>
      <x:c r="M96" s="20"/>
      <x:c r="N96" s="20"/>
      <x:c r="O96" s="21"/>
      <x:c r="P96" s="20"/>
    </x:row>
    <x:row r="97">
      <x:c r="A97" s="20"/>
      <x:c r="B97" s="20"/>
      <x:c r="C97" s="20"/>
      <x:c r="D97" s="20"/>
      <x:c r="E97" s="20"/>
      <x:c r="F97" s="20"/>
      <x:c r="G97" s="20" t="str">
        <x:f>IF(OR(E97="",F97=""),"",E97*F97)</x:f>
      </x:c>
      <x:c r="H97" s="20"/>
      <x:c r="I97" s="21"/>
      <x:c r="J97" s="20"/>
      <x:c r="K97" s="20"/>
      <x:c r="L97" s="20" t="str">
        <x:f>IF(F97="","",IF(F97=0,"Critical",IF(F97=1,"High",IF(F97=2,"Moderate",IF(F97=3,"Low","Effective")))))</x:f>
      </x:c>
      <x:c r="M97" s="20"/>
      <x:c r="N97" s="20"/>
      <x:c r="O97" s="21"/>
      <x:c r="P97" s="20"/>
    </x:row>
    <x:row r="98">
      <x:c r="A98" s="20"/>
      <x:c r="B98" s="20"/>
      <x:c r="C98" s="20"/>
      <x:c r="D98" s="20"/>
      <x:c r="E98" s="20"/>
      <x:c r="F98" s="20"/>
      <x:c r="G98" s="20" t="str">
        <x:f>IF(OR(E98="",F98=""),"",E98*F98)</x:f>
      </x:c>
      <x:c r="H98" s="20"/>
      <x:c r="I98" s="21"/>
      <x:c r="J98" s="20"/>
      <x:c r="K98" s="20"/>
      <x:c r="L98" s="20" t="str">
        <x:f>IF(F98="","",IF(F98=0,"Critical",IF(F98=1,"High",IF(F98=2,"Moderate",IF(F98=3,"Low","Effective")))))</x:f>
      </x:c>
      <x:c r="M98" s="20"/>
      <x:c r="N98" s="20"/>
      <x:c r="O98" s="21"/>
      <x:c r="P98" s="20"/>
    </x:row>
    <x:row r="99">
      <x:c r="A99" s="20"/>
      <x:c r="B99" s="20"/>
      <x:c r="C99" s="20"/>
      <x:c r="D99" s="20"/>
      <x:c r="E99" s="20"/>
      <x:c r="F99" s="20"/>
      <x:c r="G99" s="20" t="str">
        <x:f>IF(OR(E99="",F99=""),"",E99*F99)</x:f>
      </x:c>
      <x:c r="H99" s="20"/>
      <x:c r="I99" s="21"/>
      <x:c r="J99" s="20"/>
      <x:c r="K99" s="20"/>
      <x:c r="L99" s="20" t="str">
        <x:f>IF(F99="","",IF(F99=0,"Critical",IF(F99=1,"High",IF(F99=2,"Moderate",IF(F99=3,"Low","Effective")))))</x:f>
      </x:c>
      <x:c r="M99" s="20"/>
      <x:c r="N99" s="20"/>
      <x:c r="O99" s="21"/>
      <x:c r="P99" s="20"/>
    </x:row>
    <x:row r="100">
      <x:c r="A100" s="20"/>
      <x:c r="B100" s="20"/>
      <x:c r="C100" s="20"/>
      <x:c r="D100" s="20"/>
      <x:c r="E100" s="20"/>
      <x:c r="F100" s="20"/>
      <x:c r="G100" s="20" t="str">
        <x:f>IF(OR(E100="",F100=""),"",E100*F100)</x:f>
      </x:c>
      <x:c r="H100" s="20"/>
      <x:c r="I100" s="21"/>
      <x:c r="J100" s="20"/>
      <x:c r="K100" s="20"/>
      <x:c r="L100" s="20" t="str">
        <x:f>IF(F100="","",IF(F100=0,"Critical",IF(F100=1,"High",IF(F100=2,"Moderate",IF(F100=3,"Low","Effective")))))</x:f>
      </x:c>
      <x:c r="M100" s="20"/>
      <x:c r="N100" s="20"/>
      <x:c r="O100" s="21"/>
      <x:c r="P100" s="20"/>
    </x:row>
    <x:row r="101">
      <x:c r="A101" s="20"/>
      <x:c r="B101" s="20"/>
      <x:c r="C101" s="20"/>
      <x:c r="D101" s="20"/>
      <x:c r="E101" s="20"/>
      <x:c r="F101" s="20"/>
      <x:c r="G101" s="20" t="str">
        <x:f>IF(OR(E101="",F101=""),"",E101*F101)</x:f>
      </x:c>
      <x:c r="H101" s="20"/>
      <x:c r="I101" s="21"/>
      <x:c r="J101" s="20"/>
      <x:c r="K101" s="20"/>
      <x:c r="L101" s="20" t="str">
        <x:f>IF(F101="","",IF(F101=0,"Critical",IF(F101=1,"High",IF(F101=2,"Moderate",IF(F101=3,"Low","Effective")))))</x:f>
      </x:c>
      <x:c r="M101" s="20"/>
      <x:c r="N101" s="20"/>
      <x:c r="O101" s="21"/>
      <x:c r="P101" s="20"/>
    </x:row>
    <x:row r="102">
      <x:c r="A102" s="20"/>
      <x:c r="B102" s="20"/>
      <x:c r="C102" s="20"/>
      <x:c r="D102" s="20"/>
      <x:c r="E102" s="20"/>
      <x:c r="F102" s="20"/>
      <x:c r="G102" s="20" t="str">
        <x:f>IF(OR(E102="",F102=""),"",E102*F102)</x:f>
      </x:c>
      <x:c r="H102" s="20"/>
      <x:c r="I102" s="21"/>
      <x:c r="J102" s="20"/>
      <x:c r="K102" s="20"/>
      <x:c r="L102" s="20" t="str">
        <x:f>IF(F102="","",IF(F102=0,"Critical",IF(F102=1,"High",IF(F102=2,"Moderate",IF(F102=3,"Low","Effective")))))</x:f>
      </x:c>
      <x:c r="M102" s="20"/>
      <x:c r="N102" s="20"/>
      <x:c r="O102" s="21"/>
      <x:c r="P102" s="20"/>
    </x:row>
    <x:row r="103">
      <x:c r="A103" s="20"/>
      <x:c r="B103" s="20"/>
      <x:c r="C103" s="20"/>
      <x:c r="D103" s="20"/>
      <x:c r="E103" s="20"/>
      <x:c r="F103" s="20"/>
      <x:c r="G103" s="20" t="str">
        <x:f>IF(OR(E103="",F103=""),"",E103*F103)</x:f>
      </x:c>
      <x:c r="H103" s="20"/>
      <x:c r="I103" s="21"/>
      <x:c r="J103" s="20"/>
      <x:c r="K103" s="20"/>
      <x:c r="L103" s="20" t="str">
        <x:f>IF(F103="","",IF(F103=0,"Critical",IF(F103=1,"High",IF(F103=2,"Moderate",IF(F103=3,"Low","Effective")))))</x:f>
      </x:c>
      <x:c r="M103" s="20"/>
      <x:c r="N103" s="20"/>
      <x:c r="O103" s="21"/>
      <x:c r="P103" s="20"/>
    </x:row>
    <x:row r="104">
      <x:c r="A104" s="20"/>
      <x:c r="B104" s="20"/>
      <x:c r="C104" s="20"/>
      <x:c r="D104" s="20"/>
      <x:c r="E104" s="20"/>
      <x:c r="F104" s="20"/>
      <x:c r="G104" s="20" t="str">
        <x:f>IF(OR(E104="",F104=""),"",E104*F104)</x:f>
      </x:c>
      <x:c r="H104" s="20"/>
      <x:c r="I104" s="21"/>
      <x:c r="J104" s="20"/>
      <x:c r="K104" s="20"/>
      <x:c r="L104" s="20" t="str">
        <x:f>IF(F104="","",IF(F104=0,"Critical",IF(F104=1,"High",IF(F104=2,"Moderate",IF(F104=3,"Low","Effective")))))</x:f>
      </x:c>
      <x:c r="M104" s="20"/>
      <x:c r="N104" s="20"/>
      <x:c r="O104" s="21"/>
      <x:c r="P104" s="20"/>
    </x:row>
    <x:row r="105">
      <x:c r="A105" s="20"/>
      <x:c r="B105" s="20"/>
      <x:c r="C105" s="20"/>
      <x:c r="D105" s="20"/>
      <x:c r="E105" s="20"/>
      <x:c r="F105" s="20"/>
      <x:c r="G105" s="20" t="str">
        <x:f>IF(OR(E105="",F105=""),"",E105*F105)</x:f>
      </x:c>
      <x:c r="H105" s="20"/>
      <x:c r="I105" s="21"/>
      <x:c r="J105" s="20"/>
      <x:c r="K105" s="20"/>
      <x:c r="L105" s="20" t="str">
        <x:f>IF(F105="","",IF(F105=0,"Critical",IF(F105=1,"High",IF(F105=2,"Moderate",IF(F105=3,"Low","Effective")))))</x:f>
      </x:c>
      <x:c r="M105" s="20"/>
      <x:c r="N105" s="20"/>
      <x:c r="O105" s="21"/>
      <x:c r="P105" s="20"/>
    </x:row>
    <x:row r="106">
      <x:c r="A106" s="20"/>
      <x:c r="B106" s="20"/>
      <x:c r="C106" s="20"/>
      <x:c r="D106" s="20"/>
      <x:c r="E106" s="20"/>
      <x:c r="F106" s="20"/>
      <x:c r="G106" s="20" t="str">
        <x:f>IF(OR(E106="",F106=""),"",E106*F106)</x:f>
      </x:c>
      <x:c r="H106" s="20"/>
      <x:c r="I106" s="21"/>
      <x:c r="J106" s="20"/>
      <x:c r="K106" s="20"/>
      <x:c r="L106" s="20" t="str">
        <x:f>IF(F106="","",IF(F106=0,"Critical",IF(F106=1,"High",IF(F106=2,"Moderate",IF(F106=3,"Low","Effective")))))</x:f>
      </x:c>
      <x:c r="M106" s="20"/>
      <x:c r="N106" s="20"/>
      <x:c r="O106" s="21"/>
      <x:c r="P106" s="20"/>
    </x:row>
    <x:row r="107">
      <x:c r="A107" s="20"/>
      <x:c r="B107" s="20"/>
      <x:c r="C107" s="20"/>
      <x:c r="D107" s="20"/>
      <x:c r="E107" s="20"/>
      <x:c r="F107" s="20"/>
      <x:c r="G107" s="20" t="str">
        <x:f>IF(OR(E107="",F107=""),"",E107*F107)</x:f>
      </x:c>
      <x:c r="H107" s="20"/>
      <x:c r="I107" s="21"/>
      <x:c r="J107" s="20"/>
      <x:c r="K107" s="20"/>
      <x:c r="L107" s="20" t="str">
        <x:f>IF(F107="","",IF(F107=0,"Critical",IF(F107=1,"High",IF(F107=2,"Moderate",IF(F107=3,"Low","Effective")))))</x:f>
      </x:c>
      <x:c r="M107" s="20"/>
      <x:c r="N107" s="20"/>
      <x:c r="O107" s="21"/>
      <x:c r="P107" s="20"/>
    </x:row>
    <x:row r="108">
      <x:c r="A108" s="20"/>
      <x:c r="B108" s="20"/>
      <x:c r="C108" s="20"/>
      <x:c r="D108" s="20"/>
      <x:c r="E108" s="20"/>
      <x:c r="F108" s="20"/>
      <x:c r="G108" s="20" t="str">
        <x:f>IF(OR(E108="",F108=""),"",E108*F108)</x:f>
      </x:c>
      <x:c r="H108" s="20"/>
      <x:c r="I108" s="21"/>
      <x:c r="J108" s="20"/>
      <x:c r="K108" s="20"/>
      <x:c r="L108" s="20" t="str">
        <x:f>IF(F108="","",IF(F108=0,"Critical",IF(F108=1,"High",IF(F108=2,"Moderate",IF(F108=3,"Low","Effective")))))</x:f>
      </x:c>
      <x:c r="M108" s="20"/>
      <x:c r="N108" s="20"/>
      <x:c r="O108" s="21"/>
      <x:c r="P108" s="20"/>
    </x:row>
    <x:row r="109">
      <x:c r="A109" s="20"/>
      <x:c r="B109" s="20"/>
      <x:c r="C109" s="20"/>
      <x:c r="D109" s="20"/>
      <x:c r="E109" s="20"/>
      <x:c r="F109" s="20"/>
      <x:c r="G109" s="20" t="str">
        <x:f>IF(OR(E109="",F109=""),"",E109*F109)</x:f>
      </x:c>
      <x:c r="H109" s="20"/>
      <x:c r="I109" s="21"/>
      <x:c r="J109" s="20"/>
      <x:c r="K109" s="20"/>
      <x:c r="L109" s="20" t="str">
        <x:f>IF(F109="","",IF(F109=0,"Critical",IF(F109=1,"High",IF(F109=2,"Moderate",IF(F109=3,"Low","Effective")))))</x:f>
      </x:c>
      <x:c r="M109" s="20"/>
      <x:c r="N109" s="20"/>
      <x:c r="O109" s="21"/>
      <x:c r="P109" s="20"/>
    </x:row>
    <x:row r="110">
      <x:c r="A110" s="20"/>
      <x:c r="B110" s="20"/>
      <x:c r="C110" s="20"/>
      <x:c r="D110" s="20"/>
      <x:c r="E110" s="20"/>
      <x:c r="F110" s="20"/>
      <x:c r="G110" s="20" t="str">
        <x:f>IF(OR(E110="",F110=""),"",E110*F110)</x:f>
      </x:c>
      <x:c r="H110" s="20"/>
      <x:c r="I110" s="21"/>
      <x:c r="J110" s="20"/>
      <x:c r="K110" s="20"/>
      <x:c r="L110" s="20" t="str">
        <x:f>IF(F110="","",IF(F110=0,"Critical",IF(F110=1,"High",IF(F110=2,"Moderate",IF(F110=3,"Low","Effective")))))</x:f>
      </x:c>
      <x:c r="M110" s="20"/>
      <x:c r="N110" s="20"/>
      <x:c r="O110" s="21"/>
      <x:c r="P110" s="20"/>
    </x:row>
    <x:row r="111">
      <x:c r="A111" s="20"/>
      <x:c r="B111" s="20"/>
      <x:c r="C111" s="20"/>
      <x:c r="D111" s="20"/>
      <x:c r="E111" s="20"/>
      <x:c r="F111" s="20"/>
      <x:c r="G111" s="20" t="str">
        <x:f>IF(OR(E111="",F111=""),"",E111*F111)</x:f>
      </x:c>
      <x:c r="H111" s="20"/>
      <x:c r="I111" s="21"/>
      <x:c r="J111" s="20"/>
      <x:c r="K111" s="20"/>
      <x:c r="L111" s="20" t="str">
        <x:f>IF(F111="","",IF(F111=0,"Critical",IF(F111=1,"High",IF(F111=2,"Moderate",IF(F111=3,"Low","Effective")))))</x:f>
      </x:c>
      <x:c r="M111" s="20"/>
      <x:c r="N111" s="20"/>
      <x:c r="O111" s="21"/>
      <x:c r="P111" s="20"/>
    </x:row>
    <x:row r="112">
      <x:c r="A112" s="20"/>
      <x:c r="B112" s="20"/>
      <x:c r="C112" s="20"/>
      <x:c r="D112" s="20"/>
      <x:c r="E112" s="20"/>
      <x:c r="F112" s="20"/>
      <x:c r="G112" s="20" t="str">
        <x:f>IF(OR(E112="",F112=""),"",E112*F112)</x:f>
      </x:c>
      <x:c r="H112" s="20"/>
      <x:c r="I112" s="21"/>
      <x:c r="J112" s="20"/>
      <x:c r="K112" s="20"/>
      <x:c r="L112" s="20" t="str">
        <x:f>IF(F112="","",IF(F112=0,"Critical",IF(F112=1,"High",IF(F112=2,"Moderate",IF(F112=3,"Low","Effective")))))</x:f>
      </x:c>
      <x:c r="M112" s="20"/>
      <x:c r="N112" s="20"/>
      <x:c r="O112" s="21"/>
      <x:c r="P112" s="20"/>
    </x:row>
    <x:row r="113">
      <x:c r="A113" s="20"/>
      <x:c r="B113" s="20"/>
      <x:c r="C113" s="20"/>
      <x:c r="D113" s="20"/>
      <x:c r="E113" s="20"/>
      <x:c r="F113" s="20"/>
      <x:c r="G113" s="20" t="str">
        <x:f>IF(OR(E113="",F113=""),"",E113*F113)</x:f>
      </x:c>
      <x:c r="H113" s="20"/>
      <x:c r="I113" s="21"/>
      <x:c r="J113" s="20"/>
      <x:c r="K113" s="20"/>
      <x:c r="L113" s="20" t="str">
        <x:f>IF(F113="","",IF(F113=0,"Critical",IF(F113=1,"High",IF(F113=2,"Moderate",IF(F113=3,"Low","Effective")))))</x:f>
      </x:c>
      <x:c r="M113" s="20"/>
      <x:c r="N113" s="20"/>
      <x:c r="O113" s="21"/>
      <x:c r="P113" s="20"/>
    </x:row>
    <x:row r="114">
      <x:c r="A114" s="20"/>
      <x:c r="B114" s="20"/>
      <x:c r="C114" s="20"/>
      <x:c r="D114" s="20"/>
      <x:c r="E114" s="20"/>
      <x:c r="F114" s="20"/>
      <x:c r="G114" s="20" t="str">
        <x:f>IF(OR(E114="",F114=""),"",E114*F114)</x:f>
      </x:c>
      <x:c r="H114" s="20"/>
      <x:c r="I114" s="21"/>
      <x:c r="J114" s="20"/>
      <x:c r="K114" s="20"/>
      <x:c r="L114" s="20" t="str">
        <x:f>IF(F114="","",IF(F114=0,"Critical",IF(F114=1,"High",IF(F114=2,"Moderate",IF(F114=3,"Low","Effective")))))</x:f>
      </x:c>
      <x:c r="M114" s="20"/>
      <x:c r="N114" s="20"/>
      <x:c r="O114" s="21"/>
      <x:c r="P114" s="20"/>
    </x:row>
    <x:row r="115">
      <x:c r="A115" s="20"/>
      <x:c r="B115" s="20"/>
      <x:c r="C115" s="20"/>
      <x:c r="D115" s="20"/>
      <x:c r="E115" s="20"/>
      <x:c r="F115" s="20"/>
      <x:c r="G115" s="20" t="str">
        <x:f>IF(OR(E115="",F115=""),"",E115*F115)</x:f>
      </x:c>
      <x:c r="H115" s="20"/>
      <x:c r="I115" s="21"/>
      <x:c r="J115" s="20"/>
      <x:c r="K115" s="20"/>
      <x:c r="L115" s="20" t="str">
        <x:f>IF(F115="","",IF(F115=0,"Critical",IF(F115=1,"High",IF(F115=2,"Moderate",IF(F115=3,"Low","Effective")))))</x:f>
      </x:c>
      <x:c r="M115" s="20"/>
      <x:c r="N115" s="20"/>
      <x:c r="O115" s="21"/>
      <x:c r="P115" s="20"/>
    </x:row>
    <x:row r="116">
      <x:c r="A116" s="20"/>
      <x:c r="B116" s="20"/>
      <x:c r="C116" s="20"/>
      <x:c r="D116" s="20"/>
      <x:c r="E116" s="20"/>
      <x:c r="F116" s="20"/>
      <x:c r="G116" s="20" t="str">
        <x:f>IF(OR(E116="",F116=""),"",E116*F116)</x:f>
      </x:c>
      <x:c r="H116" s="20"/>
      <x:c r="I116" s="21"/>
      <x:c r="J116" s="20"/>
      <x:c r="K116" s="20"/>
      <x:c r="L116" s="20" t="str">
        <x:f>IF(F116="","",IF(F116=0,"Critical",IF(F116=1,"High",IF(F116=2,"Moderate",IF(F116=3,"Low","Effective")))))</x:f>
      </x:c>
      <x:c r="M116" s="20"/>
      <x:c r="N116" s="20"/>
      <x:c r="O116" s="21"/>
      <x:c r="P116" s="20"/>
    </x:row>
    <x:row r="117">
      <x:c r="A117" s="20"/>
      <x:c r="B117" s="20"/>
      <x:c r="C117" s="20"/>
      <x:c r="D117" s="20"/>
      <x:c r="E117" s="20"/>
      <x:c r="F117" s="20"/>
      <x:c r="G117" s="20" t="str">
        <x:f>IF(OR(E117="",F117=""),"",E117*F117)</x:f>
      </x:c>
      <x:c r="H117" s="20"/>
      <x:c r="I117" s="21"/>
      <x:c r="J117" s="20"/>
      <x:c r="K117" s="20"/>
      <x:c r="L117" s="20" t="str">
        <x:f>IF(F117="","",IF(F117=0,"Critical",IF(F117=1,"High",IF(F117=2,"Moderate",IF(F117=3,"Low","Effective")))))</x:f>
      </x:c>
      <x:c r="M117" s="20"/>
      <x:c r="N117" s="20"/>
      <x:c r="O117" s="21"/>
      <x:c r="P117" s="20"/>
    </x:row>
    <x:row r="118">
      <x:c r="A118" s="20"/>
      <x:c r="B118" s="20"/>
      <x:c r="C118" s="20"/>
      <x:c r="D118" s="20"/>
      <x:c r="E118" s="20"/>
      <x:c r="F118" s="20"/>
      <x:c r="G118" s="20" t="str">
        <x:f>IF(OR(E118="",F118=""),"",E118*F118)</x:f>
      </x:c>
      <x:c r="H118" s="20"/>
      <x:c r="I118" s="21"/>
      <x:c r="J118" s="20"/>
      <x:c r="K118" s="20"/>
      <x:c r="L118" s="20" t="str">
        <x:f>IF(F118="","",IF(F118=0,"Critical",IF(F118=1,"High",IF(F118=2,"Moderate",IF(F118=3,"Low","Effective")))))</x:f>
      </x:c>
      <x:c r="M118" s="20"/>
      <x:c r="N118" s="20"/>
      <x:c r="O118" s="21"/>
      <x:c r="P118" s="20"/>
    </x:row>
    <x:row r="119">
      <x:c r="A119" s="20"/>
      <x:c r="B119" s="20"/>
      <x:c r="C119" s="20"/>
      <x:c r="D119" s="20"/>
      <x:c r="E119" s="20"/>
      <x:c r="F119" s="20"/>
      <x:c r="G119" s="20" t="str">
        <x:f>IF(OR(E119="",F119=""),"",E119*F119)</x:f>
      </x:c>
      <x:c r="H119" s="20"/>
      <x:c r="I119" s="21"/>
      <x:c r="J119" s="20"/>
      <x:c r="K119" s="20"/>
      <x:c r="L119" s="20" t="str">
        <x:f>IF(F119="","",IF(F119=0,"Critical",IF(F119=1,"High",IF(F119=2,"Moderate",IF(F119=3,"Low","Effective")))))</x:f>
      </x:c>
      <x:c r="M119" s="20"/>
      <x:c r="N119" s="20"/>
      <x:c r="O119" s="21"/>
      <x:c r="P119" s="20"/>
    </x:row>
    <x:row r="120">
      <x:c r="A120" s="20"/>
      <x:c r="B120" s="20"/>
      <x:c r="C120" s="20"/>
      <x:c r="D120" s="20"/>
      <x:c r="E120" s="20"/>
      <x:c r="F120" s="20"/>
      <x:c r="G120" s="20" t="str">
        <x:f>IF(OR(E120="",F120=""),"",E120*F120)</x:f>
      </x:c>
      <x:c r="H120" s="20"/>
      <x:c r="I120" s="21"/>
      <x:c r="J120" s="20"/>
      <x:c r="K120" s="20"/>
      <x:c r="L120" s="20" t="str">
        <x:f>IF(F120="","",IF(F120=0,"Critical",IF(F120=1,"High",IF(F120=2,"Moderate",IF(F120=3,"Low","Effective")))))</x:f>
      </x:c>
      <x:c r="M120" s="20"/>
      <x:c r="N120" s="20"/>
      <x:c r="O120" s="21"/>
      <x:c r="P120" s="20"/>
    </x:row>
    <x:row r="121">
      <x:c r="A121" s="20"/>
      <x:c r="B121" s="20"/>
      <x:c r="C121" s="20"/>
      <x:c r="D121" s="20"/>
      <x:c r="E121" s="20"/>
      <x:c r="F121" s="20"/>
      <x:c r="G121" s="20" t="str">
        <x:f>IF(OR(E121="",F121=""),"",E121*F121)</x:f>
      </x:c>
      <x:c r="H121" s="20"/>
      <x:c r="I121" s="21"/>
      <x:c r="J121" s="20"/>
      <x:c r="K121" s="20"/>
      <x:c r="L121" s="20" t="str">
        <x:f>IF(F121="","",IF(F121=0,"Critical",IF(F121=1,"High",IF(F121=2,"Moderate",IF(F121=3,"Low","Effective")))))</x:f>
      </x:c>
      <x:c r="M121" s="20"/>
      <x:c r="N121" s="20"/>
      <x:c r="O121" s="21"/>
      <x:c r="P121" s="20"/>
    </x:row>
    <x:row r="122">
      <x:c r="A122" s="20"/>
      <x:c r="B122" s="20"/>
      <x:c r="C122" s="20"/>
      <x:c r="D122" s="20"/>
      <x:c r="E122" s="20"/>
      <x:c r="F122" s="20"/>
      <x:c r="G122" s="20" t="str">
        <x:f>IF(OR(E122="",F122=""),"",E122*F122)</x:f>
      </x:c>
      <x:c r="H122" s="20"/>
      <x:c r="I122" s="21"/>
      <x:c r="J122" s="20"/>
      <x:c r="K122" s="20"/>
      <x:c r="L122" s="20" t="str">
        <x:f>IF(F122="","",IF(F122=0,"Critical",IF(F122=1,"High",IF(F122=2,"Moderate",IF(F122=3,"Low","Effective")))))</x:f>
      </x:c>
      <x:c r="M122" s="20"/>
      <x:c r="N122" s="20"/>
      <x:c r="O122" s="21"/>
      <x:c r="P122" s="20"/>
    </x:row>
    <x:row r="123">
      <x:c r="A123" s="20"/>
      <x:c r="B123" s="20"/>
      <x:c r="C123" s="20"/>
      <x:c r="D123" s="20"/>
      <x:c r="E123" s="20"/>
      <x:c r="F123" s="20"/>
      <x:c r="G123" s="20" t="str">
        <x:f>IF(OR(E123="",F123=""),"",E123*F123)</x:f>
      </x:c>
      <x:c r="H123" s="20"/>
      <x:c r="I123" s="21"/>
      <x:c r="J123" s="20"/>
      <x:c r="K123" s="20"/>
      <x:c r="L123" s="20" t="str">
        <x:f>IF(F123="","",IF(F123=0,"Critical",IF(F123=1,"High",IF(F123=2,"Moderate",IF(F123=3,"Low","Effective")))))</x:f>
      </x:c>
      <x:c r="M123" s="20"/>
      <x:c r="N123" s="20"/>
      <x:c r="O123" s="21"/>
      <x:c r="P123" s="20"/>
    </x:row>
    <x:row r="124">
      <x:c r="A124" s="20"/>
      <x:c r="B124" s="20"/>
      <x:c r="C124" s="20"/>
      <x:c r="D124" s="20"/>
      <x:c r="E124" s="20"/>
      <x:c r="F124" s="20"/>
      <x:c r="G124" s="20" t="str">
        <x:f>IF(OR(E124="",F124=""),"",E124*F124)</x:f>
      </x:c>
      <x:c r="H124" s="20"/>
      <x:c r="I124" s="21"/>
      <x:c r="J124" s="20"/>
      <x:c r="K124" s="20"/>
      <x:c r="L124" s="20" t="str">
        <x:f>IF(F124="","",IF(F124=0,"Critical",IF(F124=1,"High",IF(F124=2,"Moderate",IF(F124=3,"Low","Effective")))))</x:f>
      </x:c>
      <x:c r="M124" s="20"/>
      <x:c r="N124" s="20"/>
      <x:c r="O124" s="21"/>
      <x:c r="P124" s="20"/>
    </x:row>
    <x:row r="125">
      <x:c r="A125" s="20"/>
      <x:c r="B125" s="20"/>
      <x:c r="C125" s="20"/>
      <x:c r="D125" s="20"/>
      <x:c r="E125" s="20"/>
      <x:c r="F125" s="20"/>
      <x:c r="G125" s="20" t="str">
        <x:f>IF(OR(E125="",F125=""),"",E125*F125)</x:f>
      </x:c>
      <x:c r="H125" s="20"/>
      <x:c r="I125" s="21"/>
      <x:c r="J125" s="20"/>
      <x:c r="K125" s="20"/>
      <x:c r="L125" s="20" t="str">
        <x:f>IF(F125="","",IF(F125=0,"Critical",IF(F125=1,"High",IF(F125=2,"Moderate",IF(F125=3,"Low","Effective")))))</x:f>
      </x:c>
      <x:c r="M125" s="20"/>
      <x:c r="N125" s="20"/>
      <x:c r="O125" s="21"/>
      <x:c r="P125" s="20"/>
    </x:row>
    <x:row r="126">
      <x:c r="A126" s="20"/>
      <x:c r="B126" s="20"/>
      <x:c r="C126" s="20"/>
      <x:c r="D126" s="20"/>
      <x:c r="E126" s="20"/>
      <x:c r="F126" s="20"/>
      <x:c r="G126" s="20" t="str">
        <x:f>IF(OR(E126="",F126=""),"",E126*F126)</x:f>
      </x:c>
      <x:c r="H126" s="20"/>
      <x:c r="I126" s="21"/>
      <x:c r="J126" s="20"/>
      <x:c r="K126" s="20"/>
      <x:c r="L126" s="20" t="str">
        <x:f>IF(F126="","",IF(F126=0,"Critical",IF(F126=1,"High",IF(F126=2,"Moderate",IF(F126=3,"Low","Effective")))))</x:f>
      </x:c>
      <x:c r="M126" s="20"/>
      <x:c r="N126" s="20"/>
      <x:c r="O126" s="21"/>
      <x:c r="P126" s="20"/>
    </x:row>
    <x:row r="127">
      <x:c r="A127" s="20"/>
      <x:c r="B127" s="20"/>
      <x:c r="C127" s="20"/>
      <x:c r="D127" s="20"/>
      <x:c r="E127" s="20"/>
      <x:c r="F127" s="20"/>
      <x:c r="G127" s="20" t="str">
        <x:f>IF(OR(E127="",F127=""),"",E127*F127)</x:f>
      </x:c>
      <x:c r="H127" s="20"/>
      <x:c r="I127" s="21"/>
      <x:c r="J127" s="20"/>
      <x:c r="K127" s="20"/>
      <x:c r="L127" s="20" t="str">
        <x:f>IF(F127="","",IF(F127=0,"Critical",IF(F127=1,"High",IF(F127=2,"Moderate",IF(F127=3,"Low","Effective")))))</x:f>
      </x:c>
      <x:c r="M127" s="20"/>
      <x:c r="N127" s="20"/>
      <x:c r="O127" s="21"/>
      <x:c r="P127" s="20"/>
    </x:row>
    <x:row r="128">
      <x:c r="A128" s="20"/>
      <x:c r="B128" s="20"/>
      <x:c r="C128" s="20"/>
      <x:c r="D128" s="20"/>
      <x:c r="E128" s="20"/>
      <x:c r="F128" s="20"/>
      <x:c r="G128" s="20" t="str">
        <x:f>IF(OR(E128="",F128=""),"",E128*F128)</x:f>
      </x:c>
      <x:c r="H128" s="20"/>
      <x:c r="I128" s="21"/>
      <x:c r="J128" s="20"/>
      <x:c r="K128" s="20"/>
      <x:c r="L128" s="20" t="str">
        <x:f>IF(F128="","",IF(F128=0,"Critical",IF(F128=1,"High",IF(F128=2,"Moderate",IF(F128=3,"Low","Effective")))))</x:f>
      </x:c>
      <x:c r="M128" s="20"/>
      <x:c r="N128" s="20"/>
      <x:c r="O128" s="21"/>
      <x:c r="P128" s="20"/>
    </x:row>
    <x:row r="129">
      <x:c r="A129" s="20"/>
      <x:c r="B129" s="20"/>
      <x:c r="C129" s="20"/>
      <x:c r="D129" s="20"/>
      <x:c r="E129" s="20"/>
      <x:c r="F129" s="20"/>
      <x:c r="G129" s="20" t="str">
        <x:f>IF(OR(E129="",F129=""),"",E129*F129)</x:f>
      </x:c>
      <x:c r="H129" s="20"/>
      <x:c r="I129" s="21"/>
      <x:c r="J129" s="20"/>
      <x:c r="K129" s="20"/>
      <x:c r="L129" s="20" t="str">
        <x:f>IF(F129="","",IF(F129=0,"Critical",IF(F129=1,"High",IF(F129=2,"Moderate",IF(F129=3,"Low","Effective")))))</x:f>
      </x:c>
      <x:c r="M129" s="20"/>
      <x:c r="N129" s="20"/>
      <x:c r="O129" s="21"/>
      <x:c r="P129" s="20"/>
    </x:row>
    <x:row r="130">
      <x:c r="A130" s="20"/>
      <x:c r="B130" s="20"/>
      <x:c r="C130" s="20"/>
      <x:c r="D130" s="20"/>
      <x:c r="E130" s="20"/>
      <x:c r="F130" s="20"/>
      <x:c r="G130" s="20" t="str">
        <x:f>IF(OR(E130="",F130=""),"",E130*F130)</x:f>
      </x:c>
      <x:c r="H130" s="20"/>
      <x:c r="I130" s="21"/>
      <x:c r="J130" s="20"/>
      <x:c r="K130" s="20"/>
      <x:c r="L130" s="20" t="str">
        <x:f>IF(F130="","",IF(F130=0,"Critical",IF(F130=1,"High",IF(F130=2,"Moderate",IF(F130=3,"Low","Effective")))))</x:f>
      </x:c>
      <x:c r="M130" s="20"/>
      <x:c r="N130" s="20"/>
      <x:c r="O130" s="21"/>
      <x:c r="P130" s="20"/>
    </x:row>
    <x:row r="131">
      <x:c r="A131" s="20"/>
      <x:c r="B131" s="20"/>
      <x:c r="C131" s="20"/>
      <x:c r="D131" s="20"/>
      <x:c r="E131" s="20"/>
      <x:c r="F131" s="20"/>
      <x:c r="G131" s="20" t="str">
        <x:f>IF(OR(E131="",F131=""),"",E131*F131)</x:f>
      </x:c>
      <x:c r="H131" s="20"/>
      <x:c r="I131" s="21"/>
      <x:c r="J131" s="20"/>
      <x:c r="K131" s="20"/>
      <x:c r="L131" s="20" t="str">
        <x:f>IF(F131="","",IF(F131=0,"Critical",IF(F131=1,"High",IF(F131=2,"Moderate",IF(F131=3,"Low","Effective")))))</x:f>
      </x:c>
      <x:c r="M131" s="20"/>
      <x:c r="N131" s="20"/>
      <x:c r="O131" s="21"/>
      <x:c r="P131" s="20"/>
    </x:row>
    <x:row r="132">
      <x:c r="A132" s="20"/>
      <x:c r="B132" s="20"/>
      <x:c r="C132" s="20"/>
      <x:c r="D132" s="20"/>
      <x:c r="E132" s="20"/>
      <x:c r="F132" s="20"/>
      <x:c r="G132" s="20" t="str">
        <x:f>IF(OR(E132="",F132=""),"",E132*F132)</x:f>
      </x:c>
      <x:c r="H132" s="20"/>
      <x:c r="I132" s="21"/>
      <x:c r="J132" s="20"/>
      <x:c r="K132" s="20"/>
      <x:c r="L132" s="20" t="str">
        <x:f>IF(F132="","",IF(F132=0,"Critical",IF(F132=1,"High",IF(F132=2,"Moderate",IF(F132=3,"Low","Effective")))))</x:f>
      </x:c>
      <x:c r="M132" s="20"/>
      <x:c r="N132" s="20"/>
      <x:c r="O132" s="21"/>
      <x:c r="P132" s="20"/>
    </x:row>
    <x:row r="133">
      <x:c r="A133" s="20"/>
      <x:c r="B133" s="20"/>
      <x:c r="C133" s="20"/>
      <x:c r="D133" s="20"/>
      <x:c r="E133" s="20"/>
      <x:c r="F133" s="20"/>
      <x:c r="G133" s="20" t="str">
        <x:f>IF(OR(E133="",F133=""),"",E133*F133)</x:f>
      </x:c>
      <x:c r="H133" s="20"/>
      <x:c r="I133" s="21"/>
      <x:c r="J133" s="20"/>
      <x:c r="K133" s="20"/>
      <x:c r="L133" s="20" t="str">
        <x:f>IF(F133="","",IF(F133=0,"Critical",IF(F133=1,"High",IF(F133=2,"Moderate",IF(F133=3,"Low","Effective")))))</x:f>
      </x:c>
      <x:c r="M133" s="20"/>
      <x:c r="N133" s="20"/>
      <x:c r="O133" s="21"/>
      <x:c r="P133" s="20"/>
    </x:row>
    <x:row r="134">
      <x:c r="A134" s="20"/>
      <x:c r="B134" s="20"/>
      <x:c r="C134" s="20"/>
      <x:c r="D134" s="20"/>
      <x:c r="E134" s="20"/>
      <x:c r="F134" s="20"/>
      <x:c r="G134" s="20" t="str">
        <x:f>IF(OR(E134="",F134=""),"",E134*F134)</x:f>
      </x:c>
      <x:c r="H134" s="20"/>
      <x:c r="I134" s="21"/>
      <x:c r="J134" s="20"/>
      <x:c r="K134" s="20"/>
      <x:c r="L134" s="20" t="str">
        <x:f>IF(F134="","",IF(F134=0,"Critical",IF(F134=1,"High",IF(F134=2,"Moderate",IF(F134=3,"Low","Effective")))))</x:f>
      </x:c>
      <x:c r="M134" s="20"/>
      <x:c r="N134" s="20"/>
      <x:c r="O134" s="21"/>
      <x:c r="P134" s="20"/>
    </x:row>
    <x:row r="135">
      <x:c r="A135" s="20"/>
      <x:c r="B135" s="20"/>
      <x:c r="C135" s="20"/>
      <x:c r="D135" s="20"/>
      <x:c r="E135" s="20"/>
      <x:c r="F135" s="20"/>
      <x:c r="G135" s="20" t="str">
        <x:f>IF(OR(E135="",F135=""),"",E135*F135)</x:f>
      </x:c>
      <x:c r="H135" s="20"/>
      <x:c r="I135" s="21"/>
      <x:c r="J135" s="20"/>
      <x:c r="K135" s="20"/>
      <x:c r="L135" s="20" t="str">
        <x:f>IF(F135="","",IF(F135=0,"Critical",IF(F135=1,"High",IF(F135=2,"Moderate",IF(F135=3,"Low","Effective")))))</x:f>
      </x:c>
      <x:c r="M135" s="20"/>
      <x:c r="N135" s="20"/>
      <x:c r="O135" s="21"/>
      <x:c r="P135" s="20"/>
    </x:row>
    <x:row r="136">
      <x:c r="A136" s="20"/>
      <x:c r="B136" s="20"/>
      <x:c r="C136" s="20"/>
      <x:c r="D136" s="20"/>
      <x:c r="E136" s="20"/>
      <x:c r="F136" s="20"/>
      <x:c r="G136" s="20" t="str">
        <x:f>IF(OR(E136="",F136=""),"",E136*F136)</x:f>
      </x:c>
      <x:c r="H136" s="20"/>
      <x:c r="I136" s="21"/>
      <x:c r="J136" s="20"/>
      <x:c r="K136" s="20"/>
      <x:c r="L136" s="20" t="str">
        <x:f>IF(F136="","",IF(F136=0,"Critical",IF(F136=1,"High",IF(F136=2,"Moderate",IF(F136=3,"Low","Effective")))))</x:f>
      </x:c>
      <x:c r="M136" s="20"/>
      <x:c r="N136" s="20"/>
      <x:c r="O136" s="21"/>
      <x:c r="P136" s="20"/>
    </x:row>
    <x:row r="137">
      <x:c r="A137" s="20"/>
      <x:c r="B137" s="20"/>
      <x:c r="C137" s="20"/>
      <x:c r="D137" s="20"/>
      <x:c r="E137" s="20"/>
      <x:c r="F137" s="20"/>
      <x:c r="G137" s="20" t="str">
        <x:f>IF(OR(E137="",F137=""),"",E137*F137)</x:f>
      </x:c>
      <x:c r="H137" s="20"/>
      <x:c r="I137" s="21"/>
      <x:c r="J137" s="20"/>
      <x:c r="K137" s="20"/>
      <x:c r="L137" s="20" t="str">
        <x:f>IF(F137="","",IF(F137=0,"Critical",IF(F137=1,"High",IF(F137=2,"Moderate",IF(F137=3,"Low","Effective")))))</x:f>
      </x:c>
      <x:c r="M137" s="20"/>
      <x:c r="N137" s="20"/>
      <x:c r="O137" s="21"/>
      <x:c r="P137" s="20"/>
    </x:row>
    <x:row r="138">
      <x:c r="A138" s="20"/>
      <x:c r="B138" s="20"/>
      <x:c r="C138" s="20"/>
      <x:c r="D138" s="20"/>
      <x:c r="E138" s="20"/>
      <x:c r="F138" s="20"/>
      <x:c r="G138" s="20" t="str">
        <x:f>IF(OR(E138="",F138=""),"",E138*F138)</x:f>
      </x:c>
      <x:c r="H138" s="20"/>
      <x:c r="I138" s="21"/>
      <x:c r="J138" s="20"/>
      <x:c r="K138" s="20"/>
      <x:c r="L138" s="20" t="str">
        <x:f>IF(F138="","",IF(F138=0,"Critical",IF(F138=1,"High",IF(F138=2,"Moderate",IF(F138=3,"Low","Effective")))))</x:f>
      </x:c>
      <x:c r="M138" s="20"/>
      <x:c r="N138" s="20"/>
      <x:c r="O138" s="21"/>
      <x:c r="P138" s="20"/>
    </x:row>
    <x:row r="139">
      <x:c r="A139" s="20"/>
      <x:c r="B139" s="20"/>
      <x:c r="C139" s="20"/>
      <x:c r="D139" s="20"/>
      <x:c r="E139" s="20"/>
      <x:c r="F139" s="20"/>
      <x:c r="G139" s="20" t="str">
        <x:f>IF(OR(E139="",F139=""),"",E139*F139)</x:f>
      </x:c>
      <x:c r="H139" s="20"/>
      <x:c r="I139" s="21"/>
      <x:c r="J139" s="20"/>
      <x:c r="K139" s="20"/>
      <x:c r="L139" s="20" t="str">
        <x:f>IF(F139="","",IF(F139=0,"Critical",IF(F139=1,"High",IF(F139=2,"Moderate",IF(F139=3,"Low","Effective")))))</x:f>
      </x:c>
      <x:c r="M139" s="20"/>
      <x:c r="N139" s="20"/>
      <x:c r="O139" s="21"/>
      <x:c r="P139" s="20"/>
    </x:row>
    <x:row r="140">
      <x:c r="A140" s="20"/>
      <x:c r="B140" s="20"/>
      <x:c r="C140" s="20"/>
      <x:c r="D140" s="20"/>
      <x:c r="E140" s="20"/>
      <x:c r="F140" s="20"/>
      <x:c r="G140" s="20" t="str">
        <x:f>IF(OR(E140="",F140=""),"",E140*F140)</x:f>
      </x:c>
      <x:c r="H140" s="20"/>
      <x:c r="I140" s="21"/>
      <x:c r="J140" s="20"/>
      <x:c r="K140" s="20"/>
      <x:c r="L140" s="20" t="str">
        <x:f>IF(F140="","",IF(F140=0,"Critical",IF(F140=1,"High",IF(F140=2,"Moderate",IF(F140=3,"Low","Effective")))))</x:f>
      </x:c>
      <x:c r="M140" s="20"/>
      <x:c r="N140" s="20"/>
      <x:c r="O140" s="21"/>
      <x:c r="P140" s="20"/>
    </x:row>
    <x:row r="141">
      <x:c r="A141" s="20"/>
      <x:c r="B141" s="20"/>
      <x:c r="C141" s="20"/>
      <x:c r="D141" s="20"/>
      <x:c r="E141" s="20"/>
      <x:c r="F141" s="20"/>
      <x:c r="G141" s="20" t="str">
        <x:f>IF(OR(E141="",F141=""),"",E141*F141)</x:f>
      </x:c>
      <x:c r="H141" s="20"/>
      <x:c r="I141" s="21"/>
      <x:c r="J141" s="20"/>
      <x:c r="K141" s="20"/>
      <x:c r="L141" s="20" t="str">
        <x:f>IF(F141="","",IF(F141=0,"Critical",IF(F141=1,"High",IF(F141=2,"Moderate",IF(F141=3,"Low","Effective")))))</x:f>
      </x:c>
      <x:c r="M141" s="20"/>
      <x:c r="N141" s="20"/>
      <x:c r="O141" s="21"/>
      <x:c r="P141" s="20"/>
    </x:row>
    <x:row r="142">
      <x:c r="A142" s="20"/>
      <x:c r="B142" s="20"/>
      <x:c r="C142" s="20"/>
      <x:c r="D142" s="20"/>
      <x:c r="E142" s="20"/>
      <x:c r="F142" s="20"/>
      <x:c r="G142" s="20" t="str">
        <x:f>IF(OR(E142="",F142=""),"",E142*F142)</x:f>
      </x:c>
      <x:c r="H142" s="20"/>
      <x:c r="I142" s="21"/>
      <x:c r="J142" s="20"/>
      <x:c r="K142" s="20"/>
      <x:c r="L142" s="20" t="str">
        <x:f>IF(F142="","",IF(F142=0,"Critical",IF(F142=1,"High",IF(F142=2,"Moderate",IF(F142=3,"Low","Effective")))))</x:f>
      </x:c>
      <x:c r="M142" s="20"/>
      <x:c r="N142" s="20"/>
      <x:c r="O142" s="21"/>
      <x:c r="P142" s="20"/>
    </x:row>
    <x:row r="143">
      <x:c r="A143" s="20"/>
      <x:c r="B143" s="20"/>
      <x:c r="C143" s="20"/>
      <x:c r="D143" s="20"/>
      <x:c r="E143" s="20"/>
      <x:c r="F143" s="20"/>
      <x:c r="G143" s="20" t="str">
        <x:f>IF(OR(E143="",F143=""),"",E143*F143)</x:f>
      </x:c>
      <x:c r="H143" s="20"/>
      <x:c r="I143" s="21"/>
      <x:c r="J143" s="20"/>
      <x:c r="K143" s="20"/>
      <x:c r="L143" s="20" t="str">
        <x:f>IF(F143="","",IF(F143=0,"Critical",IF(F143=1,"High",IF(F143=2,"Moderate",IF(F143=3,"Low","Effective")))))</x:f>
      </x:c>
      <x:c r="M143" s="20"/>
      <x:c r="N143" s="20"/>
      <x:c r="O143" s="21"/>
      <x:c r="P143" s="20"/>
    </x:row>
    <x:row r="144">
      <x:c r="A144" s="20"/>
      <x:c r="B144" s="20"/>
      <x:c r="C144" s="20"/>
      <x:c r="D144" s="20"/>
      <x:c r="E144" s="20"/>
      <x:c r="F144" s="20"/>
      <x:c r="G144" s="20" t="str">
        <x:f>IF(OR(E144="",F144=""),"",E144*F144)</x:f>
      </x:c>
      <x:c r="H144" s="20"/>
      <x:c r="I144" s="21"/>
      <x:c r="J144" s="20"/>
      <x:c r="K144" s="20"/>
      <x:c r="L144" s="20" t="str">
        <x:f>IF(F144="","",IF(F144=0,"Critical",IF(F144=1,"High",IF(F144=2,"Moderate",IF(F144=3,"Low","Effective")))))</x:f>
      </x:c>
      <x:c r="M144" s="20"/>
      <x:c r="N144" s="20"/>
      <x:c r="O144" s="21"/>
      <x:c r="P144" s="20"/>
    </x:row>
    <x:row r="145">
      <x:c r="A145" s="20"/>
      <x:c r="B145" s="20"/>
      <x:c r="C145" s="20"/>
      <x:c r="D145" s="20"/>
      <x:c r="E145" s="20"/>
      <x:c r="F145" s="20"/>
      <x:c r="G145" s="20" t="str">
        <x:f>IF(OR(E145="",F145=""),"",E145*F145)</x:f>
      </x:c>
      <x:c r="H145" s="20"/>
      <x:c r="I145" s="21"/>
      <x:c r="J145" s="20"/>
      <x:c r="K145" s="20"/>
      <x:c r="L145" s="20" t="str">
        <x:f>IF(F145="","",IF(F145=0,"Critical",IF(F145=1,"High",IF(F145=2,"Moderate",IF(F145=3,"Low","Effective")))))</x:f>
      </x:c>
      <x:c r="M145" s="20"/>
      <x:c r="N145" s="20"/>
      <x:c r="O145" s="21"/>
      <x:c r="P145" s="20"/>
    </x:row>
    <x:row r="146">
      <x:c r="A146" s="20"/>
      <x:c r="B146" s="20"/>
      <x:c r="C146" s="20"/>
      <x:c r="D146" s="20"/>
      <x:c r="E146" s="20"/>
      <x:c r="F146" s="20"/>
      <x:c r="G146" s="20" t="str">
        <x:f>IF(OR(E146="",F146=""),"",E146*F146)</x:f>
      </x:c>
      <x:c r="H146" s="20"/>
      <x:c r="I146" s="21"/>
      <x:c r="J146" s="20"/>
      <x:c r="K146" s="20"/>
      <x:c r="L146" s="20" t="str">
        <x:f>IF(F146="","",IF(F146=0,"Critical",IF(F146=1,"High",IF(F146=2,"Moderate",IF(F146=3,"Low","Effective")))))</x:f>
      </x:c>
      <x:c r="M146" s="20"/>
      <x:c r="N146" s="20"/>
      <x:c r="O146" s="21"/>
      <x:c r="P146" s="20"/>
    </x:row>
    <x:row r="147">
      <x:c r="A147" s="20"/>
      <x:c r="B147" s="20"/>
      <x:c r="C147" s="20"/>
      <x:c r="D147" s="20"/>
      <x:c r="E147" s="20"/>
      <x:c r="F147" s="20"/>
      <x:c r="G147" s="20" t="str">
        <x:f>IF(OR(E147="",F147=""),"",E147*F147)</x:f>
      </x:c>
      <x:c r="H147" s="20"/>
      <x:c r="I147" s="21"/>
      <x:c r="J147" s="20"/>
      <x:c r="K147" s="20"/>
      <x:c r="L147" s="20" t="str">
        <x:f>IF(F147="","",IF(F147=0,"Critical",IF(F147=1,"High",IF(F147=2,"Moderate",IF(F147=3,"Low","Effective")))))</x:f>
      </x:c>
      <x:c r="M147" s="20"/>
      <x:c r="N147" s="20"/>
      <x:c r="O147" s="21"/>
      <x:c r="P147" s="20"/>
    </x:row>
    <x:row r="148">
      <x:c r="A148" s="20"/>
      <x:c r="B148" s="20"/>
      <x:c r="C148" s="20"/>
      <x:c r="D148" s="20"/>
      <x:c r="E148" s="20"/>
      <x:c r="F148" s="20"/>
      <x:c r="G148" s="20" t="str">
        <x:f>IF(OR(E148="",F148=""),"",E148*F148)</x:f>
      </x:c>
      <x:c r="H148" s="20"/>
      <x:c r="I148" s="21"/>
      <x:c r="J148" s="20"/>
      <x:c r="K148" s="20"/>
      <x:c r="L148" s="20" t="str">
        <x:f>IF(F148="","",IF(F148=0,"Critical",IF(F148=1,"High",IF(F148=2,"Moderate",IF(F148=3,"Low","Effective")))))</x:f>
      </x:c>
      <x:c r="M148" s="20"/>
      <x:c r="N148" s="20"/>
      <x:c r="O148" s="21"/>
      <x:c r="P148" s="20"/>
    </x:row>
    <x:row r="149">
      <x:c r="A149" s="20"/>
      <x:c r="B149" s="20"/>
      <x:c r="C149" s="20"/>
      <x:c r="D149" s="20"/>
      <x:c r="E149" s="20"/>
      <x:c r="F149" s="20"/>
      <x:c r="G149" s="20" t="str">
        <x:f>IF(OR(E149="",F149=""),"",E149*F149)</x:f>
      </x:c>
      <x:c r="H149" s="20"/>
      <x:c r="I149" s="21"/>
      <x:c r="J149" s="20"/>
      <x:c r="K149" s="20"/>
      <x:c r="L149" s="20" t="str">
        <x:f>IF(F149="","",IF(F149=0,"Critical",IF(F149=1,"High",IF(F149=2,"Moderate",IF(F149=3,"Low","Effective")))))</x:f>
      </x:c>
      <x:c r="M149" s="20"/>
      <x:c r="N149" s="20"/>
      <x:c r="O149" s="21"/>
      <x:c r="P149" s="20"/>
    </x:row>
    <x:row r="150">
      <x:c r="A150" s="20"/>
      <x:c r="B150" s="20"/>
      <x:c r="C150" s="20"/>
      <x:c r="D150" s="20"/>
      <x:c r="E150" s="20"/>
      <x:c r="F150" s="20"/>
      <x:c r="G150" s="20" t="str">
        <x:f>IF(OR(E150="",F150=""),"",E150*F150)</x:f>
      </x:c>
      <x:c r="H150" s="20"/>
      <x:c r="I150" s="21"/>
      <x:c r="J150" s="20"/>
      <x:c r="K150" s="20"/>
      <x:c r="L150" s="20" t="str">
        <x:f>IF(F150="","",IF(F150=0,"Critical",IF(F150=1,"High",IF(F150=2,"Moderate",IF(F150=3,"Low","Effective")))))</x:f>
      </x:c>
      <x:c r="M150" s="20"/>
      <x:c r="N150" s="20"/>
      <x:c r="O150" s="21"/>
      <x:c r="P150" s="20"/>
    </x:row>
    <x:row r="151">
      <x:c r="A151" s="20"/>
      <x:c r="B151" s="20"/>
      <x:c r="C151" s="20"/>
      <x:c r="D151" s="20"/>
      <x:c r="E151" s="20"/>
      <x:c r="F151" s="20"/>
      <x:c r="G151" s="20" t="str">
        <x:f>IF(OR(E151="",F151=""),"",E151*F151)</x:f>
      </x:c>
      <x:c r="H151" s="20"/>
      <x:c r="I151" s="21"/>
      <x:c r="J151" s="20"/>
      <x:c r="K151" s="20"/>
      <x:c r="L151" s="20" t="str">
        <x:f>IF(F151="","",IF(F151=0,"Critical",IF(F151=1,"High",IF(F151=2,"Moderate",IF(F151=3,"Low","Effective")))))</x:f>
      </x:c>
      <x:c r="M151" s="20"/>
      <x:c r="N151" s="20"/>
      <x:c r="O151" s="21"/>
      <x:c r="P151" s="20"/>
    </x:row>
    <x:row r="152">
      <x:c r="A152" s="20"/>
      <x:c r="B152" s="20"/>
      <x:c r="C152" s="20"/>
      <x:c r="D152" s="20"/>
      <x:c r="E152" s="20"/>
      <x:c r="F152" s="20"/>
      <x:c r="G152" s="20" t="str">
        <x:f>IF(OR(E152="",F152=""),"",E152*F152)</x:f>
      </x:c>
      <x:c r="H152" s="20"/>
      <x:c r="I152" s="21"/>
      <x:c r="J152" s="20"/>
      <x:c r="K152" s="20"/>
      <x:c r="L152" s="20" t="str">
        <x:f>IF(F152="","",IF(F152=0,"Critical",IF(F152=1,"High",IF(F152=2,"Moderate",IF(F152=3,"Low","Effective")))))</x:f>
      </x:c>
      <x:c r="M152" s="20"/>
      <x:c r="N152" s="20"/>
      <x:c r="O152" s="21"/>
      <x:c r="P152" s="20"/>
    </x:row>
    <x:row r="153">
      <x:c r="A153" s="20"/>
      <x:c r="B153" s="20"/>
      <x:c r="C153" s="20"/>
      <x:c r="D153" s="20"/>
      <x:c r="E153" s="20"/>
      <x:c r="F153" s="20"/>
      <x:c r="G153" s="20" t="str">
        <x:f>IF(OR(E153="",F153=""),"",E153*F153)</x:f>
      </x:c>
      <x:c r="H153" s="20"/>
      <x:c r="I153" s="21"/>
      <x:c r="J153" s="20"/>
      <x:c r="K153" s="20"/>
      <x:c r="L153" s="20" t="str">
        <x:f>IF(F153="","",IF(F153=0,"Critical",IF(F153=1,"High",IF(F153=2,"Moderate",IF(F153=3,"Low","Effective")))))</x:f>
      </x:c>
      <x:c r="M153" s="20"/>
      <x:c r="N153" s="20"/>
      <x:c r="O153" s="21"/>
      <x:c r="P153" s="20"/>
    </x:row>
    <x:row r="154">
      <x:c r="A154" s="20"/>
      <x:c r="B154" s="20"/>
      <x:c r="C154" s="20"/>
      <x:c r="D154" s="20"/>
      <x:c r="E154" s="20"/>
      <x:c r="F154" s="20"/>
      <x:c r="G154" s="20" t="str">
        <x:f>IF(OR(E154="",F154=""),"",E154*F154)</x:f>
      </x:c>
      <x:c r="H154" s="20"/>
      <x:c r="I154" s="21"/>
      <x:c r="J154" s="20"/>
      <x:c r="K154" s="20"/>
      <x:c r="L154" s="20" t="str">
        <x:f>IF(F154="","",IF(F154=0,"Critical",IF(F154=1,"High",IF(F154=2,"Moderate",IF(F154=3,"Low","Effective")))))</x:f>
      </x:c>
      <x:c r="M154" s="20"/>
      <x:c r="N154" s="20"/>
      <x:c r="O154" s="21"/>
      <x:c r="P154" s="20"/>
    </x:row>
    <x:row r="155">
      <x:c r="A155" s="20"/>
      <x:c r="B155" s="20"/>
      <x:c r="C155" s="20"/>
      <x:c r="D155" s="20"/>
      <x:c r="E155" s="20"/>
      <x:c r="F155" s="20"/>
      <x:c r="G155" s="20" t="str">
        <x:f>IF(OR(E155="",F155=""),"",E155*F155)</x:f>
      </x:c>
      <x:c r="H155" s="20"/>
      <x:c r="I155" s="21"/>
      <x:c r="J155" s="20"/>
      <x:c r="K155" s="20"/>
      <x:c r="L155" s="20" t="str">
        <x:f>IF(F155="","",IF(F155=0,"Critical",IF(F155=1,"High",IF(F155=2,"Moderate",IF(F155=3,"Low","Effective")))))</x:f>
      </x:c>
      <x:c r="M155" s="20"/>
      <x:c r="N155" s="20"/>
      <x:c r="O155" s="21"/>
      <x:c r="P155" s="20"/>
    </x:row>
    <x:row r="156">
      <x:c r="A156" s="20"/>
      <x:c r="B156" s="20"/>
      <x:c r="C156" s="20"/>
      <x:c r="D156" s="20"/>
      <x:c r="E156" s="20"/>
      <x:c r="F156" s="20"/>
      <x:c r="G156" s="20" t="str">
        <x:f>IF(OR(E156="",F156=""),"",E156*F156)</x:f>
      </x:c>
      <x:c r="H156" s="20"/>
      <x:c r="I156" s="21"/>
      <x:c r="J156" s="20"/>
      <x:c r="K156" s="20"/>
      <x:c r="L156" s="20" t="str">
        <x:f>IF(F156="","",IF(F156=0,"Critical",IF(F156=1,"High",IF(F156=2,"Moderate",IF(F156=3,"Low","Effective")))))</x:f>
      </x:c>
      <x:c r="M156" s="20"/>
      <x:c r="N156" s="20"/>
      <x:c r="O156" s="21"/>
      <x:c r="P156" s="20"/>
    </x:row>
    <x:row r="157">
      <x:c r="A157" s="20"/>
      <x:c r="B157" s="20"/>
      <x:c r="C157" s="20"/>
      <x:c r="D157" s="20"/>
      <x:c r="E157" s="20"/>
      <x:c r="F157" s="20"/>
      <x:c r="G157" s="20" t="str">
        <x:f>IF(OR(E157="",F157=""),"",E157*F157)</x:f>
      </x:c>
      <x:c r="H157" s="20"/>
      <x:c r="I157" s="21"/>
      <x:c r="J157" s="20"/>
      <x:c r="K157" s="20"/>
      <x:c r="L157" s="20" t="str">
        <x:f>IF(F157="","",IF(F157=0,"Critical",IF(F157=1,"High",IF(F157=2,"Moderate",IF(F157=3,"Low","Effective")))))</x:f>
      </x:c>
      <x:c r="M157" s="20"/>
      <x:c r="N157" s="20"/>
      <x:c r="O157" s="21"/>
      <x:c r="P157" s="20"/>
    </x:row>
    <x:row r="158">
      <x:c r="A158" s="20"/>
      <x:c r="B158" s="20"/>
      <x:c r="C158" s="20"/>
      <x:c r="D158" s="20"/>
      <x:c r="E158" s="20"/>
      <x:c r="F158" s="20"/>
      <x:c r="G158" s="20" t="str">
        <x:f>IF(OR(E158="",F158=""),"",E158*F158)</x:f>
      </x:c>
      <x:c r="H158" s="20"/>
      <x:c r="I158" s="21"/>
      <x:c r="J158" s="20"/>
      <x:c r="K158" s="20"/>
      <x:c r="L158" s="20" t="str">
        <x:f>IF(F158="","",IF(F158=0,"Critical",IF(F158=1,"High",IF(F158=2,"Moderate",IF(F158=3,"Low","Effective")))))</x:f>
      </x:c>
      <x:c r="M158" s="20"/>
      <x:c r="N158" s="20"/>
      <x:c r="O158" s="21"/>
      <x:c r="P158" s="20"/>
    </x:row>
    <x:row r="159">
      <x:c r="A159" s="20"/>
      <x:c r="B159" s="20"/>
      <x:c r="C159" s="20"/>
      <x:c r="D159" s="20"/>
      <x:c r="E159" s="20"/>
      <x:c r="F159" s="20"/>
      <x:c r="G159" s="20" t="str">
        <x:f>IF(OR(E159="",F159=""),"",E159*F159)</x:f>
      </x:c>
      <x:c r="H159" s="20"/>
      <x:c r="I159" s="21"/>
      <x:c r="J159" s="20"/>
      <x:c r="K159" s="20"/>
      <x:c r="L159" s="20" t="str">
        <x:f>IF(F159="","",IF(F159=0,"Critical",IF(F159=1,"High",IF(F159=2,"Moderate",IF(F159=3,"Low","Effective")))))</x:f>
      </x:c>
      <x:c r="M159" s="20"/>
      <x:c r="N159" s="20"/>
      <x:c r="O159" s="21"/>
      <x:c r="P159" s="20"/>
    </x:row>
    <x:row r="160">
      <x:c r="A160" s="20"/>
      <x:c r="B160" s="20"/>
      <x:c r="C160" s="20"/>
      <x:c r="D160" s="20"/>
      <x:c r="E160" s="20"/>
      <x:c r="F160" s="20"/>
      <x:c r="G160" s="20" t="str">
        <x:f>IF(OR(E160="",F160=""),"",E160*F160)</x:f>
      </x:c>
      <x:c r="H160" s="20"/>
      <x:c r="I160" s="21"/>
      <x:c r="J160" s="20"/>
      <x:c r="K160" s="20"/>
      <x:c r="L160" s="20" t="str">
        <x:f>IF(F160="","",IF(F160=0,"Critical",IF(F160=1,"High",IF(F160=2,"Moderate",IF(F160=3,"Low","Effective")))))</x:f>
      </x:c>
      <x:c r="M160" s="20"/>
      <x:c r="N160" s="20"/>
      <x:c r="O160" s="21"/>
      <x:c r="P160" s="20"/>
    </x:row>
    <x:row r="161">
      <x:c r="A161" s="20"/>
      <x:c r="B161" s="20"/>
      <x:c r="C161" s="20"/>
      <x:c r="D161" s="20"/>
      <x:c r="E161" s="20"/>
      <x:c r="F161" s="20"/>
      <x:c r="G161" s="20" t="str">
        <x:f>IF(OR(E161="",F161=""),"",E161*F161)</x:f>
      </x:c>
      <x:c r="H161" s="20"/>
      <x:c r="I161" s="21"/>
      <x:c r="J161" s="20"/>
      <x:c r="K161" s="20"/>
      <x:c r="L161" s="20" t="str">
        <x:f>IF(F161="","",IF(F161=0,"Critical",IF(F161=1,"High",IF(F161=2,"Moderate",IF(F161=3,"Low","Effective")))))</x:f>
      </x:c>
      <x:c r="M161" s="20"/>
      <x:c r="N161" s="20"/>
      <x:c r="O161" s="21"/>
      <x:c r="P161" s="20"/>
    </x:row>
    <x:row r="162">
      <x:c r="A162" s="20"/>
      <x:c r="B162" s="20"/>
      <x:c r="C162" s="20"/>
      <x:c r="D162" s="20"/>
      <x:c r="E162" s="20"/>
      <x:c r="F162" s="20"/>
      <x:c r="G162" s="20" t="str">
        <x:f>IF(OR(E162="",F162=""),"",E162*F162)</x:f>
      </x:c>
      <x:c r="H162" s="20"/>
      <x:c r="I162" s="21"/>
      <x:c r="J162" s="20"/>
      <x:c r="K162" s="20"/>
      <x:c r="L162" s="20" t="str">
        <x:f>IF(F162="","",IF(F162=0,"Critical",IF(F162=1,"High",IF(F162=2,"Moderate",IF(F162=3,"Low","Effective")))))</x:f>
      </x:c>
      <x:c r="M162" s="20"/>
      <x:c r="N162" s="20"/>
      <x:c r="O162" s="21"/>
      <x:c r="P162" s="20"/>
    </x:row>
    <x:row r="163">
      <x:c r="A163" s="20"/>
      <x:c r="B163" s="20"/>
      <x:c r="C163" s="20"/>
      <x:c r="D163" s="20"/>
      <x:c r="E163" s="20"/>
      <x:c r="F163" s="20"/>
      <x:c r="G163" s="20" t="str">
        <x:f>IF(OR(E163="",F163=""),"",E163*F163)</x:f>
      </x:c>
      <x:c r="H163" s="20"/>
      <x:c r="I163" s="21"/>
      <x:c r="J163" s="20"/>
      <x:c r="K163" s="20"/>
      <x:c r="L163" s="20" t="str">
        <x:f>IF(F163="","",IF(F163=0,"Critical",IF(F163=1,"High",IF(F163=2,"Moderate",IF(F163=3,"Low","Effective")))))</x:f>
      </x:c>
      <x:c r="M163" s="20"/>
      <x:c r="N163" s="20"/>
      <x:c r="O163" s="21"/>
      <x:c r="P163" s="20"/>
    </x:row>
    <x:row r="164">
      <x:c r="A164" s="20"/>
      <x:c r="B164" s="20"/>
      <x:c r="C164" s="20"/>
      <x:c r="D164" s="20"/>
      <x:c r="E164" s="20"/>
      <x:c r="F164" s="20"/>
      <x:c r="G164" s="20" t="str">
        <x:f>IF(OR(E164="",F164=""),"",E164*F164)</x:f>
      </x:c>
      <x:c r="H164" s="20"/>
      <x:c r="I164" s="21"/>
      <x:c r="J164" s="20"/>
      <x:c r="K164" s="20"/>
      <x:c r="L164" s="20" t="str">
        <x:f>IF(F164="","",IF(F164=0,"Critical",IF(F164=1,"High",IF(F164=2,"Moderate",IF(F164=3,"Low","Effective")))))</x:f>
      </x:c>
      <x:c r="M164" s="20"/>
      <x:c r="N164" s="20"/>
      <x:c r="O164" s="21"/>
      <x:c r="P164" s="20"/>
    </x:row>
    <x:row r="165">
      <x:c r="A165" s="20"/>
      <x:c r="B165" s="20"/>
      <x:c r="C165" s="20"/>
      <x:c r="D165" s="20"/>
      <x:c r="E165" s="20"/>
      <x:c r="F165" s="20"/>
      <x:c r="G165" s="20" t="str">
        <x:f>IF(OR(E165="",F165=""),"",E165*F165)</x:f>
      </x:c>
      <x:c r="H165" s="20"/>
      <x:c r="I165" s="21"/>
      <x:c r="J165" s="20"/>
      <x:c r="K165" s="20"/>
      <x:c r="L165" s="20" t="str">
        <x:f>IF(F165="","",IF(F165=0,"Critical",IF(F165=1,"High",IF(F165=2,"Moderate",IF(F165=3,"Low","Effective")))))</x:f>
      </x:c>
      <x:c r="M165" s="20"/>
      <x:c r="N165" s="20"/>
      <x:c r="O165" s="21"/>
      <x:c r="P165" s="20"/>
    </x:row>
    <x:row r="166">
      <x:c r="A166" s="20"/>
      <x:c r="B166" s="20"/>
      <x:c r="C166" s="20"/>
      <x:c r="D166" s="20"/>
      <x:c r="E166" s="20"/>
      <x:c r="F166" s="20"/>
      <x:c r="G166" s="20" t="str">
        <x:f>IF(OR(E166="",F166=""),"",E166*F166)</x:f>
      </x:c>
      <x:c r="H166" s="20"/>
      <x:c r="I166" s="21"/>
      <x:c r="J166" s="20"/>
      <x:c r="K166" s="20"/>
      <x:c r="L166" s="20" t="str">
        <x:f>IF(F166="","",IF(F166=0,"Critical",IF(F166=1,"High",IF(F166=2,"Moderate",IF(F166=3,"Low","Effective")))))</x:f>
      </x:c>
      <x:c r="M166" s="20"/>
      <x:c r="N166" s="20"/>
      <x:c r="O166" s="21"/>
      <x:c r="P166" s="20"/>
    </x:row>
    <x:row r="167">
      <x:c r="A167" s="20"/>
      <x:c r="B167" s="20"/>
      <x:c r="C167" s="20"/>
      <x:c r="D167" s="20"/>
      <x:c r="E167" s="20"/>
      <x:c r="F167" s="20"/>
      <x:c r="G167" s="20" t="str">
        <x:f>IF(OR(E167="",F167=""),"",E167*F167)</x:f>
      </x:c>
      <x:c r="H167" s="20"/>
      <x:c r="I167" s="21"/>
      <x:c r="J167" s="20"/>
      <x:c r="K167" s="20"/>
      <x:c r="L167" s="20" t="str">
        <x:f>IF(F167="","",IF(F167=0,"Critical",IF(F167=1,"High",IF(F167=2,"Moderate",IF(F167=3,"Low","Effective")))))</x:f>
      </x:c>
      <x:c r="M167" s="20"/>
      <x:c r="N167" s="20"/>
      <x:c r="O167" s="21"/>
      <x:c r="P167" s="20"/>
    </x:row>
    <x:row r="168">
      <x:c r="A168" s="20"/>
      <x:c r="B168" s="20"/>
      <x:c r="C168" s="20"/>
      <x:c r="D168" s="20"/>
      <x:c r="E168" s="20"/>
      <x:c r="F168" s="20"/>
      <x:c r="G168" s="20" t="str">
        <x:f>IF(OR(E168="",F168=""),"",E168*F168)</x:f>
      </x:c>
      <x:c r="H168" s="20"/>
      <x:c r="I168" s="21"/>
      <x:c r="J168" s="20"/>
      <x:c r="K168" s="20"/>
      <x:c r="L168" s="20" t="str">
        <x:f>IF(F168="","",IF(F168=0,"Critical",IF(F168=1,"High",IF(F168=2,"Moderate",IF(F168=3,"Low","Effective")))))</x:f>
      </x:c>
      <x:c r="M168" s="20"/>
      <x:c r="N168" s="20"/>
      <x:c r="O168" s="21"/>
      <x:c r="P168" s="20"/>
    </x:row>
    <x:row r="169">
      <x:c r="A169" s="20"/>
      <x:c r="B169" s="20"/>
      <x:c r="C169" s="20"/>
      <x:c r="D169" s="20"/>
      <x:c r="E169" s="20"/>
      <x:c r="F169" s="20"/>
      <x:c r="G169" s="20" t="str">
        <x:f>IF(OR(E169="",F169=""),"",E169*F169)</x:f>
      </x:c>
      <x:c r="H169" s="20"/>
      <x:c r="I169" s="21"/>
      <x:c r="J169" s="20"/>
      <x:c r="K169" s="20"/>
      <x:c r="L169" s="20" t="str">
        <x:f>IF(F169="","",IF(F169=0,"Critical",IF(F169=1,"High",IF(F169=2,"Moderate",IF(F169=3,"Low","Effective")))))</x:f>
      </x:c>
      <x:c r="M169" s="20"/>
      <x:c r="N169" s="20"/>
      <x:c r="O169" s="21"/>
      <x:c r="P169" s="20"/>
    </x:row>
    <x:row r="170">
      <x:c r="A170" s="20"/>
      <x:c r="B170" s="20"/>
      <x:c r="C170" s="20"/>
      <x:c r="D170" s="20"/>
      <x:c r="E170" s="20"/>
      <x:c r="F170" s="20"/>
      <x:c r="G170" s="20" t="str">
        <x:f>IF(OR(E170="",F170=""),"",E170*F170)</x:f>
      </x:c>
      <x:c r="H170" s="20"/>
      <x:c r="I170" s="21"/>
      <x:c r="J170" s="20"/>
      <x:c r="K170" s="20"/>
      <x:c r="L170" s="20" t="str">
        <x:f>IF(F170="","",IF(F170=0,"Critical",IF(F170=1,"High",IF(F170=2,"Moderate",IF(F170=3,"Low","Effective")))))</x:f>
      </x:c>
      <x:c r="M170" s="20"/>
      <x:c r="N170" s="20"/>
      <x:c r="O170" s="21"/>
      <x:c r="P170" s="20"/>
    </x:row>
    <x:row r="171">
      <x:c r="A171" s="20"/>
      <x:c r="B171" s="20"/>
      <x:c r="C171" s="20"/>
      <x:c r="D171" s="20"/>
      <x:c r="E171" s="20"/>
      <x:c r="F171" s="20"/>
      <x:c r="G171" s="20" t="str">
        <x:f>IF(OR(E171="",F171=""),"",E171*F171)</x:f>
      </x:c>
      <x:c r="H171" s="20"/>
      <x:c r="I171" s="21"/>
      <x:c r="J171" s="20"/>
      <x:c r="K171" s="20"/>
      <x:c r="L171" s="20" t="str">
        <x:f>IF(F171="","",IF(F171=0,"Critical",IF(F171=1,"High",IF(F171=2,"Moderate",IF(F171=3,"Low","Effective")))))</x:f>
      </x:c>
      <x:c r="M171" s="20"/>
      <x:c r="N171" s="20"/>
      <x:c r="O171" s="21"/>
      <x:c r="P171" s="20"/>
    </x:row>
    <x:row r="172">
      <x:c r="A172" s="20"/>
      <x:c r="B172" s="20"/>
      <x:c r="C172" s="20"/>
      <x:c r="D172" s="20"/>
      <x:c r="E172" s="20"/>
      <x:c r="F172" s="20"/>
      <x:c r="G172" s="20" t="str">
        <x:f>IF(OR(E172="",F172=""),"",E172*F172)</x:f>
      </x:c>
      <x:c r="H172" s="20"/>
      <x:c r="I172" s="21"/>
      <x:c r="J172" s="20"/>
      <x:c r="K172" s="20"/>
      <x:c r="L172" s="20" t="str">
        <x:f>IF(F172="","",IF(F172=0,"Critical",IF(F172=1,"High",IF(F172=2,"Moderate",IF(F172=3,"Low","Effective")))))</x:f>
      </x:c>
      <x:c r="M172" s="20"/>
      <x:c r="N172" s="20"/>
      <x:c r="O172" s="21"/>
      <x:c r="P172" s="20"/>
    </x:row>
    <x:row r="173">
      <x:c r="A173" s="20"/>
      <x:c r="B173" s="20"/>
      <x:c r="C173" s="20"/>
      <x:c r="D173" s="20"/>
      <x:c r="E173" s="20"/>
      <x:c r="F173" s="20"/>
      <x:c r="G173" s="20" t="str">
        <x:f>IF(OR(E173="",F173=""),"",E173*F173)</x:f>
      </x:c>
      <x:c r="H173" s="20"/>
      <x:c r="I173" s="21"/>
      <x:c r="J173" s="20"/>
      <x:c r="K173" s="20"/>
      <x:c r="L173" s="20" t="str">
        <x:f>IF(F173="","",IF(F173=0,"Critical",IF(F173=1,"High",IF(F173=2,"Moderate",IF(F173=3,"Low","Effective")))))</x:f>
      </x:c>
      <x:c r="M173" s="20"/>
      <x:c r="N173" s="20"/>
      <x:c r="O173" s="21"/>
      <x:c r="P173" s="20"/>
    </x:row>
    <x:row r="174">
      <x:c r="A174" s="20"/>
      <x:c r="B174" s="20"/>
      <x:c r="C174" s="20"/>
      <x:c r="D174" s="20"/>
      <x:c r="E174" s="20"/>
      <x:c r="F174" s="20"/>
      <x:c r="G174" s="20" t="str">
        <x:f>IF(OR(E174="",F174=""),"",E174*F174)</x:f>
      </x:c>
      <x:c r="H174" s="20"/>
      <x:c r="I174" s="21"/>
      <x:c r="J174" s="20"/>
      <x:c r="K174" s="20"/>
      <x:c r="L174" s="20" t="str">
        <x:f>IF(F174="","",IF(F174=0,"Critical",IF(F174=1,"High",IF(F174=2,"Moderate",IF(F174=3,"Low","Effective")))))</x:f>
      </x:c>
      <x:c r="M174" s="20"/>
      <x:c r="N174" s="20"/>
      <x:c r="O174" s="21"/>
      <x:c r="P174" s="20"/>
    </x:row>
    <x:row r="175">
      <x:c r="A175" s="20"/>
      <x:c r="B175" s="20"/>
      <x:c r="C175" s="20"/>
      <x:c r="D175" s="20"/>
      <x:c r="E175" s="20"/>
      <x:c r="F175" s="20"/>
      <x:c r="G175" s="20" t="str">
        <x:f>IF(OR(E175="",F175=""),"",E175*F175)</x:f>
      </x:c>
      <x:c r="H175" s="20"/>
      <x:c r="I175" s="21"/>
      <x:c r="J175" s="20"/>
      <x:c r="K175" s="20"/>
      <x:c r="L175" s="20" t="str">
        <x:f>IF(F175="","",IF(F175=0,"Critical",IF(F175=1,"High",IF(F175=2,"Moderate",IF(F175=3,"Low","Effective")))))</x:f>
      </x:c>
      <x:c r="M175" s="20"/>
      <x:c r="N175" s="20"/>
      <x:c r="O175" s="21"/>
      <x:c r="P175" s="20"/>
    </x:row>
    <x:row r="176">
      <x:c r="A176" s="20"/>
      <x:c r="B176" s="20"/>
      <x:c r="C176" s="20"/>
      <x:c r="D176" s="20"/>
      <x:c r="E176" s="20"/>
      <x:c r="F176" s="20"/>
      <x:c r="G176" s="20" t="str">
        <x:f>IF(OR(E176="",F176=""),"",E176*F176)</x:f>
      </x:c>
      <x:c r="H176" s="20"/>
      <x:c r="I176" s="21"/>
      <x:c r="J176" s="20"/>
      <x:c r="K176" s="20"/>
      <x:c r="L176" s="20" t="str">
        <x:f>IF(F176="","",IF(F176=0,"Critical",IF(F176=1,"High",IF(F176=2,"Moderate",IF(F176=3,"Low","Effective")))))</x:f>
      </x:c>
      <x:c r="M176" s="20"/>
      <x:c r="N176" s="20"/>
      <x:c r="O176" s="21"/>
      <x:c r="P176" s="20"/>
    </x:row>
    <x:row r="177">
      <x:c r="A177" s="20"/>
      <x:c r="B177" s="20"/>
      <x:c r="C177" s="20"/>
      <x:c r="D177" s="20"/>
      <x:c r="E177" s="20"/>
      <x:c r="F177" s="20"/>
      <x:c r="G177" s="20" t="str">
        <x:f>IF(OR(E177="",F177=""),"",E177*F177)</x:f>
      </x:c>
      <x:c r="H177" s="20"/>
      <x:c r="I177" s="21"/>
      <x:c r="J177" s="20"/>
      <x:c r="K177" s="20"/>
      <x:c r="L177" s="20" t="str">
        <x:f>IF(F177="","",IF(F177=0,"Critical",IF(F177=1,"High",IF(F177=2,"Moderate",IF(F177=3,"Low","Effective")))))</x:f>
      </x:c>
      <x:c r="M177" s="20"/>
      <x:c r="N177" s="20"/>
      <x:c r="O177" s="21"/>
      <x:c r="P177" s="20"/>
    </x:row>
    <x:row r="178">
      <x:c r="A178" s="20"/>
      <x:c r="B178" s="20"/>
      <x:c r="C178" s="20"/>
      <x:c r="D178" s="20"/>
      <x:c r="E178" s="20"/>
      <x:c r="F178" s="20"/>
      <x:c r="G178" s="20" t="str">
        <x:f>IF(OR(E178="",F178=""),"",E178*F178)</x:f>
      </x:c>
      <x:c r="H178" s="20"/>
      <x:c r="I178" s="21"/>
      <x:c r="J178" s="20"/>
      <x:c r="K178" s="20"/>
      <x:c r="L178" s="20" t="str">
        <x:f>IF(F178="","",IF(F178=0,"Critical",IF(F178=1,"High",IF(F178=2,"Moderate",IF(F178=3,"Low","Effective")))))</x:f>
      </x:c>
      <x:c r="M178" s="20"/>
      <x:c r="N178" s="20"/>
      <x:c r="O178" s="21"/>
      <x:c r="P178" s="20"/>
    </x:row>
    <x:row r="179">
      <x:c r="A179" s="20"/>
      <x:c r="B179" s="20"/>
      <x:c r="C179" s="20"/>
      <x:c r="D179" s="20"/>
      <x:c r="E179" s="20"/>
      <x:c r="F179" s="20"/>
      <x:c r="G179" s="20" t="str">
        <x:f>IF(OR(E179="",F179=""),"",E179*F179)</x:f>
      </x:c>
      <x:c r="H179" s="20"/>
      <x:c r="I179" s="21"/>
      <x:c r="J179" s="20"/>
      <x:c r="K179" s="20"/>
      <x:c r="L179" s="20" t="str">
        <x:f>IF(F179="","",IF(F179=0,"Critical",IF(F179=1,"High",IF(F179=2,"Moderate",IF(F179=3,"Low","Effective")))))</x:f>
      </x:c>
      <x:c r="M179" s="20"/>
      <x:c r="N179" s="20"/>
      <x:c r="O179" s="21"/>
      <x:c r="P179" s="20"/>
    </x:row>
    <x:row r="180">
      <x:c r="A180" s="20"/>
      <x:c r="B180" s="20"/>
      <x:c r="C180" s="20"/>
      <x:c r="D180" s="20"/>
      <x:c r="E180" s="20"/>
      <x:c r="F180" s="20"/>
      <x:c r="G180" s="20" t="str">
        <x:f>IF(OR(E180="",F180=""),"",E180*F180)</x:f>
      </x:c>
      <x:c r="H180" s="20"/>
      <x:c r="I180" s="21"/>
      <x:c r="J180" s="20"/>
      <x:c r="K180" s="20"/>
      <x:c r="L180" s="20" t="str">
        <x:f>IF(F180="","",IF(F180=0,"Critical",IF(F180=1,"High",IF(F180=2,"Moderate",IF(F180=3,"Low","Effective")))))</x:f>
      </x:c>
      <x:c r="M180" s="20"/>
      <x:c r="N180" s="20"/>
      <x:c r="O180" s="21"/>
      <x:c r="P180" s="20"/>
    </x:row>
    <x:row r="181">
      <x:c r="A181" s="20"/>
      <x:c r="B181" s="20"/>
      <x:c r="C181" s="20"/>
      <x:c r="D181" s="20"/>
      <x:c r="E181" s="20"/>
      <x:c r="F181" s="20"/>
      <x:c r="G181" s="20" t="str">
        <x:f>IF(OR(E181="",F181=""),"",E181*F181)</x:f>
      </x:c>
      <x:c r="H181" s="20"/>
      <x:c r="I181" s="21"/>
      <x:c r="J181" s="20"/>
      <x:c r="K181" s="20"/>
      <x:c r="L181" s="20" t="str">
        <x:f>IF(F181="","",IF(F181=0,"Critical",IF(F181=1,"High",IF(F181=2,"Moderate",IF(F181=3,"Low","Effective")))))</x:f>
      </x:c>
      <x:c r="M181" s="20"/>
      <x:c r="N181" s="20"/>
      <x:c r="O181" s="21"/>
      <x:c r="P181" s="20"/>
    </x:row>
    <x:row r="182">
      <x:c r="A182" s="20"/>
      <x:c r="B182" s="20"/>
      <x:c r="C182" s="20"/>
      <x:c r="D182" s="20"/>
      <x:c r="E182" s="20"/>
      <x:c r="F182" s="20"/>
      <x:c r="G182" s="20" t="str">
        <x:f>IF(OR(E182="",F182=""),"",E182*F182)</x:f>
      </x:c>
      <x:c r="H182" s="20"/>
      <x:c r="I182" s="21"/>
      <x:c r="J182" s="20"/>
      <x:c r="K182" s="20"/>
      <x:c r="L182" s="20" t="str">
        <x:f>IF(F182="","",IF(F182=0,"Critical",IF(F182=1,"High",IF(F182=2,"Moderate",IF(F182=3,"Low","Effective")))))</x:f>
      </x:c>
      <x:c r="M182" s="20"/>
      <x:c r="N182" s="20"/>
      <x:c r="O182" s="21"/>
      <x:c r="P182" s="20"/>
    </x:row>
    <x:row r="183">
      <x:c r="A183" s="20"/>
      <x:c r="B183" s="20"/>
      <x:c r="C183" s="20"/>
      <x:c r="D183" s="20"/>
      <x:c r="E183" s="20"/>
      <x:c r="F183" s="20"/>
      <x:c r="G183" s="20" t="str">
        <x:f>IF(OR(E183="",F183=""),"",E183*F183)</x:f>
      </x:c>
      <x:c r="H183" s="20"/>
      <x:c r="I183" s="21"/>
      <x:c r="J183" s="20"/>
      <x:c r="K183" s="20"/>
      <x:c r="L183" s="20" t="str">
        <x:f>IF(F183="","",IF(F183=0,"Critical",IF(F183=1,"High",IF(F183=2,"Moderate",IF(F183=3,"Low","Effective")))))</x:f>
      </x:c>
      <x:c r="M183" s="20"/>
      <x:c r="N183" s="20"/>
      <x:c r="O183" s="21"/>
      <x:c r="P183" s="20"/>
    </x:row>
    <x:row r="184">
      <x:c r="A184" s="20"/>
      <x:c r="B184" s="20"/>
      <x:c r="C184" s="20"/>
      <x:c r="D184" s="20"/>
      <x:c r="E184" s="20"/>
      <x:c r="F184" s="20"/>
      <x:c r="G184" s="20" t="str">
        <x:f>IF(OR(E184="",F184=""),"",E184*F184)</x:f>
      </x:c>
      <x:c r="H184" s="20"/>
      <x:c r="I184" s="21"/>
      <x:c r="J184" s="20"/>
      <x:c r="K184" s="20"/>
      <x:c r="L184" s="20" t="str">
        <x:f>IF(F184="","",IF(F184=0,"Critical",IF(F184=1,"High",IF(F184=2,"Moderate",IF(F184=3,"Low","Effective")))))</x:f>
      </x:c>
      <x:c r="M184" s="20"/>
      <x:c r="N184" s="20"/>
      <x:c r="O184" s="21"/>
      <x:c r="P184" s="20"/>
    </x:row>
    <x:row r="185">
      <x:c r="A185" s="20"/>
      <x:c r="B185" s="20"/>
      <x:c r="C185" s="20"/>
      <x:c r="D185" s="20"/>
      <x:c r="E185" s="20"/>
      <x:c r="F185" s="20"/>
      <x:c r="G185" s="20" t="str">
        <x:f>IF(OR(E185="",F185=""),"",E185*F185)</x:f>
      </x:c>
      <x:c r="H185" s="20"/>
      <x:c r="I185" s="21"/>
      <x:c r="J185" s="20"/>
      <x:c r="K185" s="20"/>
      <x:c r="L185" s="20" t="str">
        <x:f>IF(F185="","",IF(F185=0,"Critical",IF(F185=1,"High",IF(F185=2,"Moderate",IF(F185=3,"Low","Effective")))))</x:f>
      </x:c>
      <x:c r="M185" s="20"/>
      <x:c r="N185" s="20"/>
      <x:c r="O185" s="21"/>
      <x:c r="P185" s="20"/>
    </x:row>
    <x:row r="186">
      <x:c r="A186" s="20"/>
      <x:c r="B186" s="20"/>
      <x:c r="C186" s="20"/>
      <x:c r="D186" s="20"/>
      <x:c r="E186" s="20"/>
      <x:c r="F186" s="20"/>
      <x:c r="G186" s="20" t="str">
        <x:f>IF(OR(E186="",F186=""),"",E186*F186)</x:f>
      </x:c>
      <x:c r="H186" s="20"/>
      <x:c r="I186" s="21"/>
      <x:c r="J186" s="20"/>
      <x:c r="K186" s="20"/>
      <x:c r="L186" s="20" t="str">
        <x:f>IF(F186="","",IF(F186=0,"Critical",IF(F186=1,"High",IF(F186=2,"Moderate",IF(F186=3,"Low","Effective")))))</x:f>
      </x:c>
      <x:c r="M186" s="20"/>
      <x:c r="N186" s="20"/>
      <x:c r="O186" s="21"/>
      <x:c r="P186" s="20"/>
    </x:row>
    <x:row r="187">
      <x:c r="A187" s="20"/>
      <x:c r="B187" s="20"/>
      <x:c r="C187" s="20"/>
      <x:c r="D187" s="20"/>
      <x:c r="E187" s="20"/>
      <x:c r="F187" s="20"/>
      <x:c r="G187" s="20" t="str">
        <x:f>IF(OR(E187="",F187=""),"",E187*F187)</x:f>
      </x:c>
      <x:c r="H187" s="20"/>
      <x:c r="I187" s="21"/>
      <x:c r="J187" s="20"/>
      <x:c r="K187" s="20"/>
      <x:c r="L187" s="20" t="str">
        <x:f>IF(F187="","",IF(F187=0,"Critical",IF(F187=1,"High",IF(F187=2,"Moderate",IF(F187=3,"Low","Effective")))))</x:f>
      </x:c>
      <x:c r="M187" s="20"/>
      <x:c r="N187" s="20"/>
      <x:c r="O187" s="21"/>
      <x:c r="P187" s="20"/>
    </x:row>
    <x:row r="188">
      <x:c r="A188" s="20"/>
      <x:c r="B188" s="20"/>
      <x:c r="C188" s="20"/>
      <x:c r="D188" s="20"/>
      <x:c r="E188" s="20"/>
      <x:c r="F188" s="20"/>
      <x:c r="G188" s="20" t="str">
        <x:f>IF(OR(E188="",F188=""),"",E188*F188)</x:f>
      </x:c>
      <x:c r="H188" s="20"/>
      <x:c r="I188" s="21"/>
      <x:c r="J188" s="20"/>
      <x:c r="K188" s="20"/>
      <x:c r="L188" s="20" t="str">
        <x:f>IF(F188="","",IF(F188=0,"Critical",IF(F188=1,"High",IF(F188=2,"Moderate",IF(F188=3,"Low","Effective")))))</x:f>
      </x:c>
      <x:c r="M188" s="20"/>
      <x:c r="N188" s="20"/>
      <x:c r="O188" s="21"/>
      <x:c r="P188" s="20"/>
    </x:row>
    <x:row r="189">
      <x:c r="A189" s="20"/>
      <x:c r="B189" s="20"/>
      <x:c r="C189" s="20"/>
      <x:c r="D189" s="20"/>
      <x:c r="E189" s="20"/>
      <x:c r="F189" s="20"/>
      <x:c r="G189" s="20" t="str">
        <x:f>IF(OR(E189="",F189=""),"",E189*F189)</x:f>
      </x:c>
      <x:c r="H189" s="20"/>
      <x:c r="I189" s="21"/>
      <x:c r="J189" s="20"/>
      <x:c r="K189" s="20"/>
      <x:c r="L189" s="20" t="str">
        <x:f>IF(F189="","",IF(F189=0,"Critical",IF(F189=1,"High",IF(F189=2,"Moderate",IF(F189=3,"Low","Effective")))))</x:f>
      </x:c>
      <x:c r="M189" s="20"/>
      <x:c r="N189" s="20"/>
      <x:c r="O189" s="21"/>
      <x:c r="P189" s="20"/>
    </x:row>
    <x:row r="190">
      <x:c r="A190" s="20"/>
      <x:c r="B190" s="20"/>
      <x:c r="C190" s="20"/>
      <x:c r="D190" s="20"/>
      <x:c r="E190" s="20"/>
      <x:c r="F190" s="20"/>
      <x:c r="G190" s="20" t="str">
        <x:f>IF(OR(E190="",F190=""),"",E190*F190)</x:f>
      </x:c>
      <x:c r="H190" s="20"/>
      <x:c r="I190" s="21"/>
      <x:c r="J190" s="20"/>
      <x:c r="K190" s="20"/>
      <x:c r="L190" s="20" t="str">
        <x:f>IF(F190="","",IF(F190=0,"Critical",IF(F190=1,"High",IF(F190=2,"Moderate",IF(F190=3,"Low","Effective")))))</x:f>
      </x:c>
      <x:c r="M190" s="20"/>
      <x:c r="N190" s="20"/>
      <x:c r="O190" s="21"/>
      <x:c r="P190" s="20"/>
    </x:row>
    <x:row r="191">
      <x:c r="A191" s="20"/>
      <x:c r="B191" s="20"/>
      <x:c r="C191" s="20"/>
      <x:c r="D191" s="20"/>
      <x:c r="E191" s="20"/>
      <x:c r="F191" s="20"/>
      <x:c r="G191" s="20" t="str">
        <x:f>IF(OR(E191="",F191=""),"",E191*F191)</x:f>
      </x:c>
      <x:c r="H191" s="20"/>
      <x:c r="I191" s="21"/>
      <x:c r="J191" s="20"/>
      <x:c r="K191" s="20"/>
      <x:c r="L191" s="20" t="str">
        <x:f>IF(F191="","",IF(F191=0,"Critical",IF(F191=1,"High",IF(F191=2,"Moderate",IF(F191=3,"Low","Effective")))))</x:f>
      </x:c>
      <x:c r="M191" s="20"/>
      <x:c r="N191" s="20"/>
      <x:c r="O191" s="21"/>
      <x:c r="P191" s="20"/>
    </x:row>
    <x:row r="192">
      <x:c r="A192" s="20"/>
      <x:c r="B192" s="20"/>
      <x:c r="C192" s="20"/>
      <x:c r="D192" s="20"/>
      <x:c r="E192" s="20"/>
      <x:c r="F192" s="20"/>
      <x:c r="G192" s="20" t="str">
        <x:f>IF(OR(E192="",F192=""),"",E192*F192)</x:f>
      </x:c>
      <x:c r="H192" s="20"/>
      <x:c r="I192" s="21"/>
      <x:c r="J192" s="20"/>
      <x:c r="K192" s="20"/>
      <x:c r="L192" s="20" t="str">
        <x:f>IF(F192="","",IF(F192=0,"Critical",IF(F192=1,"High",IF(F192=2,"Moderate",IF(F192=3,"Low","Effective")))))</x:f>
      </x:c>
      <x:c r="M192" s="20"/>
      <x:c r="N192" s="20"/>
      <x:c r="O192" s="21"/>
      <x:c r="P192" s="20"/>
    </x:row>
    <x:row r="193">
      <x:c r="A193" s="20"/>
      <x:c r="B193" s="20"/>
      <x:c r="C193" s="20"/>
      <x:c r="D193" s="20"/>
      <x:c r="E193" s="20"/>
      <x:c r="F193" s="20"/>
      <x:c r="G193" s="20" t="str">
        <x:f>IF(OR(E193="",F193=""),"",E193*F193)</x:f>
      </x:c>
      <x:c r="H193" s="20"/>
      <x:c r="I193" s="21"/>
      <x:c r="J193" s="20"/>
      <x:c r="K193" s="20"/>
      <x:c r="L193" s="20" t="str">
        <x:f>IF(F193="","",IF(F193=0,"Critical",IF(F193=1,"High",IF(F193=2,"Moderate",IF(F193=3,"Low","Effective")))))</x:f>
      </x:c>
      <x:c r="M193" s="20"/>
      <x:c r="N193" s="20"/>
      <x:c r="O193" s="21"/>
      <x:c r="P193" s="20"/>
    </x:row>
    <x:row r="194">
      <x:c r="A194" s="20"/>
      <x:c r="B194" s="20"/>
      <x:c r="C194" s="20"/>
      <x:c r="D194" s="20"/>
      <x:c r="E194" s="20"/>
      <x:c r="F194" s="20"/>
      <x:c r="G194" s="20" t="str">
        <x:f>IF(OR(E194="",F194=""),"",E194*F194)</x:f>
      </x:c>
      <x:c r="H194" s="20"/>
      <x:c r="I194" s="21"/>
      <x:c r="J194" s="20"/>
      <x:c r="K194" s="20"/>
      <x:c r="L194" s="20" t="str">
        <x:f>IF(F194="","",IF(F194=0,"Critical",IF(F194=1,"High",IF(F194=2,"Moderate",IF(F194=3,"Low","Effective")))))</x:f>
      </x:c>
      <x:c r="M194" s="20"/>
      <x:c r="N194" s="20"/>
      <x:c r="O194" s="21"/>
      <x:c r="P194" s="20"/>
    </x:row>
    <x:row r="195">
      <x:c r="A195" s="20"/>
      <x:c r="B195" s="20"/>
      <x:c r="C195" s="20"/>
      <x:c r="D195" s="20"/>
      <x:c r="E195" s="20"/>
      <x:c r="F195" s="20"/>
      <x:c r="G195" s="20" t="str">
        <x:f>IF(OR(E195="",F195=""),"",E195*F195)</x:f>
      </x:c>
      <x:c r="H195" s="20"/>
      <x:c r="I195" s="21"/>
      <x:c r="J195" s="20"/>
      <x:c r="K195" s="20"/>
      <x:c r="L195" s="20" t="str">
        <x:f>IF(F195="","",IF(F195=0,"Critical",IF(F195=1,"High",IF(F195=2,"Moderate",IF(F195=3,"Low","Effective")))))</x:f>
      </x:c>
      <x:c r="M195" s="20"/>
      <x:c r="N195" s="20"/>
      <x:c r="O195" s="21"/>
      <x:c r="P195" s="20"/>
    </x:row>
    <x:row r="196">
      <x:c r="A196" s="20"/>
      <x:c r="B196" s="20"/>
      <x:c r="C196" s="20"/>
      <x:c r="D196" s="20"/>
      <x:c r="E196" s="20"/>
      <x:c r="F196" s="20"/>
      <x:c r="G196" s="20" t="str">
        <x:f>IF(OR(E196="",F196=""),"",E196*F196)</x:f>
      </x:c>
      <x:c r="H196" s="20"/>
      <x:c r="I196" s="21"/>
      <x:c r="J196" s="20"/>
      <x:c r="K196" s="20"/>
      <x:c r="L196" s="20" t="str">
        <x:f>IF(F196="","",IF(F196=0,"Critical",IF(F196=1,"High",IF(F196=2,"Moderate",IF(F196=3,"Low","Effective")))))</x:f>
      </x:c>
      <x:c r="M196" s="20"/>
      <x:c r="N196" s="20"/>
      <x:c r="O196" s="21"/>
      <x:c r="P196" s="20"/>
    </x:row>
    <x:row r="197">
      <x:c r="A197" s="20"/>
      <x:c r="B197" s="20"/>
      <x:c r="C197" s="20"/>
      <x:c r="D197" s="20"/>
      <x:c r="E197" s="20"/>
      <x:c r="F197" s="20"/>
      <x:c r="G197" s="20" t="str">
        <x:f>IF(OR(E197="",F197=""),"",E197*F197)</x:f>
      </x:c>
      <x:c r="H197" s="20"/>
      <x:c r="I197" s="21"/>
      <x:c r="J197" s="20"/>
      <x:c r="K197" s="20"/>
      <x:c r="L197" s="20" t="str">
        <x:f>IF(F197="","",IF(F197=0,"Critical",IF(F197=1,"High",IF(F197=2,"Moderate",IF(F197=3,"Low","Effective")))))</x:f>
      </x:c>
      <x:c r="M197" s="20"/>
      <x:c r="N197" s="20"/>
      <x:c r="O197" s="21"/>
      <x:c r="P197" s="20"/>
    </x:row>
    <x:row r="198">
      <x:c r="A198" s="20"/>
      <x:c r="B198" s="20"/>
      <x:c r="C198" s="20"/>
      <x:c r="D198" s="20"/>
      <x:c r="E198" s="20"/>
      <x:c r="F198" s="20"/>
      <x:c r="G198" s="20" t="str">
        <x:f>IF(OR(E198="",F198=""),"",E198*F198)</x:f>
      </x:c>
      <x:c r="H198" s="20"/>
      <x:c r="I198" s="21"/>
      <x:c r="J198" s="20"/>
      <x:c r="K198" s="20"/>
      <x:c r="L198" s="20" t="str">
        <x:f>IF(F198="","",IF(F198=0,"Critical",IF(F198=1,"High",IF(F198=2,"Moderate",IF(F198=3,"Low","Effective")))))</x:f>
      </x:c>
      <x:c r="M198" s="20"/>
      <x:c r="N198" s="20"/>
      <x:c r="O198" s="21"/>
      <x:c r="P198" s="20"/>
    </x:row>
    <x:row r="199">
      <x:c r="A199" s="20"/>
      <x:c r="B199" s="20"/>
      <x:c r="C199" s="20"/>
      <x:c r="D199" s="20"/>
      <x:c r="E199" s="20"/>
      <x:c r="F199" s="20"/>
      <x:c r="G199" s="20" t="str">
        <x:f>IF(OR(E199="",F199=""),"",E199*F199)</x:f>
      </x:c>
      <x:c r="H199" s="20"/>
      <x:c r="I199" s="21"/>
      <x:c r="J199" s="20"/>
      <x:c r="K199" s="20"/>
      <x:c r="L199" s="20" t="str">
        <x:f>IF(F199="","",IF(F199=0,"Critical",IF(F199=1,"High",IF(F199=2,"Moderate",IF(F199=3,"Low","Effective")))))</x:f>
      </x:c>
      <x:c r="M199" s="20"/>
      <x:c r="N199" s="20"/>
      <x:c r="O199" s="21"/>
      <x:c r="P199" s="20"/>
    </x:row>
    <x:row r="200">
      <x:c r="A200" s="20"/>
      <x:c r="B200" s="20"/>
      <x:c r="C200" s="20"/>
      <x:c r="D200" s="20"/>
      <x:c r="E200" s="20"/>
      <x:c r="F200" s="20"/>
      <x:c r="G200" s="20" t="str">
        <x:f>IF(OR(E200="",F200=""),"",E200*F200)</x:f>
      </x:c>
      <x:c r="H200" s="20"/>
      <x:c r="I200" s="21"/>
      <x:c r="J200" s="20"/>
      <x:c r="K200" s="20"/>
      <x:c r="L200" s="20" t="str">
        <x:f>IF(F200="","",IF(F200=0,"Critical",IF(F200=1,"High",IF(F200=2,"Moderate",IF(F200=3,"Low","Effective")))))</x:f>
      </x:c>
      <x:c r="M200" s="20"/>
      <x:c r="N200" s="20"/>
      <x:c r="O200" s="21"/>
      <x:c r="P200" s="20"/>
    </x:row>
    <x:row r="201">
      <x:c r="A201" s="20"/>
      <x:c r="B201" s="20"/>
      <x:c r="C201" s="20"/>
      <x:c r="D201" s="20"/>
      <x:c r="E201" s="20"/>
      <x:c r="F201" s="20"/>
      <x:c r="G201" s="20" t="str">
        <x:f>IF(OR(E201="",F201=""),"",E201*F201)</x:f>
      </x:c>
      <x:c r="H201" s="20"/>
      <x:c r="I201" s="21"/>
      <x:c r="J201" s="20"/>
      <x:c r="K201" s="20"/>
      <x:c r="L201" s="20" t="str">
        <x:f>IF(F201="","",IF(F201=0,"Critical",IF(F201=1,"High",IF(F201=2,"Moderate",IF(F201=3,"Low","Effective")))))</x:f>
      </x:c>
      <x:c r="M201" s="20"/>
      <x:c r="N201" s="20"/>
      <x:c r="O201" s="21"/>
      <x:c r="P201" s="20"/>
    </x:row>
    <x:row r="202">
      <x:c r="A202" s="20"/>
      <x:c r="B202" s="20"/>
      <x:c r="C202" s="20"/>
      <x:c r="D202" s="20"/>
      <x:c r="E202" s="20"/>
      <x:c r="F202" s="20"/>
      <x:c r="G202" s="20" t="str">
        <x:f>IF(OR(E202="",F202=""),"",E202*F202)</x:f>
      </x:c>
      <x:c r="H202" s="20"/>
      <x:c r="I202" s="21"/>
      <x:c r="J202" s="20"/>
      <x:c r="K202" s="20"/>
      <x:c r="L202" s="20" t="str">
        <x:f>IF(F202="","",IF(F202=0,"Critical",IF(F202=1,"High",IF(F202=2,"Moderate",IF(F202=3,"Low","Effective")))))</x:f>
      </x:c>
      <x:c r="M202" s="20"/>
      <x:c r="N202" s="20"/>
      <x:c r="O202" s="21"/>
      <x:c r="P202" s="20"/>
    </x:row>
    <x:row r="203">
      <x:c r="A203" s="20"/>
      <x:c r="B203" s="20"/>
      <x:c r="C203" s="20"/>
      <x:c r="D203" s="20"/>
      <x:c r="E203" s="20"/>
      <x:c r="F203" s="20"/>
      <x:c r="G203" s="20" t="str">
        <x:f>IF(OR(E203="",F203=""),"",E203*F203)</x:f>
      </x:c>
      <x:c r="H203" s="20"/>
      <x:c r="I203" s="21"/>
      <x:c r="J203" s="20"/>
      <x:c r="K203" s="20"/>
      <x:c r="L203" s="20" t="str">
        <x:f>IF(F203="","",IF(F203=0,"Critical",IF(F203=1,"High",IF(F203=2,"Moderate",IF(F203=3,"Low","Effective")))))</x:f>
      </x:c>
      <x:c r="M203" s="20"/>
      <x:c r="N203" s="20"/>
      <x:c r="O203" s="21"/>
      <x:c r="P203" s="20"/>
    </x:row>
    <x:row r="204">
      <x:c r="A204" s="20"/>
      <x:c r="B204" s="20"/>
      <x:c r="C204" s="20"/>
      <x:c r="D204" s="20"/>
      <x:c r="E204" s="20"/>
      <x:c r="F204" s="20"/>
      <x:c r="G204" s="20" t="str">
        <x:f>IF(OR(E204="",F204=""),"",E204*F204)</x:f>
      </x:c>
      <x:c r="H204" s="20"/>
      <x:c r="I204" s="21"/>
      <x:c r="J204" s="20"/>
      <x:c r="K204" s="20"/>
      <x:c r="L204" s="20" t="str">
        <x:f>IF(F204="","",IF(F204=0,"Critical",IF(F204=1,"High",IF(F204=2,"Moderate",IF(F204=3,"Low","Effective")))))</x:f>
      </x:c>
      <x:c r="M204" s="20"/>
      <x:c r="N204" s="20"/>
      <x:c r="O204" s="21"/>
      <x:c r="P204" s="20"/>
    </x:row>
    <x:row r="205">
      <x:c r="A205" s="20"/>
      <x:c r="B205" s="20"/>
      <x:c r="C205" s="20"/>
      <x:c r="D205" s="20"/>
      <x:c r="E205" s="20"/>
      <x:c r="F205" s="20"/>
      <x:c r="G205" s="20" t="str">
        <x:f>IF(OR(E205="",F205=""),"",E205*F205)</x:f>
      </x:c>
      <x:c r="H205" s="20"/>
      <x:c r="I205" s="21"/>
      <x:c r="J205" s="20"/>
      <x:c r="K205" s="20"/>
      <x:c r="L205" s="20" t="str">
        <x:f>IF(F205="","",IF(F205=0,"Critical",IF(F205=1,"High",IF(F205=2,"Moderate",IF(F205=3,"Low","Effective")))))</x:f>
      </x:c>
      <x:c r="M205" s="20"/>
      <x:c r="N205" s="20"/>
      <x:c r="O205" s="21"/>
      <x:c r="P205" s="20"/>
    </x:row>
    <x:row r="206">
      <x:c r="A206" s="20"/>
      <x:c r="B206" s="20"/>
      <x:c r="C206" s="20"/>
      <x:c r="D206" s="20"/>
      <x:c r="E206" s="20"/>
      <x:c r="F206" s="20"/>
      <x:c r="G206" s="20" t="str">
        <x:f>IF(OR(E206="",F206=""),"",E206*F206)</x:f>
      </x:c>
      <x:c r="H206" s="20"/>
      <x:c r="I206" s="21"/>
      <x:c r="J206" s="20"/>
      <x:c r="K206" s="20"/>
      <x:c r="L206" s="20" t="str">
        <x:f>IF(F206="","",IF(F206=0,"Critical",IF(F206=1,"High",IF(F206=2,"Moderate",IF(F206=3,"Low","Effective")))))</x:f>
      </x:c>
      <x:c r="M206" s="20"/>
      <x:c r="N206" s="20"/>
      <x:c r="O206" s="21"/>
      <x:c r="P206" s="20"/>
    </x:row>
    <x:row r="207">
      <x:c r="A207" s="20"/>
      <x:c r="B207" s="20"/>
      <x:c r="C207" s="20"/>
      <x:c r="D207" s="20"/>
      <x:c r="E207" s="20"/>
      <x:c r="F207" s="20"/>
      <x:c r="G207" s="20" t="str">
        <x:f>IF(OR(E207="",F207=""),"",E207*F207)</x:f>
      </x:c>
      <x:c r="H207" s="20"/>
      <x:c r="I207" s="21"/>
      <x:c r="J207" s="20"/>
      <x:c r="K207" s="20"/>
      <x:c r="L207" s="20" t="str">
        <x:f>IF(F207="","",IF(F207=0,"Critical",IF(F207=1,"High",IF(F207=2,"Moderate",IF(F207=3,"Low","Effective")))))</x:f>
      </x:c>
      <x:c r="M207" s="20"/>
      <x:c r="N207" s="20"/>
      <x:c r="O207" s="21"/>
      <x:c r="P207" s="20"/>
    </x:row>
    <x:row r="208">
      <x:c r="A208" s="20"/>
      <x:c r="B208" s="20"/>
      <x:c r="C208" s="20"/>
      <x:c r="D208" s="20"/>
      <x:c r="E208" s="20"/>
      <x:c r="F208" s="20"/>
      <x:c r="G208" s="20" t="str">
        <x:f>IF(OR(E208="",F208=""),"",E208*F208)</x:f>
      </x:c>
      <x:c r="H208" s="20"/>
      <x:c r="I208" s="21"/>
      <x:c r="J208" s="20"/>
      <x:c r="K208" s="20"/>
      <x:c r="L208" s="20" t="str">
        <x:f>IF(F208="","",IF(F208=0,"Critical",IF(F208=1,"High",IF(F208=2,"Moderate",IF(F208=3,"Low","Effective")))))</x:f>
      </x:c>
      <x:c r="M208" s="20"/>
      <x:c r="N208" s="20"/>
      <x:c r="O208" s="21"/>
      <x:c r="P208" s="20"/>
    </x:row>
    <x:row r="209">
      <x:c r="A209" s="20"/>
      <x:c r="B209" s="20"/>
      <x:c r="C209" s="20"/>
      <x:c r="D209" s="20"/>
      <x:c r="E209" s="20"/>
      <x:c r="F209" s="20"/>
      <x:c r="G209" s="20" t="str">
        <x:f>IF(OR(E209="",F209=""),"",E209*F209)</x:f>
      </x:c>
      <x:c r="H209" s="20"/>
      <x:c r="I209" s="21"/>
      <x:c r="J209" s="20"/>
      <x:c r="K209" s="20"/>
      <x:c r="L209" s="20" t="str">
        <x:f>IF(F209="","",IF(F209=0,"Critical",IF(F209=1,"High",IF(F209=2,"Moderate",IF(F209=3,"Low","Effective")))))</x:f>
      </x:c>
      <x:c r="M209" s="20"/>
      <x:c r="N209" s="20"/>
      <x:c r="O209" s="21"/>
      <x:c r="P209" s="20"/>
    </x:row>
    <x:row r="210">
      <x:c r="A210" s="20"/>
      <x:c r="B210" s="20"/>
      <x:c r="C210" s="20"/>
      <x:c r="D210" s="20"/>
      <x:c r="E210" s="20"/>
      <x:c r="F210" s="20"/>
      <x:c r="G210" s="20" t="str">
        <x:f>IF(OR(E210="",F210=""),"",E210*F210)</x:f>
      </x:c>
      <x:c r="H210" s="20"/>
      <x:c r="I210" s="21"/>
      <x:c r="J210" s="20"/>
      <x:c r="K210" s="20"/>
      <x:c r="L210" s="20" t="str">
        <x:f>IF(F210="","",IF(F210=0,"Critical",IF(F210=1,"High",IF(F210=2,"Moderate",IF(F210=3,"Low","Effective")))))</x:f>
      </x:c>
      <x:c r="M210" s="20"/>
      <x:c r="N210" s="20"/>
      <x:c r="O210" s="21"/>
      <x:c r="P210" s="20"/>
    </x:row>
    <x:row r="211">
      <x:c r="A211" s="20"/>
      <x:c r="B211" s="20"/>
      <x:c r="C211" s="20"/>
      <x:c r="D211" s="20"/>
      <x:c r="E211" s="20"/>
      <x:c r="F211" s="20"/>
      <x:c r="G211" s="20" t="str">
        <x:f>IF(OR(E211="",F211=""),"",E211*F211)</x:f>
      </x:c>
      <x:c r="H211" s="20"/>
      <x:c r="I211" s="21"/>
      <x:c r="J211" s="20"/>
      <x:c r="K211" s="20"/>
      <x:c r="L211" s="20" t="str">
        <x:f>IF(F211="","",IF(F211=0,"Critical",IF(F211=1,"High",IF(F211=2,"Moderate",IF(F211=3,"Low","Effective")))))</x:f>
      </x:c>
      <x:c r="M211" s="20"/>
      <x:c r="N211" s="20"/>
      <x:c r="O211" s="21"/>
      <x:c r="P211" s="20"/>
    </x:row>
    <x:row r="212">
      <x:c r="A212" s="20"/>
      <x:c r="B212" s="20"/>
      <x:c r="C212" s="20"/>
      <x:c r="D212" s="20"/>
      <x:c r="E212" s="20"/>
      <x:c r="F212" s="20"/>
      <x:c r="G212" s="20" t="str">
        <x:f>IF(OR(E212="",F212=""),"",E212*F212)</x:f>
      </x:c>
      <x:c r="H212" s="20"/>
      <x:c r="I212" s="21"/>
      <x:c r="J212" s="20"/>
      <x:c r="K212" s="20"/>
      <x:c r="L212" s="20" t="str">
        <x:f>IF(F212="","",IF(F212=0,"Critical",IF(F212=1,"High",IF(F212=2,"Moderate",IF(F212=3,"Low","Effective")))))</x:f>
      </x:c>
      <x:c r="M212" s="20"/>
      <x:c r="N212" s="20"/>
      <x:c r="O212" s="21"/>
      <x:c r="P212" s="20"/>
    </x:row>
    <x:row r="213">
      <x:c r="A213" s="20"/>
      <x:c r="B213" s="20"/>
      <x:c r="C213" s="20"/>
      <x:c r="D213" s="20"/>
      <x:c r="E213" s="20"/>
      <x:c r="F213" s="20"/>
      <x:c r="G213" s="20" t="str">
        <x:f>IF(OR(E213="",F213=""),"",E213*F213)</x:f>
      </x:c>
      <x:c r="H213" s="20"/>
      <x:c r="I213" s="21"/>
      <x:c r="J213" s="20"/>
      <x:c r="K213" s="20"/>
      <x:c r="L213" s="20" t="str">
        <x:f>IF(F213="","",IF(F213=0,"Critical",IF(F213=1,"High",IF(F213=2,"Moderate",IF(F213=3,"Low","Effective")))))</x:f>
      </x:c>
      <x:c r="M213" s="20"/>
      <x:c r="N213" s="20"/>
      <x:c r="O213" s="21"/>
      <x:c r="P213" s="20"/>
    </x:row>
    <x:row r="214">
      <x:c r="A214" s="20"/>
      <x:c r="B214" s="20"/>
      <x:c r="C214" s="20"/>
      <x:c r="D214" s="20"/>
      <x:c r="E214" s="20"/>
      <x:c r="F214" s="20"/>
      <x:c r="G214" s="20" t="str">
        <x:f>IF(OR(E214="",F214=""),"",E214*F214)</x:f>
      </x:c>
      <x:c r="H214" s="20"/>
      <x:c r="I214" s="21"/>
      <x:c r="J214" s="20"/>
      <x:c r="K214" s="20"/>
      <x:c r="L214" s="20" t="str">
        <x:f>IF(F214="","",IF(F214=0,"Critical",IF(F214=1,"High",IF(F214=2,"Moderate",IF(F214=3,"Low","Effective")))))</x:f>
      </x:c>
      <x:c r="M214" s="20"/>
      <x:c r="N214" s="20"/>
      <x:c r="O214" s="21"/>
      <x:c r="P214" s="20"/>
    </x:row>
    <x:row r="215">
      <x:c r="A215" s="20"/>
      <x:c r="B215" s="20"/>
      <x:c r="C215" s="20"/>
      <x:c r="D215" s="20"/>
      <x:c r="E215" s="20"/>
      <x:c r="F215" s="20"/>
      <x:c r="G215" s="20" t="str">
        <x:f>IF(OR(E215="",F215=""),"",E215*F215)</x:f>
      </x:c>
      <x:c r="H215" s="20"/>
      <x:c r="I215" s="21"/>
      <x:c r="J215" s="20"/>
      <x:c r="K215" s="20"/>
      <x:c r="L215" s="20" t="str">
        <x:f>IF(F215="","",IF(F215=0,"Critical",IF(F215=1,"High",IF(F215=2,"Moderate",IF(F215=3,"Low","Effective")))))</x:f>
      </x:c>
      <x:c r="M215" s="20"/>
      <x:c r="N215" s="20"/>
      <x:c r="O215" s="21"/>
      <x:c r="P215" s="20"/>
    </x:row>
    <x:row r="216">
      <x:c r="A216" s="20"/>
      <x:c r="B216" s="20"/>
      <x:c r="C216" s="20"/>
      <x:c r="D216" s="20"/>
      <x:c r="E216" s="20"/>
      <x:c r="F216" s="20"/>
      <x:c r="G216" s="20" t="str">
        <x:f>IF(OR(E216="",F216=""),"",E216*F216)</x:f>
      </x:c>
      <x:c r="H216" s="20"/>
      <x:c r="I216" s="21"/>
      <x:c r="J216" s="20"/>
      <x:c r="K216" s="20"/>
      <x:c r="L216" s="20" t="str">
        <x:f>IF(F216="","",IF(F216=0,"Critical",IF(F216=1,"High",IF(F216=2,"Moderate",IF(F216=3,"Low","Effective")))))</x:f>
      </x:c>
      <x:c r="M216" s="20"/>
      <x:c r="N216" s="20"/>
      <x:c r="O216" s="21"/>
      <x:c r="P216" s="20"/>
    </x:row>
    <x:row r="217">
      <x:c r="A217" s="20"/>
      <x:c r="B217" s="20"/>
      <x:c r="C217" s="20"/>
      <x:c r="D217" s="20"/>
      <x:c r="E217" s="20"/>
      <x:c r="F217" s="20"/>
      <x:c r="G217" s="20" t="str">
        <x:f>IF(OR(E217="",F217=""),"",E217*F217)</x:f>
      </x:c>
      <x:c r="H217" s="20"/>
      <x:c r="I217" s="21"/>
      <x:c r="J217" s="20"/>
      <x:c r="K217" s="20"/>
      <x:c r="L217" s="20" t="str">
        <x:f>IF(F217="","",IF(F217=0,"Critical",IF(F217=1,"High",IF(F217=2,"Moderate",IF(F217=3,"Low","Effective")))))</x:f>
      </x:c>
      <x:c r="M217" s="20"/>
      <x:c r="N217" s="20"/>
      <x:c r="O217" s="21"/>
      <x:c r="P217" s="20"/>
    </x:row>
    <x:row r="218">
      <x:c r="A218" s="20"/>
      <x:c r="B218" s="20"/>
      <x:c r="C218" s="20"/>
      <x:c r="D218" s="20"/>
      <x:c r="E218" s="20"/>
      <x:c r="F218" s="20"/>
      <x:c r="G218" s="20" t="str">
        <x:f>IF(OR(E218="",F218=""),"",E218*F218)</x:f>
      </x:c>
      <x:c r="H218" s="20"/>
      <x:c r="I218" s="21"/>
      <x:c r="J218" s="20"/>
      <x:c r="K218" s="20"/>
      <x:c r="L218" s="20" t="str">
        <x:f>IF(F218="","",IF(F218=0,"Critical",IF(F218=1,"High",IF(F218=2,"Moderate",IF(F218=3,"Low","Effective")))))</x:f>
      </x:c>
      <x:c r="M218" s="20"/>
      <x:c r="N218" s="20"/>
      <x:c r="O218" s="21"/>
      <x:c r="P218" s="20"/>
    </x:row>
    <x:row r="219">
      <x:c r="A219" s="20"/>
      <x:c r="B219" s="20"/>
      <x:c r="C219" s="20"/>
      <x:c r="D219" s="20"/>
      <x:c r="E219" s="20"/>
      <x:c r="F219" s="20"/>
      <x:c r="G219" s="20" t="str">
        <x:f>IF(OR(E219="",F219=""),"",E219*F219)</x:f>
      </x:c>
      <x:c r="H219" s="20"/>
      <x:c r="I219" s="21"/>
      <x:c r="J219" s="20"/>
      <x:c r="K219" s="20"/>
      <x:c r="L219" s="20" t="str">
        <x:f>IF(F219="","",IF(F219=0,"Critical",IF(F219=1,"High",IF(F219=2,"Moderate",IF(F219=3,"Low","Effective")))))</x:f>
      </x:c>
      <x:c r="M219" s="20"/>
      <x:c r="N219" s="20"/>
      <x:c r="O219" s="21"/>
      <x:c r="P219" s="20"/>
    </x:row>
    <x:row r="220">
      <x:c r="A220" s="20"/>
      <x:c r="B220" s="20"/>
      <x:c r="C220" s="20"/>
      <x:c r="D220" s="20"/>
      <x:c r="E220" s="20"/>
      <x:c r="F220" s="20"/>
      <x:c r="G220" s="20" t="str">
        <x:f>IF(OR(E220="",F220=""),"",E220*F220)</x:f>
      </x:c>
      <x:c r="H220" s="20"/>
      <x:c r="I220" s="21"/>
      <x:c r="J220" s="20"/>
      <x:c r="K220" s="20"/>
      <x:c r="L220" s="20" t="str">
        <x:f>IF(F220="","",IF(F220=0,"Critical",IF(F220=1,"High",IF(F220=2,"Moderate",IF(F220=3,"Low","Effective")))))</x:f>
      </x:c>
      <x:c r="M220" s="20"/>
      <x:c r="N220" s="20"/>
      <x:c r="O220" s="21"/>
      <x:c r="P220" s="20"/>
    </x:row>
    <x:row r="221">
      <x:c r="A221" s="20"/>
      <x:c r="B221" s="20"/>
      <x:c r="C221" s="20"/>
      <x:c r="D221" s="20"/>
      <x:c r="E221" s="20"/>
      <x:c r="F221" s="20"/>
      <x:c r="G221" s="20" t="str">
        <x:f>IF(OR(E221="",F221=""),"",E221*F221)</x:f>
      </x:c>
      <x:c r="H221" s="20"/>
      <x:c r="I221" s="21"/>
      <x:c r="J221" s="20"/>
      <x:c r="K221" s="20"/>
      <x:c r="L221" s="20" t="str">
        <x:f>IF(F221="","",IF(F221=0,"Critical",IF(F221=1,"High",IF(F221=2,"Moderate",IF(F221=3,"Low","Effective")))))</x:f>
      </x:c>
      <x:c r="M221" s="20"/>
      <x:c r="N221" s="20"/>
      <x:c r="O221" s="21"/>
      <x:c r="P221" s="20"/>
    </x:row>
    <x:row r="222">
      <x:c r="A222" s="20"/>
      <x:c r="B222" s="20"/>
      <x:c r="C222" s="20"/>
      <x:c r="D222" s="20"/>
      <x:c r="E222" s="20"/>
      <x:c r="F222" s="20"/>
      <x:c r="G222" s="20" t="str">
        <x:f>IF(OR(E222="",F222=""),"",E222*F222)</x:f>
      </x:c>
      <x:c r="H222" s="20"/>
      <x:c r="I222" s="21"/>
      <x:c r="J222" s="20"/>
      <x:c r="K222" s="20"/>
      <x:c r="L222" s="20" t="str">
        <x:f>IF(F222="","",IF(F222=0,"Critical",IF(F222=1,"High",IF(F222=2,"Moderate",IF(F222=3,"Low","Effective")))))</x:f>
      </x:c>
      <x:c r="M222" s="20"/>
      <x:c r="N222" s="20"/>
      <x:c r="O222" s="21"/>
      <x:c r="P222" s="20"/>
    </x:row>
    <x:row r="223">
      <x:c r="A223" s="20"/>
      <x:c r="B223" s="20"/>
      <x:c r="C223" s="20"/>
      <x:c r="D223" s="20"/>
      <x:c r="E223" s="20"/>
      <x:c r="F223" s="20"/>
      <x:c r="G223" s="20" t="str">
        <x:f>IF(OR(E223="",F223=""),"",E223*F223)</x:f>
      </x:c>
      <x:c r="H223" s="20"/>
      <x:c r="I223" s="21"/>
      <x:c r="J223" s="20"/>
      <x:c r="K223" s="20"/>
      <x:c r="L223" s="20" t="str">
        <x:f>IF(F223="","",IF(F223=0,"Critical",IF(F223=1,"High",IF(F223=2,"Moderate",IF(F223=3,"Low","Effective")))))</x:f>
      </x:c>
      <x:c r="M223" s="20"/>
      <x:c r="N223" s="20"/>
      <x:c r="O223" s="21"/>
      <x:c r="P223" s="20"/>
    </x:row>
    <x:row r="224">
      <x:c r="A224" s="20"/>
      <x:c r="B224" s="20"/>
      <x:c r="C224" s="20"/>
      <x:c r="D224" s="20"/>
      <x:c r="E224" s="20"/>
      <x:c r="F224" s="20"/>
      <x:c r="G224" s="20" t="str">
        <x:f>IF(OR(E224="",F224=""),"",E224*F224)</x:f>
      </x:c>
      <x:c r="H224" s="20"/>
      <x:c r="I224" s="21"/>
      <x:c r="J224" s="20"/>
      <x:c r="K224" s="20"/>
      <x:c r="L224" s="20" t="str">
        <x:f>IF(F224="","",IF(F224=0,"Critical",IF(F224=1,"High",IF(F224=2,"Moderate",IF(F224=3,"Low","Effective")))))</x:f>
      </x:c>
      <x:c r="M224" s="20"/>
      <x:c r="N224" s="20"/>
      <x:c r="O224" s="21"/>
      <x:c r="P224" s="20"/>
    </x:row>
    <x:row r="225">
      <x:c r="A225" s="20"/>
      <x:c r="B225" s="20"/>
      <x:c r="C225" s="20"/>
      <x:c r="D225" s="20"/>
      <x:c r="E225" s="20"/>
      <x:c r="F225" s="20"/>
      <x:c r="G225" s="20" t="str">
        <x:f>IF(OR(E225="",F225=""),"",E225*F225)</x:f>
      </x:c>
      <x:c r="H225" s="20"/>
      <x:c r="I225" s="21"/>
      <x:c r="J225" s="20"/>
      <x:c r="K225" s="20"/>
      <x:c r="L225" s="20" t="str">
        <x:f>IF(F225="","",IF(F225=0,"Critical",IF(F225=1,"High",IF(F225=2,"Moderate",IF(F225=3,"Low","Effective")))))</x:f>
      </x:c>
      <x:c r="M225" s="20"/>
      <x:c r="N225" s="20"/>
      <x:c r="O225" s="21"/>
      <x:c r="P225" s="20"/>
    </x:row>
    <x:row r="226">
      <x:c r="A226" s="20"/>
      <x:c r="B226" s="20"/>
      <x:c r="C226" s="20"/>
      <x:c r="D226" s="20"/>
      <x:c r="E226" s="20"/>
      <x:c r="F226" s="20"/>
      <x:c r="G226" s="20" t="str">
        <x:f>IF(OR(E226="",F226=""),"",E226*F226)</x:f>
      </x:c>
      <x:c r="H226" s="20"/>
      <x:c r="I226" s="21"/>
      <x:c r="J226" s="20"/>
      <x:c r="K226" s="20"/>
      <x:c r="L226" s="20" t="str">
        <x:f>IF(F226="","",IF(F226=0,"Critical",IF(F226=1,"High",IF(F226=2,"Moderate",IF(F226=3,"Low","Effective")))))</x:f>
      </x:c>
      <x:c r="M226" s="20"/>
      <x:c r="N226" s="20"/>
      <x:c r="O226" s="21"/>
      <x:c r="P226" s="20"/>
    </x:row>
    <x:row r="227">
      <x:c r="A227" s="20"/>
      <x:c r="B227" s="20"/>
      <x:c r="C227" s="20"/>
      <x:c r="D227" s="20"/>
      <x:c r="E227" s="20"/>
      <x:c r="F227" s="20"/>
      <x:c r="G227" s="20" t="str">
        <x:f>IF(OR(E227="",F227=""),"",E227*F227)</x:f>
      </x:c>
      <x:c r="H227" s="20"/>
      <x:c r="I227" s="21"/>
      <x:c r="J227" s="20"/>
      <x:c r="K227" s="20"/>
      <x:c r="L227" s="20" t="str">
        <x:f>IF(F227="","",IF(F227=0,"Critical",IF(F227=1,"High",IF(F227=2,"Moderate",IF(F227=3,"Low","Effective")))))</x:f>
      </x:c>
      <x:c r="M227" s="20"/>
      <x:c r="N227" s="20"/>
      <x:c r="O227" s="21"/>
      <x:c r="P227" s="20"/>
    </x:row>
    <x:row r="228">
      <x:c r="A228" s="20"/>
      <x:c r="B228" s="20"/>
      <x:c r="C228" s="20"/>
      <x:c r="D228" s="20"/>
      <x:c r="E228" s="20"/>
      <x:c r="F228" s="20"/>
      <x:c r="G228" s="20" t="str">
        <x:f>IF(OR(E228="",F228=""),"",E228*F228)</x:f>
      </x:c>
      <x:c r="H228" s="20"/>
      <x:c r="I228" s="21"/>
      <x:c r="J228" s="20"/>
      <x:c r="K228" s="20"/>
      <x:c r="L228" s="20" t="str">
        <x:f>IF(F228="","",IF(F228=0,"Critical",IF(F228=1,"High",IF(F228=2,"Moderate",IF(F228=3,"Low","Effective")))))</x:f>
      </x:c>
      <x:c r="M228" s="20"/>
      <x:c r="N228" s="20"/>
      <x:c r="O228" s="21"/>
      <x:c r="P228" s="20"/>
    </x:row>
    <x:row r="229">
      <x:c r="A229" s="20"/>
      <x:c r="B229" s="20"/>
      <x:c r="C229" s="20"/>
      <x:c r="D229" s="20"/>
      <x:c r="E229" s="20"/>
      <x:c r="F229" s="20"/>
      <x:c r="G229" s="20" t="str">
        <x:f>IF(OR(E229="",F229=""),"",E229*F229)</x:f>
      </x:c>
      <x:c r="H229" s="20"/>
      <x:c r="I229" s="21"/>
      <x:c r="J229" s="20"/>
      <x:c r="K229" s="20"/>
      <x:c r="L229" s="20" t="str">
        <x:f>IF(F229="","",IF(F229=0,"Critical",IF(F229=1,"High",IF(F229=2,"Moderate",IF(F229=3,"Low","Effective")))))</x:f>
      </x:c>
      <x:c r="M229" s="20"/>
      <x:c r="N229" s="20"/>
      <x:c r="O229" s="21"/>
      <x:c r="P229" s="20"/>
    </x:row>
    <x:row r="230">
      <x:c r="A230" s="20"/>
      <x:c r="B230" s="20"/>
      <x:c r="C230" s="20"/>
      <x:c r="D230" s="20"/>
      <x:c r="E230" s="20"/>
      <x:c r="F230" s="20"/>
      <x:c r="G230" s="20" t="str">
        <x:f>IF(OR(E230="",F230=""),"",E230*F230)</x:f>
      </x:c>
      <x:c r="H230" s="20"/>
      <x:c r="I230" s="21"/>
      <x:c r="J230" s="20"/>
      <x:c r="K230" s="20"/>
      <x:c r="L230" s="20" t="str">
        <x:f>IF(F230="","",IF(F230=0,"Critical",IF(F230=1,"High",IF(F230=2,"Moderate",IF(F230=3,"Low","Effective")))))</x:f>
      </x:c>
      <x:c r="M230" s="20"/>
      <x:c r="N230" s="20"/>
      <x:c r="O230" s="21"/>
      <x:c r="P230" s="20"/>
    </x:row>
    <x:row r="231">
      <x:c r="A231" s="20"/>
      <x:c r="B231" s="20"/>
      <x:c r="C231" s="20"/>
      <x:c r="D231" s="20"/>
      <x:c r="E231" s="20"/>
      <x:c r="F231" s="20"/>
      <x:c r="G231" s="20" t="str">
        <x:f>IF(OR(E231="",F231=""),"",E231*F231)</x:f>
      </x:c>
      <x:c r="H231" s="20"/>
      <x:c r="I231" s="21"/>
      <x:c r="J231" s="20"/>
      <x:c r="K231" s="20"/>
      <x:c r="L231" s="20" t="str">
        <x:f>IF(F231="","",IF(F231=0,"Critical",IF(F231=1,"High",IF(F231=2,"Moderate",IF(F231=3,"Low","Effective")))))</x:f>
      </x:c>
      <x:c r="M231" s="20"/>
      <x:c r="N231" s="20"/>
      <x:c r="O231" s="21"/>
      <x:c r="P231" s="20"/>
    </x:row>
    <x:row r="232">
      <x:c r="A232" s="20"/>
      <x:c r="B232" s="20"/>
      <x:c r="C232" s="20"/>
      <x:c r="D232" s="20"/>
      <x:c r="E232" s="20"/>
      <x:c r="F232" s="20"/>
      <x:c r="G232" s="20" t="str">
        <x:f>IF(OR(E232="",F232=""),"",E232*F232)</x:f>
      </x:c>
      <x:c r="H232" s="20"/>
      <x:c r="I232" s="21"/>
      <x:c r="J232" s="20"/>
      <x:c r="K232" s="20"/>
      <x:c r="L232" s="20" t="str">
        <x:f>IF(F232="","",IF(F232=0,"Critical",IF(F232=1,"High",IF(F232=2,"Moderate",IF(F232=3,"Low","Effective")))))</x:f>
      </x:c>
      <x:c r="M232" s="20"/>
      <x:c r="N232" s="20"/>
      <x:c r="O232" s="21"/>
      <x:c r="P232" s="20"/>
    </x:row>
    <x:row r="233">
      <x:c r="A233" s="20"/>
      <x:c r="B233" s="20"/>
      <x:c r="C233" s="20"/>
      <x:c r="D233" s="20"/>
      <x:c r="E233" s="20"/>
      <x:c r="F233" s="20"/>
      <x:c r="G233" s="20" t="str">
        <x:f>IF(OR(E233="",F233=""),"",E233*F233)</x:f>
      </x:c>
      <x:c r="H233" s="20"/>
      <x:c r="I233" s="21"/>
      <x:c r="J233" s="20"/>
      <x:c r="K233" s="20"/>
      <x:c r="L233" s="20" t="str">
        <x:f>IF(F233="","",IF(F233=0,"Critical",IF(F233=1,"High",IF(F233=2,"Moderate",IF(F233=3,"Low","Effective")))))</x:f>
      </x:c>
      <x:c r="M233" s="20"/>
      <x:c r="N233" s="20"/>
      <x:c r="O233" s="21"/>
      <x:c r="P233" s="20"/>
    </x:row>
    <x:row r="234">
      <x:c r="A234" s="20"/>
      <x:c r="B234" s="20"/>
      <x:c r="C234" s="20"/>
      <x:c r="D234" s="20"/>
      <x:c r="E234" s="20"/>
      <x:c r="F234" s="20"/>
      <x:c r="G234" s="20" t="str">
        <x:f>IF(OR(E234="",F234=""),"",E234*F234)</x:f>
      </x:c>
      <x:c r="H234" s="20"/>
      <x:c r="I234" s="21"/>
      <x:c r="J234" s="20"/>
      <x:c r="K234" s="20"/>
      <x:c r="L234" s="20" t="str">
        <x:f>IF(F234="","",IF(F234=0,"Critical",IF(F234=1,"High",IF(F234=2,"Moderate",IF(F234=3,"Low","Effective")))))</x:f>
      </x:c>
      <x:c r="M234" s="20"/>
      <x:c r="N234" s="20"/>
      <x:c r="O234" s="21"/>
      <x:c r="P234" s="20"/>
    </x:row>
    <x:row r="235">
      <x:c r="A235" s="20"/>
      <x:c r="B235" s="20"/>
      <x:c r="C235" s="20"/>
      <x:c r="D235" s="20"/>
      <x:c r="E235" s="20"/>
      <x:c r="F235" s="20"/>
      <x:c r="G235" s="20" t="str">
        <x:f>IF(OR(E235="",F235=""),"",E235*F235)</x:f>
      </x:c>
      <x:c r="H235" s="20"/>
      <x:c r="I235" s="21"/>
      <x:c r="J235" s="20"/>
      <x:c r="K235" s="20"/>
      <x:c r="L235" s="20" t="str">
        <x:f>IF(F235="","",IF(F235=0,"Critical",IF(F235=1,"High",IF(F235=2,"Moderate",IF(F235=3,"Low","Effective")))))</x:f>
      </x:c>
      <x:c r="M235" s="20"/>
      <x:c r="N235" s="20"/>
      <x:c r="O235" s="21"/>
      <x:c r="P235" s="20"/>
    </x:row>
    <x:row r="236">
      <x:c r="A236" s="20"/>
      <x:c r="B236" s="20"/>
      <x:c r="C236" s="20"/>
      <x:c r="D236" s="20"/>
      <x:c r="E236" s="20"/>
      <x:c r="F236" s="20"/>
      <x:c r="G236" s="20" t="str">
        <x:f>IF(OR(E236="",F236=""),"",E236*F236)</x:f>
      </x:c>
      <x:c r="H236" s="20"/>
      <x:c r="I236" s="21"/>
      <x:c r="J236" s="20"/>
      <x:c r="K236" s="20"/>
      <x:c r="L236" s="20" t="str">
        <x:f>IF(F236="","",IF(F236=0,"Critical",IF(F236=1,"High",IF(F236=2,"Moderate",IF(F236=3,"Low","Effective")))))</x:f>
      </x:c>
      <x:c r="M236" s="20"/>
      <x:c r="N236" s="20"/>
      <x:c r="O236" s="21"/>
      <x:c r="P236" s="20"/>
    </x:row>
    <x:row r="237">
      <x:c r="A237" s="20"/>
      <x:c r="B237" s="20"/>
      <x:c r="C237" s="20"/>
      <x:c r="D237" s="20"/>
      <x:c r="E237" s="20"/>
      <x:c r="F237" s="20"/>
      <x:c r="G237" s="20" t="str">
        <x:f>IF(OR(E237="",F237=""),"",E237*F237)</x:f>
      </x:c>
      <x:c r="H237" s="20"/>
      <x:c r="I237" s="21"/>
      <x:c r="J237" s="20"/>
      <x:c r="K237" s="20"/>
      <x:c r="L237" s="20" t="str">
        <x:f>IF(F237="","",IF(F237=0,"Critical",IF(F237=1,"High",IF(F237=2,"Moderate",IF(F237=3,"Low","Effective")))))</x:f>
      </x:c>
      <x:c r="M237" s="20"/>
      <x:c r="N237" s="20"/>
      <x:c r="O237" s="21"/>
      <x:c r="P237" s="20"/>
    </x:row>
    <x:row r="238">
      <x:c r="A238" s="20"/>
      <x:c r="B238" s="20"/>
      <x:c r="C238" s="20"/>
      <x:c r="D238" s="20"/>
      <x:c r="E238" s="20"/>
      <x:c r="F238" s="20"/>
      <x:c r="G238" s="20" t="str">
        <x:f>IF(OR(E238="",F238=""),"",E238*F238)</x:f>
      </x:c>
      <x:c r="H238" s="20"/>
      <x:c r="I238" s="21"/>
      <x:c r="J238" s="20"/>
      <x:c r="K238" s="20"/>
      <x:c r="L238" s="20" t="str">
        <x:f>IF(F238="","",IF(F238=0,"Critical",IF(F238=1,"High",IF(F238=2,"Moderate",IF(F238=3,"Low","Effective")))))</x:f>
      </x:c>
      <x:c r="M238" s="20"/>
      <x:c r="N238" s="20"/>
      <x:c r="O238" s="21"/>
      <x:c r="P238" s="20"/>
    </x:row>
    <x:row r="239">
      <x:c r="A239" s="20"/>
      <x:c r="B239" s="20"/>
      <x:c r="C239" s="20"/>
      <x:c r="D239" s="20"/>
      <x:c r="E239" s="20"/>
      <x:c r="F239" s="20"/>
      <x:c r="G239" s="20" t="str">
        <x:f>IF(OR(E239="",F239=""),"",E239*F239)</x:f>
      </x:c>
      <x:c r="H239" s="20"/>
      <x:c r="I239" s="21"/>
      <x:c r="J239" s="20"/>
      <x:c r="K239" s="20"/>
      <x:c r="L239" s="20" t="str">
        <x:f>IF(F239="","",IF(F239=0,"Critical",IF(F239=1,"High",IF(F239=2,"Moderate",IF(F239=3,"Low","Effective")))))</x:f>
      </x:c>
      <x:c r="M239" s="20"/>
      <x:c r="N239" s="20"/>
      <x:c r="O239" s="21"/>
      <x:c r="P239" s="20"/>
    </x:row>
    <x:row r="240">
      <x:c r="A240" s="20"/>
      <x:c r="B240" s="20"/>
      <x:c r="C240" s="20"/>
      <x:c r="D240" s="20"/>
      <x:c r="E240" s="20"/>
      <x:c r="F240" s="20"/>
      <x:c r="G240" s="20" t="str">
        <x:f>IF(OR(E240="",F240=""),"",E240*F240)</x:f>
      </x:c>
      <x:c r="H240" s="20"/>
      <x:c r="I240" s="21"/>
      <x:c r="J240" s="20"/>
      <x:c r="K240" s="20"/>
      <x:c r="L240" s="20" t="str">
        <x:f>IF(F240="","",IF(F240=0,"Critical",IF(F240=1,"High",IF(F240=2,"Moderate",IF(F240=3,"Low","Effective")))))</x:f>
      </x:c>
      <x:c r="M240" s="20"/>
      <x:c r="N240" s="20"/>
      <x:c r="O240" s="21"/>
      <x:c r="P240" s="20"/>
    </x:row>
    <x:row r="241">
      <x:c r="A241" s="20"/>
      <x:c r="B241" s="20"/>
      <x:c r="C241" s="20"/>
      <x:c r="D241" s="20"/>
      <x:c r="E241" s="20"/>
      <x:c r="F241" s="20"/>
      <x:c r="G241" s="20" t="str">
        <x:f>IF(OR(E241="",F241=""),"",E241*F241)</x:f>
      </x:c>
      <x:c r="H241" s="20"/>
      <x:c r="I241" s="21"/>
      <x:c r="J241" s="20"/>
      <x:c r="K241" s="20"/>
      <x:c r="L241" s="20" t="str">
        <x:f>IF(F241="","",IF(F241=0,"Critical",IF(F241=1,"High",IF(F241=2,"Moderate",IF(F241=3,"Low","Effective")))))</x:f>
      </x:c>
      <x:c r="M241" s="20"/>
      <x:c r="N241" s="20"/>
      <x:c r="O241" s="21"/>
      <x:c r="P241" s="20"/>
    </x:row>
    <x:row r="242">
      <x:c r="A242" s="20"/>
      <x:c r="B242" s="20"/>
      <x:c r="C242" s="20"/>
      <x:c r="D242" s="20"/>
      <x:c r="E242" s="20"/>
      <x:c r="F242" s="20"/>
      <x:c r="G242" s="20" t="str">
        <x:f>IF(OR(E242="",F242=""),"",E242*F242)</x:f>
      </x:c>
      <x:c r="H242" s="20"/>
      <x:c r="I242" s="21"/>
      <x:c r="J242" s="20"/>
      <x:c r="K242" s="20"/>
      <x:c r="L242" s="20" t="str">
        <x:f>IF(F242="","",IF(F242=0,"Critical",IF(F242=1,"High",IF(F242=2,"Moderate",IF(F242=3,"Low","Effective")))))</x:f>
      </x:c>
      <x:c r="M242" s="20"/>
      <x:c r="N242" s="20"/>
      <x:c r="O242" s="21"/>
      <x:c r="P242" s="20"/>
    </x:row>
    <x:row r="243">
      <x:c r="A243" s="20"/>
      <x:c r="B243" s="20"/>
      <x:c r="C243" s="20"/>
      <x:c r="D243" s="20"/>
      <x:c r="E243" s="20"/>
      <x:c r="F243" s="20"/>
      <x:c r="G243" s="20" t="str">
        <x:f>IF(OR(E243="",F243=""),"",E243*F243)</x:f>
      </x:c>
      <x:c r="H243" s="20"/>
      <x:c r="I243" s="21"/>
      <x:c r="J243" s="20"/>
      <x:c r="K243" s="20"/>
      <x:c r="L243" s="20" t="str">
        <x:f>IF(F243="","",IF(F243=0,"Critical",IF(F243=1,"High",IF(F243=2,"Moderate",IF(F243=3,"Low","Effective")))))</x:f>
      </x:c>
      <x:c r="M243" s="20"/>
      <x:c r="N243" s="20"/>
      <x:c r="O243" s="21"/>
      <x:c r="P243" s="20"/>
    </x:row>
    <x:row r="244">
      <x:c r="A244" s="20"/>
      <x:c r="B244" s="20"/>
      <x:c r="C244" s="20"/>
      <x:c r="D244" s="20"/>
      <x:c r="E244" s="20"/>
      <x:c r="F244" s="20"/>
      <x:c r="G244" s="20" t="str">
        <x:f>IF(OR(E244="",F244=""),"",E244*F244)</x:f>
      </x:c>
      <x:c r="H244" s="20"/>
      <x:c r="I244" s="21"/>
      <x:c r="J244" s="20"/>
      <x:c r="K244" s="20"/>
      <x:c r="L244" s="20" t="str">
        <x:f>IF(F244="","",IF(F244=0,"Critical",IF(F244=1,"High",IF(F244=2,"Moderate",IF(F244=3,"Low","Effective")))))</x:f>
      </x:c>
      <x:c r="M244" s="20"/>
      <x:c r="N244" s="20"/>
      <x:c r="O244" s="21"/>
      <x:c r="P244" s="20"/>
    </x:row>
    <x:row r="245">
      <x:c r="A245" s="20"/>
      <x:c r="B245" s="20"/>
      <x:c r="C245" s="20"/>
      <x:c r="D245" s="20"/>
      <x:c r="E245" s="20"/>
      <x:c r="F245" s="20"/>
      <x:c r="G245" s="20" t="str">
        <x:f>IF(OR(E245="",F245=""),"",E245*F245)</x:f>
      </x:c>
      <x:c r="H245" s="20"/>
      <x:c r="I245" s="21"/>
      <x:c r="J245" s="20"/>
      <x:c r="K245" s="20"/>
      <x:c r="L245" s="20" t="str">
        <x:f>IF(F245="","",IF(F245=0,"Critical",IF(F245=1,"High",IF(F245=2,"Moderate",IF(F245=3,"Low","Effective")))))</x:f>
      </x:c>
      <x:c r="M245" s="20"/>
      <x:c r="N245" s="20"/>
      <x:c r="O245" s="21"/>
      <x:c r="P245" s="20"/>
    </x:row>
    <x:row r="246">
      <x:c r="A246" s="20"/>
      <x:c r="B246" s="20"/>
      <x:c r="C246" s="20"/>
      <x:c r="D246" s="20"/>
      <x:c r="E246" s="20"/>
      <x:c r="F246" s="20"/>
      <x:c r="G246" s="20" t="str">
        <x:f>IF(OR(E246="",F246=""),"",E246*F246)</x:f>
      </x:c>
      <x:c r="H246" s="20"/>
      <x:c r="I246" s="21"/>
      <x:c r="J246" s="20"/>
      <x:c r="K246" s="20"/>
      <x:c r="L246" s="20" t="str">
        <x:f>IF(F246="","",IF(F246=0,"Critical",IF(F246=1,"High",IF(F246=2,"Moderate",IF(F246=3,"Low","Effective")))))</x:f>
      </x:c>
      <x:c r="M246" s="20"/>
      <x:c r="N246" s="20"/>
      <x:c r="O246" s="21"/>
      <x:c r="P246" s="20"/>
    </x:row>
    <x:row r="247">
      <x:c r="A247" s="20"/>
      <x:c r="B247" s="20"/>
      <x:c r="C247" s="20"/>
      <x:c r="D247" s="20"/>
      <x:c r="E247" s="20"/>
      <x:c r="F247" s="20"/>
      <x:c r="G247" s="20" t="str">
        <x:f>IF(OR(E247="",F247=""),"",E247*F247)</x:f>
      </x:c>
      <x:c r="H247" s="20"/>
      <x:c r="I247" s="21"/>
      <x:c r="J247" s="20"/>
      <x:c r="K247" s="20"/>
      <x:c r="L247" s="20" t="str">
        <x:f>IF(F247="","",IF(F247=0,"Critical",IF(F247=1,"High",IF(F247=2,"Moderate",IF(F247=3,"Low","Effective")))))</x:f>
      </x:c>
      <x:c r="M247" s="20"/>
      <x:c r="N247" s="20"/>
      <x:c r="O247" s="21"/>
      <x:c r="P247" s="20"/>
    </x:row>
    <x:row r="248">
      <x:c r="A248" s="20"/>
      <x:c r="B248" s="20"/>
      <x:c r="C248" s="20"/>
      <x:c r="D248" s="20"/>
      <x:c r="E248" s="20"/>
      <x:c r="F248" s="20"/>
      <x:c r="G248" s="20" t="str">
        <x:f>IF(OR(E248="",F248=""),"",E248*F248)</x:f>
      </x:c>
      <x:c r="H248" s="20"/>
      <x:c r="I248" s="21"/>
      <x:c r="J248" s="20"/>
      <x:c r="K248" s="20"/>
      <x:c r="L248" s="20" t="str">
        <x:f>IF(F248="","",IF(F248=0,"Critical",IF(F248=1,"High",IF(F248=2,"Moderate",IF(F248=3,"Low","Effective")))))</x:f>
      </x:c>
      <x:c r="M248" s="20"/>
      <x:c r="N248" s="20"/>
      <x:c r="O248" s="21"/>
      <x:c r="P248" s="20"/>
    </x:row>
    <x:row r="249">
      <x:c r="A249" s="20"/>
      <x:c r="B249" s="20"/>
      <x:c r="C249" s="20"/>
      <x:c r="D249" s="20"/>
      <x:c r="E249" s="20"/>
      <x:c r="F249" s="20"/>
      <x:c r="G249" s="20" t="str">
        <x:f>IF(OR(E249="",F249=""),"",E249*F249)</x:f>
      </x:c>
      <x:c r="H249" s="20"/>
      <x:c r="I249" s="21"/>
      <x:c r="J249" s="20"/>
      <x:c r="K249" s="20"/>
      <x:c r="L249" s="20" t="str">
        <x:f>IF(F249="","",IF(F249=0,"Critical",IF(F249=1,"High",IF(F249=2,"Moderate",IF(F249=3,"Low","Effective")))))</x:f>
      </x:c>
      <x:c r="M249" s="20"/>
      <x:c r="N249" s="20"/>
      <x:c r="O249" s="21"/>
      <x:c r="P249" s="20"/>
    </x:row>
    <x:row r="250">
      <x:c r="A250" s="20"/>
      <x:c r="B250" s="20"/>
      <x:c r="C250" s="20"/>
      <x:c r="D250" s="20"/>
      <x:c r="E250" s="20"/>
      <x:c r="F250" s="20"/>
      <x:c r="G250" s="20" t="str">
        <x:f>IF(OR(E250="",F250=""),"",E250*F250)</x:f>
      </x:c>
      <x:c r="H250" s="20"/>
      <x:c r="I250" s="21"/>
      <x:c r="J250" s="20"/>
      <x:c r="K250" s="20"/>
      <x:c r="L250" s="20" t="str">
        <x:f>IF(F250="","",IF(F250=0,"Critical",IF(F250=1,"High",IF(F250=2,"Moderate",IF(F250=3,"Low","Effective")))))</x:f>
      </x:c>
      <x:c r="M250" s="20"/>
      <x:c r="N250" s="20"/>
      <x:c r="O250" s="21"/>
      <x:c r="P250" s="20"/>
    </x:row>
    <x:row r="251">
      <x:c r="A251" s="20"/>
      <x:c r="B251" s="20"/>
      <x:c r="C251" s="20"/>
      <x:c r="D251" s="20"/>
      <x:c r="E251" s="20"/>
      <x:c r="F251" s="20"/>
      <x:c r="G251" s="20" t="str">
        <x:f>IF(OR(E251="",F251=""),"",E251*F251)</x:f>
      </x:c>
      <x:c r="H251" s="20"/>
      <x:c r="I251" s="21"/>
      <x:c r="J251" s="20"/>
      <x:c r="K251" s="20"/>
      <x:c r="L251" s="20" t="str">
        <x:f>IF(F251="","",IF(F251=0,"Critical",IF(F251=1,"High",IF(F251=2,"Moderate",IF(F251=3,"Low","Effective")))))</x:f>
      </x:c>
      <x:c r="M251" s="20"/>
      <x:c r="N251" s="20"/>
      <x:c r="O251" s="21"/>
      <x:c r="P251" s="20"/>
    </x:row>
    <x:row r="252">
      <x:c r="A252" s="20"/>
      <x:c r="B252" s="20"/>
      <x:c r="C252" s="20"/>
      <x:c r="D252" s="20"/>
      <x:c r="E252" s="20"/>
      <x:c r="F252" s="20"/>
      <x:c r="G252" s="20" t="str">
        <x:f>IF(OR(E252="",F252=""),"",E252*F252)</x:f>
      </x:c>
      <x:c r="H252" s="20"/>
      <x:c r="I252" s="21"/>
      <x:c r="J252" s="20"/>
      <x:c r="K252" s="20"/>
      <x:c r="L252" s="20" t="str">
        <x:f>IF(F252="","",IF(F252=0,"Critical",IF(F252=1,"High",IF(F252=2,"Moderate",IF(F252=3,"Low","Effective")))))</x:f>
      </x:c>
      <x:c r="M252" s="20"/>
      <x:c r="N252" s="20"/>
      <x:c r="O252" s="21"/>
      <x:c r="P252" s="20"/>
    </x:row>
    <x:row r="253">
      <x:c r="A253" s="20"/>
      <x:c r="B253" s="20"/>
      <x:c r="C253" s="20"/>
      <x:c r="D253" s="20"/>
      <x:c r="E253" s="20"/>
      <x:c r="F253" s="20"/>
      <x:c r="G253" s="20" t="str">
        <x:f>IF(OR(E253="",F253=""),"",E253*F253)</x:f>
      </x:c>
      <x:c r="H253" s="20"/>
      <x:c r="I253" s="21"/>
      <x:c r="J253" s="20"/>
      <x:c r="K253" s="20"/>
      <x:c r="L253" s="20" t="str">
        <x:f>IF(F253="","",IF(F253=0,"Critical",IF(F253=1,"High",IF(F253=2,"Moderate",IF(F253=3,"Low","Effective")))))</x:f>
      </x:c>
      <x:c r="M253" s="20"/>
      <x:c r="N253" s="20"/>
      <x:c r="O253" s="21"/>
      <x:c r="P253" s="20"/>
    </x:row>
    <x:row r="254">
      <x:c r="A254" s="20"/>
      <x:c r="B254" s="20"/>
      <x:c r="C254" s="20"/>
      <x:c r="D254" s="20"/>
      <x:c r="E254" s="20"/>
      <x:c r="F254" s="20"/>
      <x:c r="G254" s="20" t="str">
        <x:f>IF(OR(E254="",F254=""),"",E254*F254)</x:f>
      </x:c>
      <x:c r="H254" s="20"/>
      <x:c r="I254" s="21"/>
      <x:c r="J254" s="20"/>
      <x:c r="K254" s="20"/>
      <x:c r="L254" s="20" t="str">
        <x:f>IF(F254="","",IF(F254=0,"Critical",IF(F254=1,"High",IF(F254=2,"Moderate",IF(F254=3,"Low","Effective")))))</x:f>
      </x:c>
      <x:c r="M254" s="20"/>
      <x:c r="N254" s="20"/>
      <x:c r="O254" s="21"/>
      <x:c r="P254" s="20"/>
    </x:row>
    <x:row r="255">
      <x:c r="A255" s="20"/>
      <x:c r="B255" s="20"/>
      <x:c r="C255" s="20"/>
      <x:c r="D255" s="20"/>
      <x:c r="E255" s="20"/>
      <x:c r="F255" s="20"/>
      <x:c r="G255" s="20" t="str">
        <x:f>IF(OR(E255="",F255=""),"",E255*F255)</x:f>
      </x:c>
      <x:c r="H255" s="20"/>
      <x:c r="I255" s="21"/>
      <x:c r="J255" s="20"/>
      <x:c r="K255" s="20"/>
      <x:c r="L255" s="20" t="str">
        <x:f>IF(F255="","",IF(F255=0,"Critical",IF(F255=1,"High",IF(F255=2,"Moderate",IF(F255=3,"Low","Effective")))))</x:f>
      </x:c>
      <x:c r="M255" s="20"/>
      <x:c r="N255" s="20"/>
      <x:c r="O255" s="21"/>
      <x:c r="P255" s="20"/>
    </x:row>
    <x:row r="256">
      <x:c r="A256" s="20"/>
      <x:c r="B256" s="20"/>
      <x:c r="C256" s="20"/>
      <x:c r="D256" s="20"/>
      <x:c r="E256" s="20"/>
      <x:c r="F256" s="20"/>
      <x:c r="G256" s="20" t="str">
        <x:f>IF(OR(E256="",F256=""),"",E256*F256)</x:f>
      </x:c>
      <x:c r="H256" s="20"/>
      <x:c r="I256" s="21"/>
      <x:c r="J256" s="20"/>
      <x:c r="K256" s="20"/>
      <x:c r="L256" s="20" t="str">
        <x:f>IF(F256="","",IF(F256=0,"Critical",IF(F256=1,"High",IF(F256=2,"Moderate",IF(F256=3,"Low","Effective")))))</x:f>
      </x:c>
      <x:c r="M256" s="20"/>
      <x:c r="N256" s="20"/>
      <x:c r="O256" s="21"/>
      <x:c r="P256" s="20"/>
    </x:row>
    <x:row r="257">
      <x:c r="A257" s="20"/>
      <x:c r="B257" s="20"/>
      <x:c r="C257" s="20"/>
      <x:c r="D257" s="20"/>
      <x:c r="E257" s="20"/>
      <x:c r="F257" s="20"/>
      <x:c r="G257" s="20" t="str">
        <x:f>IF(OR(E257="",F257=""),"",E257*F257)</x:f>
      </x:c>
      <x:c r="H257" s="20"/>
      <x:c r="I257" s="21"/>
      <x:c r="J257" s="20"/>
      <x:c r="K257" s="20"/>
      <x:c r="L257" s="20" t="str">
        <x:f>IF(F257="","",IF(F257=0,"Critical",IF(F257=1,"High",IF(F257=2,"Moderate",IF(F257=3,"Low","Effective")))))</x:f>
      </x:c>
      <x:c r="M257" s="20"/>
      <x:c r="N257" s="20"/>
      <x:c r="O257" s="21"/>
      <x:c r="P257" s="20"/>
    </x:row>
    <x:row r="258">
      <x:c r="A258" s="20"/>
      <x:c r="B258" s="20"/>
      <x:c r="C258" s="20"/>
      <x:c r="D258" s="20"/>
      <x:c r="E258" s="20"/>
      <x:c r="F258" s="20"/>
      <x:c r="G258" s="20" t="str">
        <x:f>IF(OR(E258="",F258=""),"",E258*F258)</x:f>
      </x:c>
      <x:c r="H258" s="20"/>
      <x:c r="I258" s="21"/>
      <x:c r="J258" s="20"/>
      <x:c r="K258" s="20"/>
      <x:c r="L258" s="20" t="str">
        <x:f>IF(F258="","",IF(F258=0,"Critical",IF(F258=1,"High",IF(F258=2,"Moderate",IF(F258=3,"Low","Effective")))))</x:f>
      </x:c>
      <x:c r="M258" s="20"/>
      <x:c r="N258" s="20"/>
      <x:c r="O258" s="21"/>
      <x:c r="P258" s="20"/>
    </x:row>
    <x:row r="259">
      <x:c r="A259" s="20"/>
      <x:c r="B259" s="20"/>
      <x:c r="C259" s="20"/>
      <x:c r="D259" s="20"/>
      <x:c r="E259" s="20"/>
      <x:c r="F259" s="20"/>
      <x:c r="G259" s="20" t="str">
        <x:f>IF(OR(E259="",F259=""),"",E259*F259)</x:f>
      </x:c>
      <x:c r="H259" s="20"/>
      <x:c r="I259" s="21"/>
      <x:c r="J259" s="20"/>
      <x:c r="K259" s="20"/>
      <x:c r="L259" s="20" t="str">
        <x:f>IF(F259="","",IF(F259=0,"Critical",IF(F259=1,"High",IF(F259=2,"Moderate",IF(F259=3,"Low","Effective")))))</x:f>
      </x:c>
      <x:c r="M259" s="20"/>
      <x:c r="N259" s="20"/>
      <x:c r="O259" s="21"/>
      <x:c r="P259" s="20"/>
    </x:row>
    <x:row r="260">
      <x:c r="A260" s="20"/>
      <x:c r="B260" s="20"/>
      <x:c r="C260" s="20"/>
      <x:c r="D260" s="20"/>
      <x:c r="E260" s="20"/>
      <x:c r="F260" s="20"/>
      <x:c r="G260" s="20" t="str">
        <x:f>IF(OR(E260="",F260=""),"",E260*F260)</x:f>
      </x:c>
      <x:c r="H260" s="20"/>
      <x:c r="I260" s="21"/>
      <x:c r="J260" s="20"/>
      <x:c r="K260" s="20"/>
      <x:c r="L260" s="20" t="str">
        <x:f>IF(F260="","",IF(F260=0,"Critical",IF(F260=1,"High",IF(F260=2,"Moderate",IF(F260=3,"Low","Effective")))))</x:f>
      </x:c>
      <x:c r="M260" s="20"/>
      <x:c r="N260" s="20"/>
      <x:c r="O260" s="21"/>
      <x:c r="P260" s="20"/>
    </x:row>
    <x:row r="261">
      <x:c r="A261" s="20"/>
      <x:c r="B261" s="20"/>
      <x:c r="C261" s="20"/>
      <x:c r="D261" s="20"/>
      <x:c r="E261" s="20"/>
      <x:c r="F261" s="20"/>
      <x:c r="G261" s="20" t="str">
        <x:f>IF(OR(E261="",F261=""),"",E261*F261)</x:f>
      </x:c>
      <x:c r="H261" s="20"/>
      <x:c r="I261" s="21"/>
      <x:c r="J261" s="20"/>
      <x:c r="K261" s="20"/>
      <x:c r="L261" s="20" t="str">
        <x:f>IF(F261="","",IF(F261=0,"Critical",IF(F261=1,"High",IF(F261=2,"Moderate",IF(F261=3,"Low","Effective")))))</x:f>
      </x:c>
      <x:c r="M261" s="20"/>
      <x:c r="N261" s="20"/>
      <x:c r="O261" s="21"/>
      <x:c r="P261" s="20"/>
    </x:row>
    <x:row r="262">
      <x:c r="A262" s="20"/>
      <x:c r="B262" s="20"/>
      <x:c r="C262" s="20"/>
      <x:c r="D262" s="20"/>
      <x:c r="E262" s="20"/>
      <x:c r="F262" s="20"/>
      <x:c r="G262" s="20" t="str">
        <x:f>IF(OR(E262="",F262=""),"",E262*F262)</x:f>
      </x:c>
      <x:c r="H262" s="20"/>
      <x:c r="I262" s="21"/>
      <x:c r="J262" s="20"/>
      <x:c r="K262" s="20"/>
      <x:c r="L262" s="20" t="str">
        <x:f>IF(F262="","",IF(F262=0,"Critical",IF(F262=1,"High",IF(F262=2,"Moderate",IF(F262=3,"Low","Effective")))))</x:f>
      </x:c>
      <x:c r="M262" s="20"/>
      <x:c r="N262" s="20"/>
      <x:c r="O262" s="21"/>
      <x:c r="P262" s="20"/>
    </x:row>
    <x:row r="263">
      <x:c r="A263" s="20"/>
      <x:c r="B263" s="20"/>
      <x:c r="C263" s="20"/>
      <x:c r="D263" s="20"/>
      <x:c r="E263" s="20"/>
      <x:c r="F263" s="20"/>
      <x:c r="G263" s="20" t="str">
        <x:f>IF(OR(E263="",F263=""),"",E263*F263)</x:f>
      </x:c>
      <x:c r="H263" s="20"/>
      <x:c r="I263" s="21"/>
      <x:c r="J263" s="20"/>
      <x:c r="K263" s="20"/>
      <x:c r="L263" s="20" t="str">
        <x:f>IF(F263="","",IF(F263=0,"Critical",IF(F263=1,"High",IF(F263=2,"Moderate",IF(F263=3,"Low","Effective")))))</x:f>
      </x:c>
      <x:c r="M263" s="20"/>
      <x:c r="N263" s="20"/>
      <x:c r="O263" s="21"/>
      <x:c r="P263" s="20"/>
    </x:row>
    <x:row r="264">
      <x:c r="A264" s="20"/>
      <x:c r="B264" s="20"/>
      <x:c r="C264" s="20"/>
      <x:c r="D264" s="20"/>
      <x:c r="E264" s="20"/>
      <x:c r="F264" s="20"/>
      <x:c r="G264" s="20" t="str">
        <x:f>IF(OR(E264="",F264=""),"",E264*F264)</x:f>
      </x:c>
      <x:c r="H264" s="20"/>
      <x:c r="I264" s="21"/>
      <x:c r="J264" s="20"/>
      <x:c r="K264" s="20"/>
      <x:c r="L264" s="20" t="str">
        <x:f>IF(F264="","",IF(F264=0,"Critical",IF(F264=1,"High",IF(F264=2,"Moderate",IF(F264=3,"Low","Effective")))))</x:f>
      </x:c>
      <x:c r="M264" s="20"/>
      <x:c r="N264" s="20"/>
      <x:c r="O264" s="21"/>
      <x:c r="P264" s="20"/>
    </x:row>
    <x:row r="265">
      <x:c r="A265" s="20"/>
      <x:c r="B265" s="20"/>
      <x:c r="C265" s="20"/>
      <x:c r="D265" s="20"/>
      <x:c r="E265" s="20"/>
      <x:c r="F265" s="20"/>
      <x:c r="G265" s="20" t="str">
        <x:f>IF(OR(E265="",F265=""),"",E265*F265)</x:f>
      </x:c>
      <x:c r="H265" s="20"/>
      <x:c r="I265" s="21"/>
      <x:c r="J265" s="20"/>
      <x:c r="K265" s="20"/>
      <x:c r="L265" s="20" t="str">
        <x:f>IF(F265="","",IF(F265=0,"Critical",IF(F265=1,"High",IF(F265=2,"Moderate",IF(F265=3,"Low","Effective")))))</x:f>
      </x:c>
      <x:c r="M265" s="20"/>
      <x:c r="N265" s="20"/>
      <x:c r="O265" s="21"/>
      <x:c r="P265" s="20"/>
    </x:row>
    <x:row r="266">
      <x:c r="A266" s="20"/>
      <x:c r="B266" s="20"/>
      <x:c r="C266" s="20"/>
      <x:c r="D266" s="20"/>
      <x:c r="E266" s="20"/>
      <x:c r="F266" s="20"/>
      <x:c r="G266" s="20" t="str">
        <x:f>IF(OR(E266="",F266=""),"",E266*F266)</x:f>
      </x:c>
      <x:c r="H266" s="20"/>
      <x:c r="I266" s="21"/>
      <x:c r="J266" s="20"/>
      <x:c r="K266" s="20"/>
      <x:c r="L266" s="20" t="str">
        <x:f>IF(F266="","",IF(F266=0,"Critical",IF(F266=1,"High",IF(F266=2,"Moderate",IF(F266=3,"Low","Effective")))))</x:f>
      </x:c>
      <x:c r="M266" s="20"/>
      <x:c r="N266" s="20"/>
      <x:c r="O266" s="21"/>
      <x:c r="P266" s="20"/>
    </x:row>
    <x:row r="267">
      <x:c r="A267" s="20"/>
      <x:c r="B267" s="20"/>
      <x:c r="C267" s="20"/>
      <x:c r="D267" s="20"/>
      <x:c r="E267" s="20"/>
      <x:c r="F267" s="20"/>
      <x:c r="G267" s="20" t="str">
        <x:f>IF(OR(E267="",F267=""),"",E267*F267)</x:f>
      </x:c>
      <x:c r="H267" s="20"/>
      <x:c r="I267" s="21"/>
      <x:c r="J267" s="20"/>
      <x:c r="K267" s="20"/>
      <x:c r="L267" s="20" t="str">
        <x:f>IF(F267="","",IF(F267=0,"Critical",IF(F267=1,"High",IF(F267=2,"Moderate",IF(F267=3,"Low","Effective")))))</x:f>
      </x:c>
      <x:c r="M267" s="20"/>
      <x:c r="N267" s="20"/>
      <x:c r="O267" s="21"/>
      <x:c r="P267" s="20"/>
    </x:row>
    <x:row r="268">
      <x:c r="A268" s="20"/>
      <x:c r="B268" s="20"/>
      <x:c r="C268" s="20"/>
      <x:c r="D268" s="20"/>
      <x:c r="E268" s="20"/>
      <x:c r="F268" s="20"/>
      <x:c r="G268" s="20" t="str">
        <x:f>IF(OR(E268="",F268=""),"",E268*F268)</x:f>
      </x:c>
      <x:c r="H268" s="20"/>
      <x:c r="I268" s="21"/>
      <x:c r="J268" s="20"/>
      <x:c r="K268" s="20"/>
      <x:c r="L268" s="20" t="str">
        <x:f>IF(F268="","",IF(F268=0,"Critical",IF(F268=1,"High",IF(F268=2,"Moderate",IF(F268=3,"Low","Effective")))))</x:f>
      </x:c>
      <x:c r="M268" s="20"/>
      <x:c r="N268" s="20"/>
      <x:c r="O268" s="21"/>
      <x:c r="P268" s="20"/>
    </x:row>
    <x:row r="269">
      <x:c r="A269" s="20"/>
      <x:c r="B269" s="20"/>
      <x:c r="C269" s="20"/>
      <x:c r="D269" s="20"/>
      <x:c r="E269" s="20"/>
      <x:c r="F269" s="20"/>
      <x:c r="G269" s="20" t="str">
        <x:f>IF(OR(E269="",F269=""),"",E269*F269)</x:f>
      </x:c>
      <x:c r="H269" s="20"/>
      <x:c r="I269" s="21"/>
      <x:c r="J269" s="20"/>
      <x:c r="K269" s="20"/>
      <x:c r="L269" s="20" t="str">
        <x:f>IF(F269="","",IF(F269=0,"Critical",IF(F269=1,"High",IF(F269=2,"Moderate",IF(F269=3,"Low","Effective")))))</x:f>
      </x:c>
      <x:c r="M269" s="20"/>
      <x:c r="N269" s="20"/>
      <x:c r="O269" s="21"/>
      <x:c r="P269" s="20"/>
    </x:row>
    <x:row r="270">
      <x:c r="A270" s="20"/>
      <x:c r="B270" s="20"/>
      <x:c r="C270" s="20"/>
      <x:c r="D270" s="20"/>
      <x:c r="E270" s="20"/>
      <x:c r="F270" s="20"/>
      <x:c r="G270" s="20" t="str">
        <x:f>IF(OR(E270="",F270=""),"",E270*F270)</x:f>
      </x:c>
      <x:c r="H270" s="20"/>
      <x:c r="I270" s="21"/>
      <x:c r="J270" s="20"/>
      <x:c r="K270" s="20"/>
      <x:c r="L270" s="20" t="str">
        <x:f>IF(F270="","",IF(F270=0,"Critical",IF(F270=1,"High",IF(F270=2,"Moderate",IF(F270=3,"Low","Effective")))))</x:f>
      </x:c>
      <x:c r="M270" s="20"/>
      <x:c r="N270" s="20"/>
      <x:c r="O270" s="21"/>
      <x:c r="P270" s="20"/>
    </x:row>
    <x:row r="271">
      <x:c r="A271" s="20"/>
      <x:c r="B271" s="20"/>
      <x:c r="C271" s="20"/>
      <x:c r="D271" s="20"/>
      <x:c r="E271" s="20"/>
      <x:c r="F271" s="20"/>
      <x:c r="G271" s="20" t="str">
        <x:f>IF(OR(E271="",F271=""),"",E271*F271)</x:f>
      </x:c>
      <x:c r="H271" s="20"/>
      <x:c r="I271" s="21"/>
      <x:c r="J271" s="20"/>
      <x:c r="K271" s="20"/>
      <x:c r="L271" s="20" t="str">
        <x:f>IF(F271="","",IF(F271=0,"Critical",IF(F271=1,"High",IF(F271=2,"Moderate",IF(F271=3,"Low","Effective")))))</x:f>
      </x:c>
      <x:c r="M271" s="20"/>
      <x:c r="N271" s="20"/>
      <x:c r="O271" s="21"/>
      <x:c r="P271" s="20"/>
    </x:row>
    <x:row r="272">
      <x:c r="A272" s="20"/>
      <x:c r="B272" s="20"/>
      <x:c r="C272" s="20"/>
      <x:c r="D272" s="20"/>
      <x:c r="E272" s="20"/>
      <x:c r="F272" s="20"/>
      <x:c r="G272" s="20" t="str">
        <x:f>IF(OR(E272="",F272=""),"",E272*F272)</x:f>
      </x:c>
      <x:c r="H272" s="20"/>
      <x:c r="I272" s="21"/>
      <x:c r="J272" s="20"/>
      <x:c r="K272" s="20"/>
      <x:c r="L272" s="20" t="str">
        <x:f>IF(F272="","",IF(F272=0,"Critical",IF(F272=1,"High",IF(F272=2,"Moderate",IF(F272=3,"Low","Effective")))))</x:f>
      </x:c>
      <x:c r="M272" s="20"/>
      <x:c r="N272" s="20"/>
      <x:c r="O272" s="21"/>
      <x:c r="P272" s="20"/>
    </x:row>
    <x:row r="273">
      <x:c r="A273" s="20"/>
      <x:c r="B273" s="20"/>
      <x:c r="C273" s="20"/>
      <x:c r="D273" s="20"/>
      <x:c r="E273" s="20"/>
      <x:c r="F273" s="20"/>
      <x:c r="G273" s="20" t="str">
        <x:f>IF(OR(E273="",F273=""),"",E273*F273)</x:f>
      </x:c>
      <x:c r="H273" s="20"/>
      <x:c r="I273" s="21"/>
      <x:c r="J273" s="20"/>
      <x:c r="K273" s="20"/>
      <x:c r="L273" s="20" t="str">
        <x:f>IF(F273="","",IF(F273=0,"Critical",IF(F273=1,"High",IF(F273=2,"Moderate",IF(F273=3,"Low","Effective")))))</x:f>
      </x:c>
      <x:c r="M273" s="20"/>
      <x:c r="N273" s="20"/>
      <x:c r="O273" s="21"/>
      <x:c r="P273" s="20"/>
    </x:row>
    <x:row r="274">
      <x:c r="A274" s="20"/>
      <x:c r="B274" s="20"/>
      <x:c r="C274" s="20"/>
      <x:c r="D274" s="20"/>
      <x:c r="E274" s="20"/>
      <x:c r="F274" s="20"/>
      <x:c r="G274" s="20" t="str">
        <x:f>IF(OR(E274="",F274=""),"",E274*F274)</x:f>
      </x:c>
      <x:c r="H274" s="20"/>
      <x:c r="I274" s="21"/>
      <x:c r="J274" s="20"/>
      <x:c r="K274" s="20"/>
      <x:c r="L274" s="20" t="str">
        <x:f>IF(F274="","",IF(F274=0,"Critical",IF(F274=1,"High",IF(F274=2,"Moderate",IF(F274=3,"Low","Effective")))))</x:f>
      </x:c>
      <x:c r="M274" s="20"/>
      <x:c r="N274" s="20"/>
      <x:c r="O274" s="21"/>
      <x:c r="P274" s="20"/>
    </x:row>
    <x:row r="275">
      <x:c r="A275" s="20"/>
      <x:c r="B275" s="20"/>
      <x:c r="C275" s="20"/>
      <x:c r="D275" s="20"/>
      <x:c r="E275" s="20"/>
      <x:c r="F275" s="20"/>
      <x:c r="G275" s="20" t="str">
        <x:f>IF(OR(E275="",F275=""),"",E275*F275)</x:f>
      </x:c>
      <x:c r="H275" s="20"/>
      <x:c r="I275" s="21"/>
      <x:c r="J275" s="20"/>
      <x:c r="K275" s="20"/>
      <x:c r="L275" s="20" t="str">
        <x:f>IF(F275="","",IF(F275=0,"Critical",IF(F275=1,"High",IF(F275=2,"Moderate",IF(F275=3,"Low","Effective")))))</x:f>
      </x:c>
      <x:c r="M275" s="20"/>
      <x:c r="N275" s="20"/>
      <x:c r="O275" s="21"/>
      <x:c r="P275" s="20"/>
    </x:row>
    <x:row r="276">
      <x:c r="A276" s="20"/>
      <x:c r="B276" s="20"/>
      <x:c r="C276" s="20"/>
      <x:c r="D276" s="20"/>
      <x:c r="E276" s="20"/>
      <x:c r="F276" s="20"/>
      <x:c r="G276" s="20" t="str">
        <x:f>IF(OR(E276="",F276=""),"",E276*F276)</x:f>
      </x:c>
      <x:c r="H276" s="20"/>
      <x:c r="I276" s="21"/>
      <x:c r="J276" s="20"/>
      <x:c r="K276" s="20"/>
      <x:c r="L276" s="20" t="str">
        <x:f>IF(F276="","",IF(F276=0,"Critical",IF(F276=1,"High",IF(F276=2,"Moderate",IF(F276=3,"Low","Effective")))))</x:f>
      </x:c>
      <x:c r="M276" s="20"/>
      <x:c r="N276" s="20"/>
      <x:c r="O276" s="21"/>
      <x:c r="P276" s="20"/>
    </x:row>
    <x:row r="277">
      <x:c r="A277" s="20"/>
      <x:c r="B277" s="20"/>
      <x:c r="C277" s="20"/>
      <x:c r="D277" s="20"/>
      <x:c r="E277" s="20"/>
      <x:c r="F277" s="20"/>
      <x:c r="G277" s="20" t="str">
        <x:f>IF(OR(E277="",F277=""),"",E277*F277)</x:f>
      </x:c>
      <x:c r="H277" s="20"/>
      <x:c r="I277" s="21"/>
      <x:c r="J277" s="20"/>
      <x:c r="K277" s="20"/>
      <x:c r="L277" s="20" t="str">
        <x:f>IF(F277="","",IF(F277=0,"Critical",IF(F277=1,"High",IF(F277=2,"Moderate",IF(F277=3,"Low","Effective")))))</x:f>
      </x:c>
      <x:c r="M277" s="20"/>
      <x:c r="N277" s="20"/>
      <x:c r="O277" s="21"/>
      <x:c r="P277" s="20"/>
    </x:row>
    <x:row r="278">
      <x:c r="A278" s="20"/>
      <x:c r="B278" s="20"/>
      <x:c r="C278" s="20"/>
      <x:c r="D278" s="20"/>
      <x:c r="E278" s="20"/>
      <x:c r="F278" s="20"/>
      <x:c r="G278" s="20" t="str">
        <x:f>IF(OR(E278="",F278=""),"",E278*F278)</x:f>
      </x:c>
      <x:c r="H278" s="20"/>
      <x:c r="I278" s="21"/>
      <x:c r="J278" s="20"/>
      <x:c r="K278" s="20"/>
      <x:c r="L278" s="20" t="str">
        <x:f>IF(F278="","",IF(F278=0,"Critical",IF(F278=1,"High",IF(F278=2,"Moderate",IF(F278=3,"Low","Effective")))))</x:f>
      </x:c>
      <x:c r="M278" s="20"/>
      <x:c r="N278" s="20"/>
      <x:c r="O278" s="21"/>
      <x:c r="P278" s="20"/>
    </x:row>
    <x:row r="279">
      <x:c r="A279" s="20"/>
      <x:c r="B279" s="20"/>
      <x:c r="C279" s="20"/>
      <x:c r="D279" s="20"/>
      <x:c r="E279" s="20"/>
      <x:c r="F279" s="20"/>
      <x:c r="G279" s="20" t="str">
        <x:f>IF(OR(E279="",F279=""),"",E279*F279)</x:f>
      </x:c>
      <x:c r="H279" s="20"/>
      <x:c r="I279" s="21"/>
      <x:c r="J279" s="20"/>
      <x:c r="K279" s="20"/>
      <x:c r="L279" s="20" t="str">
        <x:f>IF(F279="","",IF(F279=0,"Critical",IF(F279=1,"High",IF(F279=2,"Moderate",IF(F279=3,"Low","Effective")))))</x:f>
      </x:c>
      <x:c r="M279" s="20"/>
      <x:c r="N279" s="20"/>
      <x:c r="O279" s="21"/>
      <x:c r="P279" s="20"/>
    </x:row>
    <x:row r="280">
      <x:c r="A280" s="20"/>
      <x:c r="B280" s="20"/>
      <x:c r="C280" s="20"/>
      <x:c r="D280" s="20"/>
      <x:c r="E280" s="20"/>
      <x:c r="F280" s="20"/>
      <x:c r="G280" s="20" t="str">
        <x:f>IF(OR(E280="",F280=""),"",E280*F280)</x:f>
      </x:c>
      <x:c r="H280" s="20"/>
      <x:c r="I280" s="21"/>
      <x:c r="J280" s="20"/>
      <x:c r="K280" s="20"/>
      <x:c r="L280" s="20" t="str">
        <x:f>IF(F280="","",IF(F280=0,"Critical",IF(F280=1,"High",IF(F280=2,"Moderate",IF(F280=3,"Low","Effective")))))</x:f>
      </x:c>
      <x:c r="M280" s="20"/>
      <x:c r="N280" s="20"/>
      <x:c r="O280" s="21"/>
      <x:c r="P280" s="20"/>
    </x:row>
    <x:row r="281">
      <x:c r="A281" s="20"/>
      <x:c r="B281" s="20"/>
      <x:c r="C281" s="20"/>
      <x:c r="D281" s="20"/>
      <x:c r="E281" s="20"/>
      <x:c r="F281" s="20"/>
      <x:c r="G281" s="20" t="str">
        <x:f>IF(OR(E281="",F281=""),"",E281*F281)</x:f>
      </x:c>
      <x:c r="H281" s="20"/>
      <x:c r="I281" s="21"/>
      <x:c r="J281" s="20"/>
      <x:c r="K281" s="20"/>
      <x:c r="L281" s="20" t="str">
        <x:f>IF(F281="","",IF(F281=0,"Critical",IF(F281=1,"High",IF(F281=2,"Moderate",IF(F281=3,"Low","Effective")))))</x:f>
      </x:c>
      <x:c r="M281" s="20"/>
      <x:c r="N281" s="20"/>
      <x:c r="O281" s="21"/>
      <x:c r="P281" s="20"/>
    </x:row>
    <x:row r="282">
      <x:c r="A282" s="20"/>
      <x:c r="B282" s="20"/>
      <x:c r="C282" s="20"/>
      <x:c r="D282" s="20"/>
      <x:c r="E282" s="20"/>
      <x:c r="F282" s="20"/>
      <x:c r="G282" s="20" t="str">
        <x:f>IF(OR(E282="",F282=""),"",E282*F282)</x:f>
      </x:c>
      <x:c r="H282" s="20"/>
      <x:c r="I282" s="21"/>
      <x:c r="J282" s="20"/>
      <x:c r="K282" s="20"/>
      <x:c r="L282" s="20" t="str">
        <x:f>IF(F282="","",IF(F282=0,"Critical",IF(F282=1,"High",IF(F282=2,"Moderate",IF(F282=3,"Low","Effective")))))</x:f>
      </x:c>
      <x:c r="M282" s="20"/>
      <x:c r="N282" s="20"/>
      <x:c r="O282" s="21"/>
      <x:c r="P282" s="20"/>
    </x:row>
    <x:row r="283">
      <x:c r="A283" s="20"/>
      <x:c r="B283" s="20"/>
      <x:c r="C283" s="20"/>
      <x:c r="D283" s="20"/>
      <x:c r="E283" s="20"/>
      <x:c r="F283" s="20"/>
      <x:c r="G283" s="20" t="str">
        <x:f>IF(OR(E283="",F283=""),"",E283*F283)</x:f>
      </x:c>
      <x:c r="H283" s="20"/>
      <x:c r="I283" s="21"/>
      <x:c r="J283" s="20"/>
      <x:c r="K283" s="20"/>
      <x:c r="L283" s="20" t="str">
        <x:f>IF(F283="","",IF(F283=0,"Critical",IF(F283=1,"High",IF(F283=2,"Moderate",IF(F283=3,"Low","Effective")))))</x:f>
      </x:c>
      <x:c r="M283" s="20"/>
      <x:c r="N283" s="20"/>
      <x:c r="O283" s="21"/>
      <x:c r="P283" s="20"/>
    </x:row>
    <x:row r="284">
      <x:c r="A284" s="20"/>
      <x:c r="B284" s="20"/>
      <x:c r="C284" s="20"/>
      <x:c r="D284" s="20"/>
      <x:c r="E284" s="20"/>
      <x:c r="F284" s="20"/>
      <x:c r="G284" s="20" t="str">
        <x:f>IF(OR(E284="",F284=""),"",E284*F284)</x:f>
      </x:c>
      <x:c r="H284" s="20"/>
      <x:c r="I284" s="21"/>
      <x:c r="J284" s="20"/>
      <x:c r="K284" s="20"/>
      <x:c r="L284" s="20" t="str">
        <x:f>IF(F284="","",IF(F284=0,"Critical",IF(F284=1,"High",IF(F284=2,"Moderate",IF(F284=3,"Low","Effective")))))</x:f>
      </x:c>
      <x:c r="M284" s="20"/>
      <x:c r="N284" s="20"/>
      <x:c r="O284" s="21"/>
      <x:c r="P284" s="20"/>
    </x:row>
    <x:row r="285">
      <x:c r="A285" s="20"/>
      <x:c r="B285" s="20"/>
      <x:c r="C285" s="20"/>
      <x:c r="D285" s="20"/>
      <x:c r="E285" s="20"/>
      <x:c r="F285" s="20"/>
      <x:c r="G285" s="20" t="str">
        <x:f>IF(OR(E285="",F285=""),"",E285*F285)</x:f>
      </x:c>
      <x:c r="H285" s="20"/>
      <x:c r="I285" s="21"/>
      <x:c r="J285" s="20"/>
      <x:c r="K285" s="20"/>
      <x:c r="L285" s="20" t="str">
        <x:f>IF(F285="","",IF(F285=0,"Critical",IF(F285=1,"High",IF(F285=2,"Moderate",IF(F285=3,"Low","Effective")))))</x:f>
      </x:c>
      <x:c r="M285" s="20"/>
      <x:c r="N285" s="20"/>
      <x:c r="O285" s="21"/>
      <x:c r="P285" s="20"/>
    </x:row>
    <x:row r="286">
      <x:c r="A286" s="20"/>
      <x:c r="B286" s="20"/>
      <x:c r="C286" s="20"/>
      <x:c r="D286" s="20"/>
      <x:c r="E286" s="20"/>
      <x:c r="F286" s="20"/>
      <x:c r="G286" s="20" t="str">
        <x:f>IF(OR(E286="",F286=""),"",E286*F286)</x:f>
      </x:c>
      <x:c r="H286" s="20"/>
      <x:c r="I286" s="21"/>
      <x:c r="J286" s="20"/>
      <x:c r="K286" s="20"/>
      <x:c r="L286" s="20" t="str">
        <x:f>IF(F286="","",IF(F286=0,"Critical",IF(F286=1,"High",IF(F286=2,"Moderate",IF(F286=3,"Low","Effective")))))</x:f>
      </x:c>
      <x:c r="M286" s="20"/>
      <x:c r="N286" s="20"/>
      <x:c r="O286" s="21"/>
      <x:c r="P286" s="20"/>
    </x:row>
    <x:row r="287">
      <x:c r="A287" s="20"/>
      <x:c r="B287" s="20"/>
      <x:c r="C287" s="20"/>
      <x:c r="D287" s="20"/>
      <x:c r="E287" s="20"/>
      <x:c r="F287" s="20"/>
      <x:c r="G287" s="20" t="str">
        <x:f>IF(OR(E287="",F287=""),"",E287*F287)</x:f>
      </x:c>
      <x:c r="H287" s="20"/>
      <x:c r="I287" s="21"/>
      <x:c r="J287" s="20"/>
      <x:c r="K287" s="20"/>
      <x:c r="L287" s="20" t="str">
        <x:f>IF(F287="","",IF(F287=0,"Critical",IF(F287=1,"High",IF(F287=2,"Moderate",IF(F287=3,"Low","Effective")))))</x:f>
      </x:c>
      <x:c r="M287" s="20"/>
      <x:c r="N287" s="20"/>
      <x:c r="O287" s="21"/>
      <x:c r="P287" s="20"/>
    </x:row>
    <x:row r="288">
      <x:c r="A288" s="20"/>
      <x:c r="B288" s="20"/>
      <x:c r="C288" s="20"/>
      <x:c r="D288" s="20"/>
      <x:c r="E288" s="20"/>
      <x:c r="F288" s="20"/>
      <x:c r="G288" s="20" t="str">
        <x:f>IF(OR(E288="",F288=""),"",E288*F288)</x:f>
      </x:c>
      <x:c r="H288" s="20"/>
      <x:c r="I288" s="21"/>
      <x:c r="J288" s="20"/>
      <x:c r="K288" s="20"/>
      <x:c r="L288" s="20" t="str">
        <x:f>IF(F288="","",IF(F288=0,"Critical",IF(F288=1,"High",IF(F288=2,"Moderate",IF(F288=3,"Low","Effective")))))</x:f>
      </x:c>
      <x:c r="M288" s="20"/>
      <x:c r="N288" s="20"/>
      <x:c r="O288" s="21"/>
      <x:c r="P288" s="20"/>
    </x:row>
    <x:row r="289">
      <x:c r="A289" s="20"/>
      <x:c r="B289" s="20"/>
      <x:c r="C289" s="20"/>
      <x:c r="D289" s="20"/>
      <x:c r="E289" s="20"/>
      <x:c r="F289" s="20"/>
      <x:c r="G289" s="20" t="str">
        <x:f>IF(OR(E289="",F289=""),"",E289*F289)</x:f>
      </x:c>
      <x:c r="H289" s="20"/>
      <x:c r="I289" s="21"/>
      <x:c r="J289" s="20"/>
      <x:c r="K289" s="20"/>
      <x:c r="L289" s="20" t="str">
        <x:f>IF(F289="","",IF(F289=0,"Critical",IF(F289=1,"High",IF(F289=2,"Moderate",IF(F289=3,"Low","Effective")))))</x:f>
      </x:c>
      <x:c r="M289" s="20"/>
      <x:c r="N289" s="20"/>
      <x:c r="O289" s="21"/>
      <x:c r="P289" s="20"/>
    </x:row>
    <x:row r="290">
      <x:c r="A290" s="20"/>
      <x:c r="B290" s="20"/>
      <x:c r="C290" s="20"/>
      <x:c r="D290" s="20"/>
      <x:c r="E290" s="20"/>
      <x:c r="F290" s="20"/>
      <x:c r="G290" s="20" t="str">
        <x:f>IF(OR(E290="",F290=""),"",E290*F290)</x:f>
      </x:c>
      <x:c r="H290" s="20"/>
      <x:c r="I290" s="21"/>
      <x:c r="J290" s="20"/>
      <x:c r="K290" s="20"/>
      <x:c r="L290" s="20" t="str">
        <x:f>IF(F290="","",IF(F290=0,"Critical",IF(F290=1,"High",IF(F290=2,"Moderate",IF(F290=3,"Low","Effective")))))</x:f>
      </x:c>
      <x:c r="M290" s="20"/>
      <x:c r="N290" s="20"/>
      <x:c r="O290" s="21"/>
      <x:c r="P290" s="20"/>
    </x:row>
    <x:row r="291">
      <x:c r="A291" s="20"/>
      <x:c r="B291" s="20"/>
      <x:c r="C291" s="20"/>
      <x:c r="D291" s="20"/>
      <x:c r="E291" s="20"/>
      <x:c r="F291" s="20"/>
      <x:c r="G291" s="20" t="str">
        <x:f>IF(OR(E291="",F291=""),"",E291*F291)</x:f>
      </x:c>
      <x:c r="H291" s="20"/>
      <x:c r="I291" s="21"/>
      <x:c r="J291" s="20"/>
      <x:c r="K291" s="20"/>
      <x:c r="L291" s="20" t="str">
        <x:f>IF(F291="","",IF(F291=0,"Critical",IF(F291=1,"High",IF(F291=2,"Moderate",IF(F291=3,"Low","Effective")))))</x:f>
      </x:c>
      <x:c r="M291" s="20"/>
      <x:c r="N291" s="20"/>
      <x:c r="O291" s="21"/>
      <x:c r="P291" s="20"/>
    </x:row>
    <x:row r="292">
      <x:c r="A292" s="20"/>
      <x:c r="B292" s="20"/>
      <x:c r="C292" s="20"/>
      <x:c r="D292" s="20"/>
      <x:c r="E292" s="20"/>
      <x:c r="F292" s="20"/>
      <x:c r="G292" s="20" t="str">
        <x:f>IF(OR(E292="",F292=""),"",E292*F292)</x:f>
      </x:c>
      <x:c r="H292" s="20"/>
      <x:c r="I292" s="21"/>
      <x:c r="J292" s="20"/>
      <x:c r="K292" s="20"/>
      <x:c r="L292" s="20" t="str">
        <x:f>IF(F292="","",IF(F292=0,"Critical",IF(F292=1,"High",IF(F292=2,"Moderate",IF(F292=3,"Low","Effective")))))</x:f>
      </x:c>
      <x:c r="M292" s="20"/>
      <x:c r="N292" s="20"/>
      <x:c r="O292" s="21"/>
      <x:c r="P292" s="20"/>
    </x:row>
    <x:row r="293">
      <x:c r="A293" s="20"/>
      <x:c r="B293" s="20"/>
      <x:c r="C293" s="20"/>
      <x:c r="D293" s="20"/>
      <x:c r="E293" s="20"/>
      <x:c r="F293" s="20"/>
      <x:c r="G293" s="20" t="str">
        <x:f>IF(OR(E293="",F293=""),"",E293*F293)</x:f>
      </x:c>
      <x:c r="H293" s="20"/>
      <x:c r="I293" s="21"/>
      <x:c r="J293" s="20"/>
      <x:c r="K293" s="20"/>
      <x:c r="L293" s="20" t="str">
        <x:f>IF(F293="","",IF(F293=0,"Critical",IF(F293=1,"High",IF(F293=2,"Moderate",IF(F293=3,"Low","Effective")))))</x:f>
      </x:c>
      <x:c r="M293" s="20"/>
      <x:c r="N293" s="20"/>
      <x:c r="O293" s="21"/>
      <x:c r="P293" s="20"/>
    </x:row>
    <x:row r="294">
      <x:c r="A294" s="20"/>
      <x:c r="B294" s="20"/>
      <x:c r="C294" s="20"/>
      <x:c r="D294" s="20"/>
      <x:c r="E294" s="20"/>
      <x:c r="F294" s="20"/>
      <x:c r="G294" s="20" t="str">
        <x:f>IF(OR(E294="",F294=""),"",E294*F294)</x:f>
      </x:c>
      <x:c r="H294" s="20"/>
      <x:c r="I294" s="21"/>
      <x:c r="J294" s="20"/>
      <x:c r="K294" s="20"/>
      <x:c r="L294" s="20" t="str">
        <x:f>IF(F294="","",IF(F294=0,"Critical",IF(F294=1,"High",IF(F294=2,"Moderate",IF(F294=3,"Low","Effective")))))</x:f>
      </x:c>
      <x:c r="M294" s="20"/>
      <x:c r="N294" s="20"/>
      <x:c r="O294" s="21"/>
      <x:c r="P294" s="20"/>
    </x:row>
    <x:row r="295">
      <x:c r="A295" s="20"/>
      <x:c r="B295" s="20"/>
      <x:c r="C295" s="20"/>
      <x:c r="D295" s="20"/>
      <x:c r="E295" s="20"/>
      <x:c r="F295" s="20"/>
      <x:c r="G295" s="20" t="str">
        <x:f>IF(OR(E295="",F295=""),"",E295*F295)</x:f>
      </x:c>
      <x:c r="H295" s="20"/>
      <x:c r="I295" s="21"/>
      <x:c r="J295" s="20"/>
      <x:c r="K295" s="20"/>
      <x:c r="L295" s="20" t="str">
        <x:f>IF(F295="","",IF(F295=0,"Critical",IF(F295=1,"High",IF(F295=2,"Moderate",IF(F295=3,"Low","Effective")))))</x:f>
      </x:c>
      <x:c r="M295" s="20"/>
      <x:c r="N295" s="20"/>
      <x:c r="O295" s="21"/>
      <x:c r="P295" s="20"/>
    </x:row>
    <x:row r="296">
      <x:c r="A296" s="20"/>
      <x:c r="B296" s="20"/>
      <x:c r="C296" s="20"/>
      <x:c r="D296" s="20"/>
      <x:c r="E296" s="20"/>
      <x:c r="F296" s="20"/>
      <x:c r="G296" s="20" t="str">
        <x:f>IF(OR(E296="",F296=""),"",E296*F296)</x:f>
      </x:c>
      <x:c r="H296" s="20"/>
      <x:c r="I296" s="21"/>
      <x:c r="J296" s="20"/>
      <x:c r="K296" s="20"/>
      <x:c r="L296" s="20" t="str">
        <x:f>IF(F296="","",IF(F296=0,"Critical",IF(F296=1,"High",IF(F296=2,"Moderate",IF(F296=3,"Low","Effective")))))</x:f>
      </x:c>
      <x:c r="M296" s="20"/>
      <x:c r="N296" s="20"/>
      <x:c r="O296" s="21"/>
      <x:c r="P296" s="20"/>
    </x:row>
    <x:row r="297">
      <x:c r="A297" s="20"/>
      <x:c r="B297" s="20"/>
      <x:c r="C297" s="20"/>
      <x:c r="D297" s="20"/>
      <x:c r="E297" s="20"/>
      <x:c r="F297" s="20"/>
      <x:c r="G297" s="20" t="str">
        <x:f>IF(OR(E297="",F297=""),"",E297*F297)</x:f>
      </x:c>
      <x:c r="H297" s="20"/>
      <x:c r="I297" s="21"/>
      <x:c r="J297" s="20"/>
      <x:c r="K297" s="20"/>
      <x:c r="L297" s="20" t="str">
        <x:f>IF(F297="","",IF(F297=0,"Critical",IF(F297=1,"High",IF(F297=2,"Moderate",IF(F297=3,"Low","Effective")))))</x:f>
      </x:c>
      <x:c r="M297" s="20"/>
      <x:c r="N297" s="20"/>
      <x:c r="O297" s="21"/>
      <x:c r="P297" s="20"/>
    </x:row>
    <x:row r="298">
      <x:c r="A298" s="20"/>
      <x:c r="B298" s="20"/>
      <x:c r="C298" s="20"/>
      <x:c r="D298" s="20"/>
      <x:c r="E298" s="20"/>
      <x:c r="F298" s="20"/>
      <x:c r="G298" s="20" t="str">
        <x:f>IF(OR(E298="",F298=""),"",E298*F298)</x:f>
      </x:c>
      <x:c r="H298" s="20"/>
      <x:c r="I298" s="21"/>
      <x:c r="J298" s="20"/>
      <x:c r="K298" s="20"/>
      <x:c r="L298" s="20" t="str">
        <x:f>IF(F298="","",IF(F298=0,"Critical",IF(F298=1,"High",IF(F298=2,"Moderate",IF(F298=3,"Low","Effective")))))</x:f>
      </x:c>
      <x:c r="M298" s="20"/>
      <x:c r="N298" s="20"/>
      <x:c r="O298" s="21"/>
      <x:c r="P298" s="20"/>
    </x:row>
    <x:row r="299">
      <x:c r="A299" s="20"/>
      <x:c r="B299" s="20"/>
      <x:c r="C299" s="20"/>
      <x:c r="D299" s="20"/>
      <x:c r="E299" s="20"/>
      <x:c r="F299" s="20"/>
      <x:c r="G299" s="20" t="str">
        <x:f>IF(OR(E299="",F299=""),"",E299*F299)</x:f>
      </x:c>
      <x:c r="H299" s="20"/>
      <x:c r="I299" s="21"/>
      <x:c r="J299" s="20"/>
      <x:c r="K299" s="20"/>
      <x:c r="L299" s="20" t="str">
        <x:f>IF(F299="","",IF(F299=0,"Critical",IF(F299=1,"High",IF(F299=2,"Moderate",IF(F299=3,"Low","Effective")))))</x:f>
      </x:c>
      <x:c r="M299" s="20"/>
      <x:c r="N299" s="20"/>
      <x:c r="O299" s="21"/>
      <x:c r="P299" s="20"/>
    </x:row>
    <x:row r="300">
      <x:c r="A300" s="20"/>
      <x:c r="B300" s="20"/>
      <x:c r="C300" s="20"/>
      <x:c r="D300" s="20"/>
      <x:c r="E300" s="20"/>
      <x:c r="F300" s="20"/>
      <x:c r="G300" s="20" t="str">
        <x:f>IF(OR(E300="",F300=""),"",E300*F300)</x:f>
      </x:c>
      <x:c r="H300" s="20"/>
      <x:c r="I300" s="21"/>
      <x:c r="J300" s="20"/>
      <x:c r="K300" s="20"/>
      <x:c r="L300" s="20" t="str">
        <x:f>IF(F300="","",IF(F300=0,"Critical",IF(F300=1,"High",IF(F300=2,"Moderate",IF(F300=3,"Low","Effective")))))</x:f>
      </x:c>
      <x:c r="M300" s="20"/>
      <x:c r="N300" s="20"/>
      <x:c r="O300" s="21"/>
      <x:c r="P300" s="20"/>
    </x:row>
    <x:row r="301">
      <x:c r="A301" s="20"/>
      <x:c r="B301" s="20"/>
      <x:c r="C301" s="20"/>
      <x:c r="D301" s="20"/>
      <x:c r="E301" s="20"/>
      <x:c r="F301" s="20"/>
      <x:c r="G301" s="20" t="str">
        <x:f>IF(OR(E301="",F301=""),"",E301*F301)</x:f>
      </x:c>
      <x:c r="H301" s="20"/>
      <x:c r="I301" s="21"/>
      <x:c r="J301" s="20"/>
      <x:c r="K301" s="20"/>
      <x:c r="L301" s="20" t="str">
        <x:f>IF(F301="","",IF(F301=0,"Critical",IF(F301=1,"High",IF(F301=2,"Moderate",IF(F301=3,"Low","Effective")))))</x:f>
      </x:c>
      <x:c r="M301" s="20"/>
      <x:c r="N301" s="20"/>
      <x:c r="O301" s="21"/>
      <x:c r="P301" s="20"/>
    </x:row>
    <x:row r="302">
      <x:c r="A302" s="20"/>
      <x:c r="B302" s="20"/>
      <x:c r="C302" s="20"/>
      <x:c r="D302" s="20"/>
      <x:c r="E302" s="20"/>
      <x:c r="F302" s="20"/>
      <x:c r="G302" s="20" t="str">
        <x:f>IF(OR(E302="",F302=""),"",E302*F302)</x:f>
      </x:c>
      <x:c r="H302" s="20"/>
      <x:c r="I302" s="21"/>
      <x:c r="J302" s="20"/>
      <x:c r="K302" s="20"/>
      <x:c r="L302" s="20" t="str">
        <x:f>IF(F302="","",IF(F302=0,"Critical",IF(F302=1,"High",IF(F302=2,"Moderate",IF(F302=3,"Low","Effective")))))</x:f>
      </x:c>
      <x:c r="M302" s="20"/>
      <x:c r="N302" s="20"/>
      <x:c r="O302" s="21"/>
      <x:c r="P302" s="20"/>
    </x:row>
    <x:row r="303">
      <x:c r="A303" s="20"/>
      <x:c r="B303" s="20"/>
      <x:c r="C303" s="20"/>
      <x:c r="D303" s="20"/>
      <x:c r="E303" s="20"/>
      <x:c r="F303" s="20"/>
      <x:c r="G303" s="20" t="str">
        <x:f>IF(OR(E303="",F303=""),"",E303*F303)</x:f>
      </x:c>
      <x:c r="H303" s="20"/>
      <x:c r="I303" s="21"/>
      <x:c r="J303" s="20"/>
      <x:c r="K303" s="20"/>
      <x:c r="L303" s="20" t="str">
        <x:f>IF(F303="","",IF(F303=0,"Critical",IF(F303=1,"High",IF(F303=2,"Moderate",IF(F303=3,"Low","Effective")))))</x:f>
      </x:c>
      <x:c r="M303" s="20"/>
      <x:c r="N303" s="20"/>
      <x:c r="O303" s="21"/>
      <x:c r="P303" s="20"/>
    </x:row>
    <x:row r="304">
      <x:c r="A304" s="20"/>
      <x:c r="B304" s="20"/>
      <x:c r="C304" s="20"/>
      <x:c r="D304" s="20"/>
      <x:c r="E304" s="20"/>
      <x:c r="F304" s="20"/>
      <x:c r="G304" s="20" t="str">
        <x:f>IF(OR(E304="",F304=""),"",E304*F304)</x:f>
      </x:c>
      <x:c r="H304" s="20"/>
      <x:c r="I304" s="21"/>
      <x:c r="J304" s="20"/>
      <x:c r="K304" s="20"/>
      <x:c r="L304" s="20" t="str">
        <x:f>IF(F304="","",IF(F304=0,"Critical",IF(F304=1,"High",IF(F304=2,"Moderate",IF(F304=3,"Low","Effective")))))</x:f>
      </x:c>
      <x:c r="M304" s="20"/>
      <x:c r="N304" s="20"/>
      <x:c r="O304" s="21"/>
      <x:c r="P304" s="20"/>
    </x:row>
    <x:row r="305">
      <x:c r="A305" s="20"/>
      <x:c r="B305" s="20"/>
      <x:c r="C305" s="20"/>
      <x:c r="D305" s="20"/>
      <x:c r="E305" s="20"/>
      <x:c r="F305" s="20"/>
      <x:c r="G305" s="20" t="str">
        <x:f>IF(OR(E305="",F305=""),"",E305*F305)</x:f>
      </x:c>
      <x:c r="H305" s="20"/>
      <x:c r="I305" s="21"/>
      <x:c r="J305" s="20"/>
      <x:c r="K305" s="20"/>
      <x:c r="L305" s="20" t="str">
        <x:f>IF(F305="","",IF(F305=0,"Critical",IF(F305=1,"High",IF(F305=2,"Moderate",IF(F305=3,"Low","Effective")))))</x:f>
      </x:c>
      <x:c r="M305" s="20"/>
      <x:c r="N305" s="20"/>
      <x:c r="O305" s="21"/>
      <x:c r="P305" s="20"/>
    </x:row>
    <x:row r="306">
      <x:c r="A306" s="20"/>
      <x:c r="B306" s="20"/>
      <x:c r="C306" s="20"/>
      <x:c r="D306" s="20"/>
      <x:c r="E306" s="20"/>
      <x:c r="F306" s="20"/>
      <x:c r="G306" s="20" t="str">
        <x:f>IF(OR(E306="",F306=""),"",E306*F306)</x:f>
      </x:c>
      <x:c r="H306" s="20"/>
      <x:c r="I306" s="21"/>
      <x:c r="J306" s="20"/>
      <x:c r="K306" s="20"/>
      <x:c r="L306" s="20" t="str">
        <x:f>IF(F306="","",IF(F306=0,"Critical",IF(F306=1,"High",IF(F306=2,"Moderate",IF(F306=3,"Low","Effective")))))</x:f>
      </x:c>
      <x:c r="M306" s="20"/>
      <x:c r="N306" s="20"/>
      <x:c r="O306" s="21"/>
      <x:c r="P306" s="20"/>
    </x:row>
    <x:row r="307">
      <x:c r="A307" s="20"/>
      <x:c r="B307" s="20"/>
      <x:c r="C307" s="20"/>
      <x:c r="D307" s="20"/>
      <x:c r="E307" s="20"/>
      <x:c r="F307" s="20"/>
      <x:c r="G307" s="20" t="str">
        <x:f>IF(OR(E307="",F307=""),"",E307*F307)</x:f>
      </x:c>
      <x:c r="H307" s="20"/>
      <x:c r="I307" s="21"/>
      <x:c r="J307" s="20"/>
      <x:c r="K307" s="20"/>
      <x:c r="L307" s="20" t="str">
        <x:f>IF(F307="","",IF(F307=0,"Critical",IF(F307=1,"High",IF(F307=2,"Moderate",IF(F307=3,"Low","Effective")))))</x:f>
      </x:c>
      <x:c r="M307" s="20"/>
      <x:c r="N307" s="20"/>
      <x:c r="O307" s="21"/>
      <x:c r="P307" s="20"/>
    </x:row>
    <x:row r="308">
      <x:c r="A308" s="20"/>
      <x:c r="B308" s="20"/>
      <x:c r="C308" s="20"/>
      <x:c r="D308" s="20"/>
      <x:c r="E308" s="20"/>
      <x:c r="F308" s="20"/>
      <x:c r="G308" s="20" t="str">
        <x:f>IF(OR(E308="",F308=""),"",E308*F308)</x:f>
      </x:c>
      <x:c r="H308" s="20"/>
      <x:c r="I308" s="21"/>
      <x:c r="J308" s="20"/>
      <x:c r="K308" s="20"/>
      <x:c r="L308" s="20" t="str">
        <x:f>IF(F308="","",IF(F308=0,"Critical",IF(F308=1,"High",IF(F308=2,"Moderate",IF(F308=3,"Low","Effective")))))</x:f>
      </x:c>
      <x:c r="M308" s="20"/>
      <x:c r="N308" s="20"/>
      <x:c r="O308" s="21"/>
      <x:c r="P308" s="20"/>
    </x:row>
    <x:row r="309">
      <x:c r="A309" s="20"/>
      <x:c r="B309" s="20"/>
      <x:c r="C309" s="20"/>
      <x:c r="D309" s="20"/>
      <x:c r="E309" s="20"/>
      <x:c r="F309" s="20"/>
      <x:c r="G309" s="20" t="str">
        <x:f>IF(OR(E309="",F309=""),"",E309*F309)</x:f>
      </x:c>
      <x:c r="H309" s="20"/>
      <x:c r="I309" s="21"/>
      <x:c r="J309" s="20"/>
      <x:c r="K309" s="20"/>
      <x:c r="L309" s="20" t="str">
        <x:f>IF(F309="","",IF(F309=0,"Critical",IF(F309=1,"High",IF(F309=2,"Moderate",IF(F309=3,"Low","Effective")))))</x:f>
      </x:c>
      <x:c r="M309" s="20"/>
      <x:c r="N309" s="20"/>
      <x:c r="O309" s="21"/>
      <x:c r="P309" s="20"/>
    </x:row>
    <x:row r="310">
      <x:c r="A310" s="20"/>
      <x:c r="B310" s="20"/>
      <x:c r="C310" s="20"/>
      <x:c r="D310" s="20"/>
      <x:c r="E310" s="20"/>
      <x:c r="F310" s="20"/>
      <x:c r="G310" s="20" t="str">
        <x:f>IF(OR(E310="",F310=""),"",E310*F310)</x:f>
      </x:c>
      <x:c r="H310" s="20"/>
      <x:c r="I310" s="21"/>
      <x:c r="J310" s="20"/>
      <x:c r="K310" s="20"/>
      <x:c r="L310" s="20" t="str">
        <x:f>IF(F310="","",IF(F310=0,"Critical",IF(F310=1,"High",IF(F310=2,"Moderate",IF(F310=3,"Low","Effective")))))</x:f>
      </x:c>
      <x:c r="M310" s="20"/>
      <x:c r="N310" s="20"/>
      <x:c r="O310" s="21"/>
      <x:c r="P310" s="20"/>
    </x:row>
    <x:row r="311">
      <x:c r="A311" s="20"/>
      <x:c r="B311" s="20"/>
      <x:c r="C311" s="20"/>
      <x:c r="D311" s="20"/>
      <x:c r="E311" s="20"/>
      <x:c r="F311" s="20"/>
      <x:c r="G311" s="20" t="str">
        <x:f>IF(OR(E311="",F311=""),"",E311*F311)</x:f>
      </x:c>
      <x:c r="H311" s="20"/>
      <x:c r="I311" s="21"/>
      <x:c r="J311" s="20"/>
      <x:c r="K311" s="20"/>
      <x:c r="L311" s="20" t="str">
        <x:f>IF(F311="","",IF(F311=0,"Critical",IF(F311=1,"High",IF(F311=2,"Moderate",IF(F311=3,"Low","Effective")))))</x:f>
      </x:c>
      <x:c r="M311" s="20"/>
      <x:c r="N311" s="20"/>
      <x:c r="O311" s="21"/>
      <x:c r="P311" s="20"/>
    </x:row>
    <x:row r="312">
      <x:c r="A312" s="20"/>
      <x:c r="B312" s="20"/>
      <x:c r="C312" s="20"/>
      <x:c r="D312" s="20"/>
      <x:c r="E312" s="20"/>
      <x:c r="F312" s="20"/>
      <x:c r="G312" s="20" t="str">
        <x:f>IF(OR(E312="",F312=""),"",E312*F312)</x:f>
      </x:c>
      <x:c r="H312" s="20"/>
      <x:c r="I312" s="21"/>
      <x:c r="J312" s="20"/>
      <x:c r="K312" s="20"/>
      <x:c r="L312" s="20" t="str">
        <x:f>IF(F312="","",IF(F312=0,"Critical",IF(F312=1,"High",IF(F312=2,"Moderate",IF(F312=3,"Low","Effective")))))</x:f>
      </x:c>
      <x:c r="M312" s="20"/>
      <x:c r="N312" s="20"/>
      <x:c r="O312" s="21"/>
      <x:c r="P312" s="20"/>
    </x:row>
    <x:row r="313">
      <x:c r="A313" s="20"/>
      <x:c r="B313" s="20"/>
      <x:c r="C313" s="20"/>
      <x:c r="D313" s="20"/>
      <x:c r="E313" s="20"/>
      <x:c r="F313" s="20"/>
      <x:c r="G313" s="20" t="str">
        <x:f>IF(OR(E313="",F313=""),"",E313*F313)</x:f>
      </x:c>
      <x:c r="H313" s="20"/>
      <x:c r="I313" s="21"/>
      <x:c r="J313" s="20"/>
      <x:c r="K313" s="20"/>
      <x:c r="L313" s="20" t="str">
        <x:f>IF(F313="","",IF(F313=0,"Critical",IF(F313=1,"High",IF(F313=2,"Moderate",IF(F313=3,"Low","Effective")))))</x:f>
      </x:c>
      <x:c r="M313" s="20"/>
      <x:c r="N313" s="20"/>
      <x:c r="O313" s="21"/>
      <x:c r="P313" s="20"/>
    </x:row>
    <x:row r="314">
      <x:c r="A314" s="20"/>
      <x:c r="B314" s="20"/>
      <x:c r="C314" s="20"/>
      <x:c r="D314" s="20"/>
      <x:c r="E314" s="20"/>
      <x:c r="F314" s="20"/>
      <x:c r="G314" s="20" t="str">
        <x:f>IF(OR(E314="",F314=""),"",E314*F314)</x:f>
      </x:c>
      <x:c r="H314" s="20"/>
      <x:c r="I314" s="21"/>
      <x:c r="J314" s="20"/>
      <x:c r="K314" s="20"/>
      <x:c r="L314" s="20" t="str">
        <x:f>IF(F314="","",IF(F314=0,"Critical",IF(F314=1,"High",IF(F314=2,"Moderate",IF(F314=3,"Low","Effective")))))</x:f>
      </x:c>
      <x:c r="M314" s="20"/>
      <x:c r="N314" s="20"/>
      <x:c r="O314" s="21"/>
      <x:c r="P314" s="20"/>
    </x:row>
    <x:row r="315">
      <x:c r="A315" s="20"/>
      <x:c r="B315" s="20"/>
      <x:c r="C315" s="20"/>
      <x:c r="D315" s="20"/>
      <x:c r="E315" s="20"/>
      <x:c r="F315" s="20"/>
      <x:c r="G315" s="20" t="str">
        <x:f>IF(OR(E315="",F315=""),"",E315*F315)</x:f>
      </x:c>
      <x:c r="H315" s="20"/>
      <x:c r="I315" s="21"/>
      <x:c r="J315" s="20"/>
      <x:c r="K315" s="20"/>
      <x:c r="L315" s="20" t="str">
        <x:f>IF(F315="","",IF(F315=0,"Critical",IF(F315=1,"High",IF(F315=2,"Moderate",IF(F315=3,"Low","Effective")))))</x:f>
      </x:c>
      <x:c r="M315" s="20"/>
      <x:c r="N315" s="20"/>
      <x:c r="O315" s="21"/>
      <x:c r="P315" s="20"/>
    </x:row>
    <x:row r="316">
      <x:c r="A316" s="20"/>
      <x:c r="B316" s="20"/>
      <x:c r="C316" s="20"/>
      <x:c r="D316" s="20"/>
      <x:c r="E316" s="20"/>
      <x:c r="F316" s="20"/>
      <x:c r="G316" s="20" t="str">
        <x:f>IF(OR(E316="",F316=""),"",E316*F316)</x:f>
      </x:c>
      <x:c r="H316" s="20"/>
      <x:c r="I316" s="21"/>
      <x:c r="J316" s="20"/>
      <x:c r="K316" s="20"/>
      <x:c r="L316" s="20" t="str">
        <x:f>IF(F316="","",IF(F316=0,"Critical",IF(F316=1,"High",IF(F316=2,"Moderate",IF(F316=3,"Low","Effective")))))</x:f>
      </x:c>
      <x:c r="M316" s="20"/>
      <x:c r="N316" s="20"/>
      <x:c r="O316" s="21"/>
      <x:c r="P316" s="20"/>
    </x:row>
    <x:row r="317">
      <x:c r="A317" s="20"/>
      <x:c r="B317" s="20"/>
      <x:c r="C317" s="20"/>
      <x:c r="D317" s="20"/>
      <x:c r="E317" s="20"/>
      <x:c r="F317" s="20"/>
      <x:c r="G317" s="20" t="str">
        <x:f>IF(OR(E317="",F317=""),"",E317*F317)</x:f>
      </x:c>
      <x:c r="H317" s="20"/>
      <x:c r="I317" s="21"/>
      <x:c r="J317" s="20"/>
      <x:c r="K317" s="20"/>
      <x:c r="L317" s="20" t="str">
        <x:f>IF(F317="","",IF(F317=0,"Critical",IF(F317=1,"High",IF(F317=2,"Moderate",IF(F317=3,"Low","Effective")))))</x:f>
      </x:c>
      <x:c r="M317" s="20"/>
      <x:c r="N317" s="20"/>
      <x:c r="O317" s="21"/>
      <x:c r="P317" s="20"/>
    </x:row>
    <x:row r="318">
      <x:c r="A318" s="20"/>
      <x:c r="B318" s="20"/>
      <x:c r="C318" s="20"/>
      <x:c r="D318" s="20"/>
      <x:c r="E318" s="20"/>
      <x:c r="F318" s="20"/>
      <x:c r="G318" s="20" t="str">
        <x:f>IF(OR(E318="",F318=""),"",E318*F318)</x:f>
      </x:c>
      <x:c r="H318" s="20"/>
      <x:c r="I318" s="21"/>
      <x:c r="J318" s="20"/>
      <x:c r="K318" s="20"/>
      <x:c r="L318" s="20" t="str">
        <x:f>IF(F318="","",IF(F318=0,"Critical",IF(F318=1,"High",IF(F318=2,"Moderate",IF(F318=3,"Low","Effective")))))</x:f>
      </x:c>
      <x:c r="M318" s="20"/>
      <x:c r="N318" s="20"/>
      <x:c r="O318" s="21"/>
      <x:c r="P318" s="20"/>
    </x:row>
    <x:row r="319">
      <x:c r="A319" s="20"/>
      <x:c r="B319" s="20"/>
      <x:c r="C319" s="20"/>
      <x:c r="D319" s="20"/>
      <x:c r="E319" s="20"/>
      <x:c r="F319" s="20"/>
      <x:c r="G319" s="20" t="str">
        <x:f>IF(OR(E319="",F319=""),"",E319*F319)</x:f>
      </x:c>
      <x:c r="H319" s="20"/>
      <x:c r="I319" s="21"/>
      <x:c r="J319" s="20"/>
      <x:c r="K319" s="20"/>
      <x:c r="L319" s="20" t="str">
        <x:f>IF(F319="","",IF(F319=0,"Critical",IF(F319=1,"High",IF(F319=2,"Moderate",IF(F319=3,"Low","Effective")))))</x:f>
      </x:c>
      <x:c r="M319" s="20"/>
      <x:c r="N319" s="20"/>
      <x:c r="O319" s="21"/>
      <x:c r="P319" s="20"/>
    </x:row>
    <x:row r="320">
      <x:c r="A320" s="20"/>
      <x:c r="B320" s="20"/>
      <x:c r="C320" s="20"/>
      <x:c r="D320" s="20"/>
      <x:c r="E320" s="20"/>
      <x:c r="F320" s="20"/>
      <x:c r="G320" s="20" t="str">
        <x:f>IF(OR(E320="",F320=""),"",E320*F320)</x:f>
      </x:c>
      <x:c r="H320" s="20"/>
      <x:c r="I320" s="21"/>
      <x:c r="J320" s="20"/>
      <x:c r="K320" s="20"/>
      <x:c r="L320" s="20" t="str">
        <x:f>IF(F320="","",IF(F320=0,"Critical",IF(F320=1,"High",IF(F320=2,"Moderate",IF(F320=3,"Low","Effective")))))</x:f>
      </x:c>
      <x:c r="M320" s="20"/>
      <x:c r="N320" s="20"/>
      <x:c r="O320" s="21"/>
      <x:c r="P320" s="20"/>
    </x:row>
    <x:row r="321">
      <x:c r="A321" s="20"/>
      <x:c r="B321" s="20"/>
      <x:c r="C321" s="20"/>
      <x:c r="D321" s="20"/>
      <x:c r="E321" s="20"/>
      <x:c r="F321" s="20"/>
      <x:c r="G321" s="20" t="str">
        <x:f>IF(OR(E321="",F321=""),"",E321*F321)</x:f>
      </x:c>
      <x:c r="H321" s="20"/>
      <x:c r="I321" s="21"/>
      <x:c r="J321" s="20"/>
      <x:c r="K321" s="20"/>
      <x:c r="L321" s="20" t="str">
        <x:f>IF(F321="","",IF(F321=0,"Critical",IF(F321=1,"High",IF(F321=2,"Moderate",IF(F321=3,"Low","Effective")))))</x:f>
      </x:c>
      <x:c r="M321" s="20"/>
      <x:c r="N321" s="20"/>
      <x:c r="O321" s="21"/>
      <x:c r="P321" s="20"/>
    </x:row>
    <x:row r="322">
      <x:c r="A322" s="20"/>
      <x:c r="B322" s="20"/>
      <x:c r="C322" s="20"/>
      <x:c r="D322" s="20"/>
      <x:c r="E322" s="20"/>
      <x:c r="F322" s="20"/>
      <x:c r="G322" s="20" t="str">
        <x:f>IF(OR(E322="",F322=""),"",E322*F322)</x:f>
      </x:c>
      <x:c r="H322" s="20"/>
      <x:c r="I322" s="21"/>
      <x:c r="J322" s="20"/>
      <x:c r="K322" s="20"/>
      <x:c r="L322" s="20" t="str">
        <x:f>IF(F322="","",IF(F322=0,"Critical",IF(F322=1,"High",IF(F322=2,"Moderate",IF(F322=3,"Low","Effective")))))</x:f>
      </x:c>
      <x:c r="M322" s="20"/>
      <x:c r="N322" s="20"/>
      <x:c r="O322" s="21"/>
      <x:c r="P322" s="20"/>
    </x:row>
    <x:row r="323">
      <x:c r="A323" s="20"/>
      <x:c r="B323" s="20"/>
      <x:c r="C323" s="20"/>
      <x:c r="D323" s="20"/>
      <x:c r="E323" s="20"/>
      <x:c r="F323" s="20"/>
      <x:c r="G323" s="20" t="str">
        <x:f>IF(OR(E323="",F323=""),"",E323*F323)</x:f>
      </x:c>
      <x:c r="H323" s="20"/>
      <x:c r="I323" s="21"/>
      <x:c r="J323" s="20"/>
      <x:c r="K323" s="20"/>
      <x:c r="L323" s="20" t="str">
        <x:f>IF(F323="","",IF(F323=0,"Critical",IF(F323=1,"High",IF(F323=2,"Moderate",IF(F323=3,"Low","Effective")))))</x:f>
      </x:c>
      <x:c r="M323" s="20"/>
      <x:c r="N323" s="20"/>
      <x:c r="O323" s="21"/>
      <x:c r="P323" s="20"/>
    </x:row>
    <x:row r="324">
      <x:c r="A324" s="20"/>
      <x:c r="B324" s="20"/>
      <x:c r="C324" s="20"/>
      <x:c r="D324" s="20"/>
      <x:c r="E324" s="20"/>
      <x:c r="F324" s="20"/>
      <x:c r="G324" s="20" t="str">
        <x:f>IF(OR(E324="",F324=""),"",E324*F324)</x:f>
      </x:c>
      <x:c r="H324" s="20"/>
      <x:c r="I324" s="21"/>
      <x:c r="J324" s="20"/>
      <x:c r="K324" s="20"/>
      <x:c r="L324" s="20" t="str">
        <x:f>IF(F324="","",IF(F324=0,"Critical",IF(F324=1,"High",IF(F324=2,"Moderate",IF(F324=3,"Low","Effective")))))</x:f>
      </x:c>
      <x:c r="M324" s="20"/>
      <x:c r="N324" s="20"/>
      <x:c r="O324" s="21"/>
      <x:c r="P324" s="20"/>
    </x:row>
    <x:row r="325">
      <x:c r="A325" s="20"/>
      <x:c r="B325" s="20"/>
      <x:c r="C325" s="20"/>
      <x:c r="D325" s="20"/>
      <x:c r="E325" s="20"/>
      <x:c r="F325" s="20"/>
      <x:c r="G325" s="20" t="str">
        <x:f>IF(OR(E325="",F325=""),"",E325*F325)</x:f>
      </x:c>
      <x:c r="H325" s="20"/>
      <x:c r="I325" s="21"/>
      <x:c r="J325" s="20"/>
      <x:c r="K325" s="20"/>
      <x:c r="L325" s="20" t="str">
        <x:f>IF(F325="","",IF(F325=0,"Critical",IF(F325=1,"High",IF(F325=2,"Moderate",IF(F325=3,"Low","Effective")))))</x:f>
      </x:c>
      <x:c r="M325" s="20"/>
      <x:c r="N325" s="20"/>
      <x:c r="O325" s="21"/>
      <x:c r="P325" s="20"/>
    </x:row>
    <x:row r="326">
      <x:c r="A326" s="20"/>
      <x:c r="B326" s="20"/>
      <x:c r="C326" s="20"/>
      <x:c r="D326" s="20"/>
      <x:c r="E326" s="20"/>
      <x:c r="F326" s="20"/>
      <x:c r="G326" s="20" t="str">
        <x:f>IF(OR(E326="",F326=""),"",E326*F326)</x:f>
      </x:c>
      <x:c r="H326" s="20"/>
      <x:c r="I326" s="21"/>
      <x:c r="J326" s="20"/>
      <x:c r="K326" s="20"/>
      <x:c r="L326" s="20" t="str">
        <x:f>IF(F326="","",IF(F326=0,"Critical",IF(F326=1,"High",IF(F326=2,"Moderate",IF(F326=3,"Low","Effective")))))</x:f>
      </x:c>
      <x:c r="M326" s="20"/>
      <x:c r="N326" s="20"/>
      <x:c r="O326" s="21"/>
      <x:c r="P326" s="20"/>
    </x:row>
    <x:row r="327">
      <x:c r="A327" s="20"/>
      <x:c r="B327" s="20"/>
      <x:c r="C327" s="20"/>
      <x:c r="D327" s="20"/>
      <x:c r="E327" s="20"/>
      <x:c r="F327" s="20"/>
      <x:c r="G327" s="20" t="str">
        <x:f>IF(OR(E327="",F327=""),"",E327*F327)</x:f>
      </x:c>
      <x:c r="H327" s="20"/>
      <x:c r="I327" s="21"/>
      <x:c r="J327" s="20"/>
      <x:c r="K327" s="20"/>
      <x:c r="L327" s="20" t="str">
        <x:f>IF(F327="","",IF(F327=0,"Critical",IF(F327=1,"High",IF(F327=2,"Moderate",IF(F327=3,"Low","Effective")))))</x:f>
      </x:c>
      <x:c r="M327" s="20"/>
      <x:c r="N327" s="20"/>
      <x:c r="O327" s="21"/>
      <x:c r="P327" s="20"/>
    </x:row>
    <x:row r="328">
      <x:c r="A328" s="20"/>
      <x:c r="B328" s="20"/>
      <x:c r="C328" s="20"/>
      <x:c r="D328" s="20"/>
      <x:c r="E328" s="20"/>
      <x:c r="F328" s="20"/>
      <x:c r="G328" s="20" t="str">
        <x:f>IF(OR(E328="",F328=""),"",E328*F328)</x:f>
      </x:c>
      <x:c r="H328" s="20"/>
      <x:c r="I328" s="21"/>
      <x:c r="J328" s="20"/>
      <x:c r="K328" s="20"/>
      <x:c r="L328" s="20" t="str">
        <x:f>IF(F328="","",IF(F328=0,"Critical",IF(F328=1,"High",IF(F328=2,"Moderate",IF(F328=3,"Low","Effective")))))</x:f>
      </x:c>
      <x:c r="M328" s="20"/>
      <x:c r="N328" s="20"/>
      <x:c r="O328" s="21"/>
      <x:c r="P328" s="20"/>
    </x:row>
    <x:row r="329">
      <x:c r="A329" s="20"/>
      <x:c r="B329" s="20"/>
      <x:c r="C329" s="20"/>
      <x:c r="D329" s="20"/>
      <x:c r="E329" s="20"/>
      <x:c r="F329" s="20"/>
      <x:c r="G329" s="20" t="str">
        <x:f>IF(OR(E329="",F329=""),"",E329*F329)</x:f>
      </x:c>
      <x:c r="H329" s="20"/>
      <x:c r="I329" s="21"/>
      <x:c r="J329" s="20"/>
      <x:c r="K329" s="20"/>
      <x:c r="L329" s="20" t="str">
        <x:f>IF(F329="","",IF(F329=0,"Critical",IF(F329=1,"High",IF(F329=2,"Moderate",IF(F329=3,"Low","Effective")))))</x:f>
      </x:c>
      <x:c r="M329" s="20"/>
      <x:c r="N329" s="20"/>
      <x:c r="O329" s="21"/>
      <x:c r="P329" s="20"/>
    </x:row>
    <x:row r="330">
      <x:c r="A330" s="20"/>
      <x:c r="B330" s="20"/>
      <x:c r="C330" s="20"/>
      <x:c r="D330" s="20"/>
      <x:c r="E330" s="20"/>
      <x:c r="F330" s="20"/>
      <x:c r="G330" s="20" t="str">
        <x:f>IF(OR(E330="",F330=""),"",E330*F330)</x:f>
      </x:c>
      <x:c r="H330" s="20"/>
      <x:c r="I330" s="21"/>
      <x:c r="J330" s="20"/>
      <x:c r="K330" s="20"/>
      <x:c r="L330" s="20" t="str">
        <x:f>IF(F330="","",IF(F330=0,"Critical",IF(F330=1,"High",IF(F330=2,"Moderate",IF(F330=3,"Low","Effective")))))</x:f>
      </x:c>
      <x:c r="M330" s="20"/>
      <x:c r="N330" s="20"/>
      <x:c r="O330" s="21"/>
      <x:c r="P330" s="20"/>
    </x:row>
    <x:row r="331">
      <x:c r="A331" s="20"/>
      <x:c r="B331" s="20"/>
      <x:c r="C331" s="20"/>
      <x:c r="D331" s="20"/>
      <x:c r="E331" s="20"/>
      <x:c r="F331" s="20"/>
      <x:c r="G331" s="20" t="str">
        <x:f>IF(OR(E331="",F331=""),"",E331*F331)</x:f>
      </x:c>
      <x:c r="H331" s="20"/>
      <x:c r="I331" s="21"/>
      <x:c r="J331" s="20"/>
      <x:c r="K331" s="20"/>
      <x:c r="L331" s="20" t="str">
        <x:f>IF(F331="","",IF(F331=0,"Critical",IF(F331=1,"High",IF(F331=2,"Moderate",IF(F331=3,"Low","Effective")))))</x:f>
      </x:c>
      <x:c r="M331" s="20"/>
      <x:c r="N331" s="20"/>
      <x:c r="O331" s="21"/>
      <x:c r="P331" s="20"/>
    </x:row>
    <x:row r="332">
      <x:c r="A332" s="20"/>
      <x:c r="B332" s="20"/>
      <x:c r="C332" s="20"/>
      <x:c r="D332" s="20"/>
      <x:c r="E332" s="20"/>
      <x:c r="F332" s="20"/>
      <x:c r="G332" s="20" t="str">
        <x:f>IF(OR(E332="",F332=""),"",E332*F332)</x:f>
      </x:c>
      <x:c r="H332" s="20"/>
      <x:c r="I332" s="21"/>
      <x:c r="J332" s="20"/>
      <x:c r="K332" s="20"/>
      <x:c r="L332" s="20" t="str">
        <x:f>IF(F332="","",IF(F332=0,"Critical",IF(F332=1,"High",IF(F332=2,"Moderate",IF(F332=3,"Low","Effective")))))</x:f>
      </x:c>
      <x:c r="M332" s="20"/>
      <x:c r="N332" s="20"/>
      <x:c r="O332" s="21"/>
      <x:c r="P332" s="20"/>
    </x:row>
    <x:row r="333">
      <x:c r="A333" s="20"/>
      <x:c r="B333" s="20"/>
      <x:c r="C333" s="20"/>
      <x:c r="D333" s="20"/>
      <x:c r="E333" s="20"/>
      <x:c r="F333" s="20"/>
      <x:c r="G333" s="20" t="str">
        <x:f>IF(OR(E333="",F333=""),"",E333*F333)</x:f>
      </x:c>
      <x:c r="H333" s="20"/>
      <x:c r="I333" s="21"/>
      <x:c r="J333" s="20"/>
      <x:c r="K333" s="20"/>
      <x:c r="L333" s="20" t="str">
        <x:f>IF(F333="","",IF(F333=0,"Critical",IF(F333=1,"High",IF(F333=2,"Moderate",IF(F333=3,"Low","Effective")))))</x:f>
      </x:c>
      <x:c r="M333" s="20"/>
      <x:c r="N333" s="20"/>
      <x:c r="O333" s="21"/>
      <x:c r="P333" s="20"/>
    </x:row>
    <x:row r="334">
      <x:c r="A334" s="20"/>
      <x:c r="B334" s="20"/>
      <x:c r="C334" s="20"/>
      <x:c r="D334" s="20"/>
      <x:c r="E334" s="20"/>
      <x:c r="F334" s="20"/>
      <x:c r="G334" s="20" t="str">
        <x:f>IF(OR(E334="",F334=""),"",E334*F334)</x:f>
      </x:c>
      <x:c r="H334" s="20"/>
      <x:c r="I334" s="21"/>
      <x:c r="J334" s="20"/>
      <x:c r="K334" s="20"/>
      <x:c r="L334" s="20" t="str">
        <x:f>IF(F334="","",IF(F334=0,"Critical",IF(F334=1,"High",IF(F334=2,"Moderate",IF(F334=3,"Low","Effective")))))</x:f>
      </x:c>
      <x:c r="M334" s="20"/>
      <x:c r="N334" s="20"/>
      <x:c r="O334" s="21"/>
      <x:c r="P334" s="20"/>
    </x:row>
    <x:row r="335">
      <x:c r="A335" s="20"/>
      <x:c r="B335" s="20"/>
      <x:c r="C335" s="20"/>
      <x:c r="D335" s="20"/>
      <x:c r="E335" s="20"/>
      <x:c r="F335" s="20"/>
      <x:c r="G335" s="20" t="str">
        <x:f>IF(OR(E335="",F335=""),"",E335*F335)</x:f>
      </x:c>
      <x:c r="H335" s="20"/>
      <x:c r="I335" s="21"/>
      <x:c r="J335" s="20"/>
      <x:c r="K335" s="20"/>
      <x:c r="L335" s="20" t="str">
        <x:f>IF(F335="","",IF(F335=0,"Critical",IF(F335=1,"High",IF(F335=2,"Moderate",IF(F335=3,"Low","Effective")))))</x:f>
      </x:c>
      <x:c r="M335" s="20"/>
      <x:c r="N335" s="20"/>
      <x:c r="O335" s="21"/>
      <x:c r="P335" s="20"/>
    </x:row>
    <x:row r="336">
      <x:c r="A336" s="20"/>
      <x:c r="B336" s="20"/>
      <x:c r="C336" s="20"/>
      <x:c r="D336" s="20"/>
      <x:c r="E336" s="20"/>
      <x:c r="F336" s="20"/>
      <x:c r="G336" s="20" t="str">
        <x:f>IF(OR(E336="",F336=""),"",E336*F336)</x:f>
      </x:c>
      <x:c r="H336" s="20"/>
      <x:c r="I336" s="21"/>
      <x:c r="J336" s="20"/>
      <x:c r="K336" s="20"/>
      <x:c r="L336" s="20" t="str">
        <x:f>IF(F336="","",IF(F336=0,"Critical",IF(F336=1,"High",IF(F336=2,"Moderate",IF(F336=3,"Low","Effective")))))</x:f>
      </x:c>
      <x:c r="M336" s="20"/>
      <x:c r="N336" s="20"/>
      <x:c r="O336" s="21"/>
      <x:c r="P336" s="20"/>
    </x:row>
    <x:row r="337">
      <x:c r="A337" s="20"/>
      <x:c r="B337" s="20"/>
      <x:c r="C337" s="20"/>
      <x:c r="D337" s="20"/>
      <x:c r="E337" s="20"/>
      <x:c r="F337" s="20"/>
      <x:c r="G337" s="20" t="str">
        <x:f>IF(OR(E337="",F337=""),"",E337*F337)</x:f>
      </x:c>
      <x:c r="H337" s="20"/>
      <x:c r="I337" s="21"/>
      <x:c r="J337" s="20"/>
      <x:c r="K337" s="20"/>
      <x:c r="L337" s="20" t="str">
        <x:f>IF(F337="","",IF(F337=0,"Critical",IF(F337=1,"High",IF(F337=2,"Moderate",IF(F337=3,"Low","Effective")))))</x:f>
      </x:c>
      <x:c r="M337" s="20"/>
      <x:c r="N337" s="20"/>
      <x:c r="O337" s="21"/>
      <x:c r="P337" s="20"/>
    </x:row>
    <x:row r="338">
      <x:c r="A338" s="20"/>
      <x:c r="B338" s="20"/>
      <x:c r="C338" s="20"/>
      <x:c r="D338" s="20"/>
      <x:c r="E338" s="20"/>
      <x:c r="F338" s="20"/>
      <x:c r="G338" s="20" t="str">
        <x:f>IF(OR(E338="",F338=""),"",E338*F338)</x:f>
      </x:c>
      <x:c r="H338" s="20"/>
      <x:c r="I338" s="21"/>
      <x:c r="J338" s="20"/>
      <x:c r="K338" s="20"/>
      <x:c r="L338" s="20" t="str">
        <x:f>IF(F338="","",IF(F338=0,"Critical",IF(F338=1,"High",IF(F338=2,"Moderate",IF(F338=3,"Low","Effective")))))</x:f>
      </x:c>
      <x:c r="M338" s="20"/>
      <x:c r="N338" s="20"/>
      <x:c r="O338" s="21"/>
      <x:c r="P338" s="20"/>
    </x:row>
    <x:row r="339">
      <x:c r="A339" s="20"/>
      <x:c r="B339" s="20"/>
      <x:c r="C339" s="20"/>
      <x:c r="D339" s="20"/>
      <x:c r="E339" s="20"/>
      <x:c r="F339" s="20"/>
      <x:c r="G339" s="20" t="str">
        <x:f>IF(OR(E339="",F339=""),"",E339*F339)</x:f>
      </x:c>
      <x:c r="H339" s="20"/>
      <x:c r="I339" s="21"/>
      <x:c r="J339" s="20"/>
      <x:c r="K339" s="20"/>
      <x:c r="L339" s="20" t="str">
        <x:f>IF(F339="","",IF(F339=0,"Critical",IF(F339=1,"High",IF(F339=2,"Moderate",IF(F339=3,"Low","Effective")))))</x:f>
      </x:c>
      <x:c r="M339" s="20"/>
      <x:c r="N339" s="20"/>
      <x:c r="O339" s="21"/>
      <x:c r="P339" s="20"/>
    </x:row>
    <x:row r="340">
      <x:c r="A340" s="20"/>
      <x:c r="B340" s="20"/>
      <x:c r="C340" s="20"/>
      <x:c r="D340" s="20"/>
      <x:c r="E340" s="20"/>
      <x:c r="F340" s="20"/>
      <x:c r="G340" s="20" t="str">
        <x:f>IF(OR(E340="",F340=""),"",E340*F340)</x:f>
      </x:c>
      <x:c r="H340" s="20"/>
      <x:c r="I340" s="21"/>
      <x:c r="J340" s="20"/>
      <x:c r="K340" s="20"/>
      <x:c r="L340" s="20" t="str">
        <x:f>IF(F340="","",IF(F340=0,"Critical",IF(F340=1,"High",IF(F340=2,"Moderate",IF(F340=3,"Low","Effective")))))</x:f>
      </x:c>
      <x:c r="M340" s="20"/>
      <x:c r="N340" s="20"/>
      <x:c r="O340" s="21"/>
      <x:c r="P340" s="20"/>
    </x:row>
    <x:row r="341">
      <x:c r="A341" s="20"/>
      <x:c r="B341" s="20"/>
      <x:c r="C341" s="20"/>
      <x:c r="D341" s="20"/>
      <x:c r="E341" s="20"/>
      <x:c r="F341" s="20"/>
      <x:c r="G341" s="20" t="str">
        <x:f>IF(OR(E341="",F341=""),"",E341*F341)</x:f>
      </x:c>
      <x:c r="H341" s="20"/>
      <x:c r="I341" s="21"/>
      <x:c r="J341" s="20"/>
      <x:c r="K341" s="20"/>
      <x:c r="L341" s="20" t="str">
        <x:f>IF(F341="","",IF(F341=0,"Critical",IF(F341=1,"High",IF(F341=2,"Moderate",IF(F341=3,"Low","Effective")))))</x:f>
      </x:c>
      <x:c r="M341" s="20"/>
      <x:c r="N341" s="20"/>
      <x:c r="O341" s="21"/>
      <x:c r="P341" s="20"/>
    </x:row>
    <x:row r="342">
      <x:c r="A342" s="20"/>
      <x:c r="B342" s="20"/>
      <x:c r="C342" s="20"/>
      <x:c r="D342" s="20"/>
      <x:c r="E342" s="20"/>
      <x:c r="F342" s="20"/>
      <x:c r="G342" s="20" t="str">
        <x:f>IF(OR(E342="",F342=""),"",E342*F342)</x:f>
      </x:c>
      <x:c r="H342" s="20"/>
      <x:c r="I342" s="21"/>
      <x:c r="J342" s="20"/>
      <x:c r="K342" s="20"/>
      <x:c r="L342" s="20" t="str">
        <x:f>IF(F342="","",IF(F342=0,"Critical",IF(F342=1,"High",IF(F342=2,"Moderate",IF(F342=3,"Low","Effective")))))</x:f>
      </x:c>
      <x:c r="M342" s="20"/>
      <x:c r="N342" s="20"/>
      <x:c r="O342" s="21"/>
      <x:c r="P342" s="20"/>
    </x:row>
    <x:row r="343">
      <x:c r="A343" s="20"/>
      <x:c r="B343" s="20"/>
      <x:c r="C343" s="20"/>
      <x:c r="D343" s="20"/>
      <x:c r="E343" s="20"/>
      <x:c r="F343" s="20"/>
      <x:c r="G343" s="20" t="str">
        <x:f>IF(OR(E343="",F343=""),"",E343*F343)</x:f>
      </x:c>
      <x:c r="H343" s="20"/>
      <x:c r="I343" s="21"/>
      <x:c r="J343" s="20"/>
      <x:c r="K343" s="20"/>
      <x:c r="L343" s="20" t="str">
        <x:f>IF(F343="","",IF(F343=0,"Critical",IF(F343=1,"High",IF(F343=2,"Moderate",IF(F343=3,"Low","Effective")))))</x:f>
      </x:c>
      <x:c r="M343" s="20"/>
      <x:c r="N343" s="20"/>
      <x:c r="O343" s="21"/>
      <x:c r="P343" s="20"/>
    </x:row>
    <x:row r="344">
      <x:c r="A344" s="20"/>
      <x:c r="B344" s="20"/>
      <x:c r="C344" s="20"/>
      <x:c r="D344" s="20"/>
      <x:c r="E344" s="20"/>
      <x:c r="F344" s="20"/>
      <x:c r="G344" s="20" t="str">
        <x:f>IF(OR(E344="",F344=""),"",E344*F344)</x:f>
      </x:c>
      <x:c r="H344" s="20"/>
      <x:c r="I344" s="21"/>
      <x:c r="J344" s="20"/>
      <x:c r="K344" s="20"/>
      <x:c r="L344" s="20" t="str">
        <x:f>IF(F344="","",IF(F344=0,"Critical",IF(F344=1,"High",IF(F344=2,"Moderate",IF(F344=3,"Low","Effective")))))</x:f>
      </x:c>
      <x:c r="M344" s="20"/>
      <x:c r="N344" s="20"/>
      <x:c r="O344" s="21"/>
      <x:c r="P344" s="20"/>
    </x:row>
    <x:row r="345">
      <x:c r="A345" s="20"/>
      <x:c r="B345" s="20"/>
      <x:c r="C345" s="20"/>
      <x:c r="D345" s="20"/>
      <x:c r="E345" s="20"/>
      <x:c r="F345" s="20"/>
      <x:c r="G345" s="20" t="str">
        <x:f>IF(OR(E345="",F345=""),"",E345*F345)</x:f>
      </x:c>
      <x:c r="H345" s="20"/>
      <x:c r="I345" s="21"/>
      <x:c r="J345" s="20"/>
      <x:c r="K345" s="20"/>
      <x:c r="L345" s="20" t="str">
        <x:f>IF(F345="","",IF(F345=0,"Critical",IF(F345=1,"High",IF(F345=2,"Moderate",IF(F345=3,"Low","Effective")))))</x:f>
      </x:c>
      <x:c r="M345" s="20"/>
      <x:c r="N345" s="20"/>
      <x:c r="O345" s="21"/>
      <x:c r="P345" s="20"/>
    </x:row>
    <x:row r="346">
      <x:c r="A346" s="20"/>
      <x:c r="B346" s="20"/>
      <x:c r="C346" s="20"/>
      <x:c r="D346" s="20"/>
      <x:c r="E346" s="20"/>
      <x:c r="F346" s="20"/>
      <x:c r="G346" s="20" t="str">
        <x:f>IF(OR(E346="",F346=""),"",E346*F346)</x:f>
      </x:c>
      <x:c r="H346" s="20"/>
      <x:c r="I346" s="21"/>
      <x:c r="J346" s="20"/>
      <x:c r="K346" s="20"/>
      <x:c r="L346" s="20" t="str">
        <x:f>IF(F346="","",IF(F346=0,"Critical",IF(F346=1,"High",IF(F346=2,"Moderate",IF(F346=3,"Low","Effective")))))</x:f>
      </x:c>
      <x:c r="M346" s="20"/>
      <x:c r="N346" s="20"/>
      <x:c r="O346" s="21"/>
      <x:c r="P346" s="20"/>
    </x:row>
    <x:row r="347">
      <x:c r="A347" s="20"/>
      <x:c r="B347" s="20"/>
      <x:c r="C347" s="20"/>
      <x:c r="D347" s="20"/>
      <x:c r="E347" s="20"/>
      <x:c r="F347" s="20"/>
      <x:c r="G347" s="20" t="str">
        <x:f>IF(OR(E347="",F347=""),"",E347*F347)</x:f>
      </x:c>
      <x:c r="H347" s="20"/>
      <x:c r="I347" s="21"/>
      <x:c r="J347" s="20"/>
      <x:c r="K347" s="20"/>
      <x:c r="L347" s="20" t="str">
        <x:f>IF(F347="","",IF(F347=0,"Critical",IF(F347=1,"High",IF(F347=2,"Moderate",IF(F347=3,"Low","Effective")))))</x:f>
      </x:c>
      <x:c r="M347" s="20"/>
      <x:c r="N347" s="20"/>
      <x:c r="O347" s="21"/>
      <x:c r="P347" s="20"/>
    </x:row>
    <x:row r="348">
      <x:c r="A348" s="20"/>
      <x:c r="B348" s="20"/>
      <x:c r="C348" s="20"/>
      <x:c r="D348" s="20"/>
      <x:c r="E348" s="20"/>
      <x:c r="F348" s="20"/>
      <x:c r="G348" s="20" t="str">
        <x:f>IF(OR(E348="",F348=""),"",E348*F348)</x:f>
      </x:c>
      <x:c r="H348" s="20"/>
      <x:c r="I348" s="21"/>
      <x:c r="J348" s="20"/>
      <x:c r="K348" s="20"/>
      <x:c r="L348" s="20" t="str">
        <x:f>IF(F348="","",IF(F348=0,"Critical",IF(F348=1,"High",IF(F348=2,"Moderate",IF(F348=3,"Low","Effective")))))</x:f>
      </x:c>
      <x:c r="M348" s="20"/>
      <x:c r="N348" s="20"/>
      <x:c r="O348" s="21"/>
      <x:c r="P348" s="20"/>
    </x:row>
    <x:row r="349">
      <x:c r="A349" s="20"/>
      <x:c r="B349" s="20"/>
      <x:c r="C349" s="20"/>
      <x:c r="D349" s="20"/>
      <x:c r="E349" s="20"/>
      <x:c r="F349" s="20"/>
      <x:c r="G349" s="20" t="str">
        <x:f>IF(OR(E349="",F349=""),"",E349*F349)</x:f>
      </x:c>
      <x:c r="H349" s="20"/>
      <x:c r="I349" s="21"/>
      <x:c r="J349" s="20"/>
      <x:c r="K349" s="20"/>
      <x:c r="L349" s="20" t="str">
        <x:f>IF(F349="","",IF(F349=0,"Critical",IF(F349=1,"High",IF(F349=2,"Moderate",IF(F349=3,"Low","Effective")))))</x:f>
      </x:c>
      <x:c r="M349" s="20"/>
      <x:c r="N349" s="20"/>
      <x:c r="O349" s="21"/>
      <x:c r="P349" s="20"/>
    </x:row>
    <x:row r="350">
      <x:c r="A350" s="20"/>
      <x:c r="B350" s="20"/>
      <x:c r="C350" s="20"/>
      <x:c r="D350" s="20"/>
      <x:c r="E350" s="20"/>
      <x:c r="F350" s="20"/>
      <x:c r="G350" s="20" t="str">
        <x:f>IF(OR(E350="",F350=""),"",E350*F350)</x:f>
      </x:c>
      <x:c r="H350" s="20"/>
      <x:c r="I350" s="21"/>
      <x:c r="J350" s="20"/>
      <x:c r="K350" s="20"/>
      <x:c r="L350" s="20" t="str">
        <x:f>IF(F350="","",IF(F350=0,"Critical",IF(F350=1,"High",IF(F350=2,"Moderate",IF(F350=3,"Low","Effective")))))</x:f>
      </x:c>
      <x:c r="M350" s="20"/>
      <x:c r="N350" s="20"/>
      <x:c r="O350" s="21"/>
      <x:c r="P350" s="20"/>
    </x:row>
    <x:row r="351">
      <x:c r="A351" s="20"/>
      <x:c r="B351" s="20"/>
      <x:c r="C351" s="20"/>
      <x:c r="D351" s="20"/>
      <x:c r="E351" s="20"/>
      <x:c r="F351" s="20"/>
      <x:c r="G351" s="20" t="str">
        <x:f>IF(OR(E351="",F351=""),"",E351*F351)</x:f>
      </x:c>
      <x:c r="H351" s="20"/>
      <x:c r="I351" s="21"/>
      <x:c r="J351" s="20"/>
      <x:c r="K351" s="20"/>
      <x:c r="L351" s="20" t="str">
        <x:f>IF(F351="","",IF(F351=0,"Critical",IF(F351=1,"High",IF(F351=2,"Moderate",IF(F351=3,"Low","Effective")))))</x:f>
      </x:c>
      <x:c r="M351" s="20"/>
      <x:c r="N351" s="20"/>
      <x:c r="O351" s="21"/>
      <x:c r="P351" s="20"/>
    </x:row>
    <x:row r="352">
      <x:c r="A352" s="20"/>
      <x:c r="B352" s="20"/>
      <x:c r="C352" s="20"/>
      <x:c r="D352" s="20"/>
      <x:c r="E352" s="20"/>
      <x:c r="F352" s="20"/>
      <x:c r="G352" s="20" t="str">
        <x:f>IF(OR(E352="",F352=""),"",E352*F352)</x:f>
      </x:c>
      <x:c r="H352" s="20"/>
      <x:c r="I352" s="21"/>
      <x:c r="J352" s="20"/>
      <x:c r="K352" s="20"/>
      <x:c r="L352" s="20" t="str">
        <x:f>IF(F352="","",IF(F352=0,"Critical",IF(F352=1,"High",IF(F352=2,"Moderate",IF(F352=3,"Low","Effective")))))</x:f>
      </x:c>
      <x:c r="M352" s="20"/>
      <x:c r="N352" s="20"/>
      <x:c r="O352" s="21"/>
      <x:c r="P352" s="20"/>
    </x:row>
    <x:row r="353">
      <x:c r="A353" s="20"/>
      <x:c r="B353" s="20"/>
      <x:c r="C353" s="20"/>
      <x:c r="D353" s="20"/>
      <x:c r="E353" s="20"/>
      <x:c r="F353" s="20"/>
      <x:c r="G353" s="20" t="str">
        <x:f>IF(OR(E353="",F353=""),"",E353*F353)</x:f>
      </x:c>
      <x:c r="H353" s="20"/>
      <x:c r="I353" s="21"/>
      <x:c r="J353" s="20"/>
      <x:c r="K353" s="20"/>
      <x:c r="L353" s="20" t="str">
        <x:f>IF(F353="","",IF(F353=0,"Critical",IF(F353=1,"High",IF(F353=2,"Moderate",IF(F353=3,"Low","Effective")))))</x:f>
      </x:c>
      <x:c r="M353" s="20"/>
      <x:c r="N353" s="20"/>
      <x:c r="O353" s="21"/>
      <x:c r="P353" s="20"/>
    </x:row>
    <x:row r="354">
      <x:c r="A354" s="20"/>
      <x:c r="B354" s="20"/>
      <x:c r="C354" s="20"/>
      <x:c r="D354" s="20"/>
      <x:c r="E354" s="20"/>
      <x:c r="F354" s="20"/>
      <x:c r="G354" s="20" t="str">
        <x:f>IF(OR(E354="",F354=""),"",E354*F354)</x:f>
      </x:c>
      <x:c r="H354" s="20"/>
      <x:c r="I354" s="21"/>
      <x:c r="J354" s="20"/>
      <x:c r="K354" s="20"/>
      <x:c r="L354" s="20" t="str">
        <x:f>IF(F354="","",IF(F354=0,"Critical",IF(F354=1,"High",IF(F354=2,"Moderate",IF(F354=3,"Low","Effective")))))</x:f>
      </x:c>
      <x:c r="M354" s="20"/>
      <x:c r="N354" s="20"/>
      <x:c r="O354" s="21"/>
      <x:c r="P354" s="20"/>
    </x:row>
    <x:row r="355">
      <x:c r="A355" s="20"/>
      <x:c r="B355" s="20"/>
      <x:c r="C355" s="20"/>
      <x:c r="D355" s="20"/>
      <x:c r="E355" s="20"/>
      <x:c r="F355" s="20"/>
      <x:c r="G355" s="20" t="str">
        <x:f>IF(OR(E355="",F355=""),"",E355*F355)</x:f>
      </x:c>
      <x:c r="H355" s="20"/>
      <x:c r="I355" s="21"/>
      <x:c r="J355" s="20"/>
      <x:c r="K355" s="20"/>
      <x:c r="L355" s="20" t="str">
        <x:f>IF(F355="","",IF(F355=0,"Critical",IF(F355=1,"High",IF(F355=2,"Moderate",IF(F355=3,"Low","Effective")))))</x:f>
      </x:c>
      <x:c r="M355" s="20"/>
      <x:c r="N355" s="20"/>
      <x:c r="O355" s="21"/>
      <x:c r="P355" s="20"/>
    </x:row>
    <x:row r="356">
      <x:c r="A356" s="20"/>
      <x:c r="B356" s="20"/>
      <x:c r="C356" s="20"/>
      <x:c r="D356" s="20"/>
      <x:c r="E356" s="20"/>
      <x:c r="F356" s="20"/>
      <x:c r="G356" s="20" t="str">
        <x:f>IF(OR(E356="",F356=""),"",E356*F356)</x:f>
      </x:c>
      <x:c r="H356" s="20"/>
      <x:c r="I356" s="21"/>
      <x:c r="J356" s="20"/>
      <x:c r="K356" s="20"/>
      <x:c r="L356" s="20" t="str">
        <x:f>IF(F356="","",IF(F356=0,"Critical",IF(F356=1,"High",IF(F356=2,"Moderate",IF(F356=3,"Low","Effective")))))</x:f>
      </x:c>
      <x:c r="M356" s="20"/>
      <x:c r="N356" s="20"/>
      <x:c r="O356" s="21"/>
      <x:c r="P356" s="20"/>
    </x:row>
    <x:row r="357">
      <x:c r="A357" s="20"/>
      <x:c r="B357" s="20"/>
      <x:c r="C357" s="20"/>
      <x:c r="D357" s="20"/>
      <x:c r="E357" s="20"/>
      <x:c r="F357" s="20"/>
      <x:c r="G357" s="20" t="str">
        <x:f>IF(OR(E357="",F357=""),"",E357*F357)</x:f>
      </x:c>
      <x:c r="H357" s="20"/>
      <x:c r="I357" s="21"/>
      <x:c r="J357" s="20"/>
      <x:c r="K357" s="20"/>
      <x:c r="L357" s="20" t="str">
        <x:f>IF(F357="","",IF(F357=0,"Critical",IF(F357=1,"High",IF(F357=2,"Moderate",IF(F357=3,"Low","Effective")))))</x:f>
      </x:c>
      <x:c r="M357" s="20"/>
      <x:c r="N357" s="20"/>
      <x:c r="O357" s="21"/>
      <x:c r="P357" s="20"/>
    </x:row>
    <x:row r="358">
      <x:c r="A358" s="20"/>
      <x:c r="B358" s="20"/>
      <x:c r="C358" s="20"/>
      <x:c r="D358" s="20"/>
      <x:c r="E358" s="20"/>
      <x:c r="F358" s="20"/>
      <x:c r="G358" s="20" t="str">
        <x:f>IF(OR(E358="",F358=""),"",E358*F358)</x:f>
      </x:c>
      <x:c r="H358" s="20"/>
      <x:c r="I358" s="21"/>
      <x:c r="J358" s="20"/>
      <x:c r="K358" s="20"/>
      <x:c r="L358" s="20" t="str">
        <x:f>IF(F358="","",IF(F358=0,"Critical",IF(F358=1,"High",IF(F358=2,"Moderate",IF(F358=3,"Low","Effective")))))</x:f>
      </x:c>
      <x:c r="M358" s="20"/>
      <x:c r="N358" s="20"/>
      <x:c r="O358" s="21"/>
      <x:c r="P358" s="20"/>
    </x:row>
    <x:row r="359">
      <x:c r="A359" s="20"/>
      <x:c r="B359" s="20"/>
      <x:c r="C359" s="20"/>
      <x:c r="D359" s="20"/>
      <x:c r="E359" s="20"/>
      <x:c r="F359" s="20"/>
      <x:c r="G359" s="20" t="str">
        <x:f>IF(OR(E359="",F359=""),"",E359*F359)</x:f>
      </x:c>
      <x:c r="H359" s="20"/>
      <x:c r="I359" s="21"/>
      <x:c r="J359" s="20"/>
      <x:c r="K359" s="20"/>
      <x:c r="L359" s="20" t="str">
        <x:f>IF(F359="","",IF(F359=0,"Critical",IF(F359=1,"High",IF(F359=2,"Moderate",IF(F359=3,"Low","Effective")))))</x:f>
      </x:c>
      <x:c r="M359" s="20"/>
      <x:c r="N359" s="20"/>
      <x:c r="O359" s="21"/>
      <x:c r="P359" s="20"/>
    </x:row>
    <x:row r="360">
      <x:c r="A360" s="20"/>
      <x:c r="B360" s="20"/>
      <x:c r="C360" s="20"/>
      <x:c r="D360" s="20"/>
      <x:c r="E360" s="20"/>
      <x:c r="F360" s="20"/>
      <x:c r="G360" s="20" t="str">
        <x:f>IF(OR(E360="",F360=""),"",E360*F360)</x:f>
      </x:c>
      <x:c r="H360" s="20"/>
      <x:c r="I360" s="21"/>
      <x:c r="J360" s="20"/>
      <x:c r="K360" s="20"/>
      <x:c r="L360" s="20" t="str">
        <x:f>IF(F360="","",IF(F360=0,"Critical",IF(F360=1,"High",IF(F360=2,"Moderate",IF(F360=3,"Low","Effective")))))</x:f>
      </x:c>
      <x:c r="M360" s="20"/>
      <x:c r="N360" s="20"/>
      <x:c r="O360" s="21"/>
      <x:c r="P360" s="20"/>
    </x:row>
    <x:row r="361">
      <x:c r="A361" s="20"/>
      <x:c r="B361" s="20"/>
      <x:c r="C361" s="20"/>
      <x:c r="D361" s="20"/>
      <x:c r="E361" s="20"/>
      <x:c r="F361" s="20"/>
      <x:c r="G361" s="20" t="str">
        <x:f>IF(OR(E361="",F361=""),"",E361*F361)</x:f>
      </x:c>
      <x:c r="H361" s="20"/>
      <x:c r="I361" s="21"/>
      <x:c r="J361" s="20"/>
      <x:c r="K361" s="20"/>
      <x:c r="L361" s="20" t="str">
        <x:f>IF(F361="","",IF(F361=0,"Critical",IF(F361=1,"High",IF(F361=2,"Moderate",IF(F361=3,"Low","Effective")))))</x:f>
      </x:c>
      <x:c r="M361" s="20"/>
      <x:c r="N361" s="20"/>
      <x:c r="O361" s="21"/>
      <x:c r="P361" s="20"/>
    </x:row>
    <x:row r="362">
      <x:c r="A362" s="20"/>
      <x:c r="B362" s="20"/>
      <x:c r="C362" s="20"/>
      <x:c r="D362" s="20"/>
      <x:c r="E362" s="20"/>
      <x:c r="F362" s="20"/>
      <x:c r="G362" s="20" t="str">
        <x:f>IF(OR(E362="",F362=""),"",E362*F362)</x:f>
      </x:c>
      <x:c r="H362" s="20"/>
      <x:c r="I362" s="21"/>
      <x:c r="J362" s="20"/>
      <x:c r="K362" s="20"/>
      <x:c r="L362" s="20" t="str">
        <x:f>IF(F362="","",IF(F362=0,"Critical",IF(F362=1,"High",IF(F362=2,"Moderate",IF(F362=3,"Low","Effective")))))</x:f>
      </x:c>
      <x:c r="M362" s="20"/>
      <x:c r="N362" s="20"/>
      <x:c r="O362" s="21"/>
      <x:c r="P362" s="20"/>
    </x:row>
    <x:row r="363">
      <x:c r="A363" s="20"/>
      <x:c r="B363" s="20"/>
      <x:c r="C363" s="20"/>
      <x:c r="D363" s="20"/>
      <x:c r="E363" s="20"/>
      <x:c r="F363" s="20"/>
      <x:c r="G363" s="20" t="str">
        <x:f>IF(OR(E363="",F363=""),"",E363*F363)</x:f>
      </x:c>
      <x:c r="H363" s="20"/>
      <x:c r="I363" s="21"/>
      <x:c r="J363" s="20"/>
      <x:c r="K363" s="20"/>
      <x:c r="L363" s="20" t="str">
        <x:f>IF(F363="","",IF(F363=0,"Critical",IF(F363=1,"High",IF(F363=2,"Moderate",IF(F363=3,"Low","Effective")))))</x:f>
      </x:c>
      <x:c r="M363" s="20"/>
      <x:c r="N363" s="20"/>
      <x:c r="O363" s="21"/>
      <x:c r="P363" s="20"/>
    </x:row>
    <x:row r="364">
      <x:c r="A364" s="20"/>
      <x:c r="B364" s="20"/>
      <x:c r="C364" s="20"/>
      <x:c r="D364" s="20"/>
      <x:c r="E364" s="20"/>
      <x:c r="F364" s="20"/>
      <x:c r="G364" s="20" t="str">
        <x:f>IF(OR(E364="",F364=""),"",E364*F364)</x:f>
      </x:c>
      <x:c r="H364" s="20"/>
      <x:c r="I364" s="21"/>
      <x:c r="J364" s="20"/>
      <x:c r="K364" s="20"/>
      <x:c r="L364" s="20" t="str">
        <x:f>IF(F364="","",IF(F364=0,"Critical",IF(F364=1,"High",IF(F364=2,"Moderate",IF(F364=3,"Low","Effective")))))</x:f>
      </x:c>
      <x:c r="M364" s="20"/>
      <x:c r="N364" s="20"/>
      <x:c r="O364" s="21"/>
      <x:c r="P364" s="20"/>
    </x:row>
    <x:row r="365">
      <x:c r="A365" s="20"/>
      <x:c r="B365" s="20"/>
      <x:c r="C365" s="20"/>
      <x:c r="D365" s="20"/>
      <x:c r="E365" s="20"/>
      <x:c r="F365" s="20"/>
      <x:c r="G365" s="20" t="str">
        <x:f>IF(OR(E365="",F365=""),"",E365*F365)</x:f>
      </x:c>
      <x:c r="H365" s="20"/>
      <x:c r="I365" s="21"/>
      <x:c r="J365" s="20"/>
      <x:c r="K365" s="20"/>
      <x:c r="L365" s="20" t="str">
        <x:f>IF(F365="","",IF(F365=0,"Critical",IF(F365=1,"High",IF(F365=2,"Moderate",IF(F365=3,"Low","Effective")))))</x:f>
      </x:c>
      <x:c r="M365" s="20"/>
      <x:c r="N365" s="20"/>
      <x:c r="O365" s="21"/>
      <x:c r="P365" s="20"/>
    </x:row>
    <x:row r="366">
      <x:c r="A366" s="20"/>
      <x:c r="B366" s="20"/>
      <x:c r="C366" s="20"/>
      <x:c r="D366" s="20"/>
      <x:c r="E366" s="20"/>
      <x:c r="F366" s="20"/>
      <x:c r="G366" s="20" t="str">
        <x:f>IF(OR(E366="",F366=""),"",E366*F366)</x:f>
      </x:c>
      <x:c r="H366" s="20"/>
      <x:c r="I366" s="21"/>
      <x:c r="J366" s="20"/>
      <x:c r="K366" s="20"/>
      <x:c r="L366" s="20" t="str">
        <x:f>IF(F366="","",IF(F366=0,"Critical",IF(F366=1,"High",IF(F366=2,"Moderate",IF(F366=3,"Low","Effective")))))</x:f>
      </x:c>
      <x:c r="M366" s="20"/>
      <x:c r="N366" s="20"/>
      <x:c r="O366" s="21"/>
      <x:c r="P366" s="20"/>
    </x:row>
    <x:row r="367">
      <x:c r="A367" s="20"/>
      <x:c r="B367" s="20"/>
      <x:c r="C367" s="20"/>
      <x:c r="D367" s="20"/>
      <x:c r="E367" s="20"/>
      <x:c r="F367" s="20"/>
      <x:c r="G367" s="20" t="str">
        <x:f>IF(OR(E367="",F367=""),"",E367*F367)</x:f>
      </x:c>
      <x:c r="H367" s="20"/>
      <x:c r="I367" s="21"/>
      <x:c r="J367" s="20"/>
      <x:c r="K367" s="20"/>
      <x:c r="L367" s="20" t="str">
        <x:f>IF(F367="","",IF(F367=0,"Critical",IF(F367=1,"High",IF(F367=2,"Moderate",IF(F367=3,"Low","Effective")))))</x:f>
      </x:c>
      <x:c r="M367" s="20"/>
      <x:c r="N367" s="20"/>
      <x:c r="O367" s="21"/>
      <x:c r="P367" s="20"/>
    </x:row>
    <x:row r="368">
      <x:c r="A368" s="20"/>
      <x:c r="B368" s="20"/>
      <x:c r="C368" s="20"/>
      <x:c r="D368" s="20"/>
      <x:c r="E368" s="20"/>
      <x:c r="F368" s="20"/>
      <x:c r="G368" s="20" t="str">
        <x:f>IF(OR(E368="",F368=""),"",E368*F368)</x:f>
      </x:c>
      <x:c r="H368" s="20"/>
      <x:c r="I368" s="21"/>
      <x:c r="J368" s="20"/>
      <x:c r="K368" s="20"/>
      <x:c r="L368" s="20" t="str">
        <x:f>IF(F368="","",IF(F368=0,"Critical",IF(F368=1,"High",IF(F368=2,"Moderate",IF(F368=3,"Low","Effective")))))</x:f>
      </x:c>
      <x:c r="M368" s="20"/>
      <x:c r="N368" s="20"/>
      <x:c r="O368" s="21"/>
      <x:c r="P368" s="20"/>
    </x:row>
    <x:row r="369">
      <x:c r="A369" s="20"/>
      <x:c r="B369" s="20"/>
      <x:c r="C369" s="20"/>
      <x:c r="D369" s="20"/>
      <x:c r="E369" s="20"/>
      <x:c r="F369" s="20"/>
      <x:c r="G369" s="20" t="str">
        <x:f>IF(OR(E369="",F369=""),"",E369*F369)</x:f>
      </x:c>
      <x:c r="H369" s="20"/>
      <x:c r="I369" s="21"/>
      <x:c r="J369" s="20"/>
      <x:c r="K369" s="20"/>
      <x:c r="L369" s="20" t="str">
        <x:f>IF(F369="","",IF(F369=0,"Critical",IF(F369=1,"High",IF(F369=2,"Moderate",IF(F369=3,"Low","Effective")))))</x:f>
      </x:c>
      <x:c r="M369" s="20"/>
      <x:c r="N369" s="20"/>
      <x:c r="O369" s="21"/>
      <x:c r="P369" s="20"/>
    </x:row>
    <x:row r="370">
      <x:c r="A370" s="20"/>
      <x:c r="B370" s="20"/>
      <x:c r="C370" s="20"/>
      <x:c r="D370" s="20"/>
      <x:c r="E370" s="20"/>
      <x:c r="F370" s="20"/>
      <x:c r="G370" s="20" t="str">
        <x:f>IF(OR(E370="",F370=""),"",E370*F370)</x:f>
      </x:c>
      <x:c r="H370" s="20"/>
      <x:c r="I370" s="21"/>
      <x:c r="J370" s="20"/>
      <x:c r="K370" s="20"/>
      <x:c r="L370" s="20" t="str">
        <x:f>IF(F370="","",IF(F370=0,"Critical",IF(F370=1,"High",IF(F370=2,"Moderate",IF(F370=3,"Low","Effective")))))</x:f>
      </x:c>
      <x:c r="M370" s="20"/>
      <x:c r="N370" s="20"/>
      <x:c r="O370" s="21"/>
      <x:c r="P370" s="20"/>
    </x:row>
    <x:row r="371">
      <x:c r="A371" s="20"/>
      <x:c r="B371" s="20"/>
      <x:c r="C371" s="20"/>
      <x:c r="D371" s="20"/>
      <x:c r="E371" s="20"/>
      <x:c r="F371" s="20"/>
      <x:c r="G371" s="20" t="str">
        <x:f>IF(OR(E371="",F371=""),"",E371*F371)</x:f>
      </x:c>
      <x:c r="H371" s="20"/>
      <x:c r="I371" s="21"/>
      <x:c r="J371" s="20"/>
      <x:c r="K371" s="20"/>
      <x:c r="L371" s="20" t="str">
        <x:f>IF(F371="","",IF(F371=0,"Critical",IF(F371=1,"High",IF(F371=2,"Moderate",IF(F371=3,"Low","Effective")))))</x:f>
      </x:c>
      <x:c r="M371" s="20"/>
      <x:c r="N371" s="20"/>
      <x:c r="O371" s="21"/>
      <x:c r="P371" s="20"/>
    </x:row>
    <x:row r="372">
      <x:c r="A372" s="20"/>
      <x:c r="B372" s="20"/>
      <x:c r="C372" s="20"/>
      <x:c r="D372" s="20"/>
      <x:c r="E372" s="20"/>
      <x:c r="F372" s="20"/>
      <x:c r="G372" s="20" t="str">
        <x:f>IF(OR(E372="",F372=""),"",E372*F372)</x:f>
      </x:c>
      <x:c r="H372" s="20"/>
      <x:c r="I372" s="21"/>
      <x:c r="J372" s="20"/>
      <x:c r="K372" s="20"/>
      <x:c r="L372" s="20" t="str">
        <x:f>IF(F372="","",IF(F372=0,"Critical",IF(F372=1,"High",IF(F372=2,"Moderate",IF(F372=3,"Low","Effective")))))</x:f>
      </x:c>
      <x:c r="M372" s="20"/>
      <x:c r="N372" s="20"/>
      <x:c r="O372" s="21"/>
      <x:c r="P372" s="20"/>
    </x:row>
    <x:row r="373">
      <x:c r="A373" s="20"/>
      <x:c r="B373" s="20"/>
      <x:c r="C373" s="20"/>
      <x:c r="D373" s="20"/>
      <x:c r="E373" s="20"/>
      <x:c r="F373" s="20"/>
      <x:c r="G373" s="20" t="str">
        <x:f>IF(OR(E373="",F373=""),"",E373*F373)</x:f>
      </x:c>
      <x:c r="H373" s="20"/>
      <x:c r="I373" s="21"/>
      <x:c r="J373" s="20"/>
      <x:c r="K373" s="20"/>
      <x:c r="L373" s="20" t="str">
        <x:f>IF(F373="","",IF(F373=0,"Critical",IF(F373=1,"High",IF(F373=2,"Moderate",IF(F373=3,"Low","Effective")))))</x:f>
      </x:c>
      <x:c r="M373" s="20"/>
      <x:c r="N373" s="20"/>
      <x:c r="O373" s="21"/>
      <x:c r="P373" s="20"/>
    </x:row>
    <x:row r="374">
      <x:c r="A374" s="20"/>
      <x:c r="B374" s="20"/>
      <x:c r="C374" s="20"/>
      <x:c r="D374" s="20"/>
      <x:c r="E374" s="20"/>
      <x:c r="F374" s="20"/>
      <x:c r="G374" s="20" t="str">
        <x:f>IF(OR(E374="",F374=""),"",E374*F374)</x:f>
      </x:c>
      <x:c r="H374" s="20"/>
      <x:c r="I374" s="21"/>
      <x:c r="J374" s="20"/>
      <x:c r="K374" s="20"/>
      <x:c r="L374" s="20" t="str">
        <x:f>IF(F374="","",IF(F374=0,"Critical",IF(F374=1,"High",IF(F374=2,"Moderate",IF(F374=3,"Low","Effective")))))</x:f>
      </x:c>
      <x:c r="M374" s="20"/>
      <x:c r="N374" s="20"/>
      <x:c r="O374" s="21"/>
      <x:c r="P374" s="20"/>
    </x:row>
    <x:row r="375">
      <x:c r="A375" s="20"/>
      <x:c r="B375" s="20"/>
      <x:c r="C375" s="20"/>
      <x:c r="D375" s="20"/>
      <x:c r="E375" s="20"/>
      <x:c r="F375" s="20"/>
      <x:c r="G375" s="20" t="str">
        <x:f>IF(OR(E375="",F375=""),"",E375*F375)</x:f>
      </x:c>
      <x:c r="H375" s="20"/>
      <x:c r="I375" s="21"/>
      <x:c r="J375" s="20"/>
      <x:c r="K375" s="20"/>
      <x:c r="L375" s="20" t="str">
        <x:f>IF(F375="","",IF(F375=0,"Critical",IF(F375=1,"High",IF(F375=2,"Moderate",IF(F375=3,"Low","Effective")))))</x:f>
      </x:c>
      <x:c r="M375" s="20"/>
      <x:c r="N375" s="20"/>
      <x:c r="O375" s="21"/>
      <x:c r="P375" s="20"/>
    </x:row>
    <x:row r="376">
      <x:c r="A376" s="20"/>
      <x:c r="B376" s="20"/>
      <x:c r="C376" s="20"/>
      <x:c r="D376" s="20"/>
      <x:c r="E376" s="20"/>
      <x:c r="F376" s="20"/>
      <x:c r="G376" s="20" t="str">
        <x:f>IF(OR(E376="",F376=""),"",E376*F376)</x:f>
      </x:c>
      <x:c r="H376" s="20"/>
      <x:c r="I376" s="21"/>
      <x:c r="J376" s="20"/>
      <x:c r="K376" s="20"/>
      <x:c r="L376" s="20" t="str">
        <x:f>IF(F376="","",IF(F376=0,"Critical",IF(F376=1,"High",IF(F376=2,"Moderate",IF(F376=3,"Low","Effective")))))</x:f>
      </x:c>
      <x:c r="M376" s="20"/>
      <x:c r="N376" s="20"/>
      <x:c r="O376" s="21"/>
      <x:c r="P376" s="20"/>
    </x:row>
    <x:row r="377">
      <x:c r="A377" s="20"/>
      <x:c r="B377" s="20"/>
      <x:c r="C377" s="20"/>
      <x:c r="D377" s="20"/>
      <x:c r="E377" s="20"/>
      <x:c r="F377" s="20"/>
      <x:c r="G377" s="20" t="str">
        <x:f>IF(OR(E377="",F377=""),"",E377*F377)</x:f>
      </x:c>
      <x:c r="H377" s="20"/>
      <x:c r="I377" s="21"/>
      <x:c r="J377" s="20"/>
      <x:c r="K377" s="20"/>
      <x:c r="L377" s="20" t="str">
        <x:f>IF(F377="","",IF(F377=0,"Critical",IF(F377=1,"High",IF(F377=2,"Moderate",IF(F377=3,"Low","Effective")))))</x:f>
      </x:c>
      <x:c r="M377" s="20"/>
      <x:c r="N377" s="20"/>
      <x:c r="O377" s="21"/>
      <x:c r="P377" s="20"/>
    </x:row>
    <x:row r="378">
      <x:c r="A378" s="20"/>
      <x:c r="B378" s="20"/>
      <x:c r="C378" s="20"/>
      <x:c r="D378" s="20"/>
      <x:c r="E378" s="20"/>
      <x:c r="F378" s="20"/>
      <x:c r="G378" s="20" t="str">
        <x:f>IF(OR(E378="",F378=""),"",E378*F378)</x:f>
      </x:c>
      <x:c r="H378" s="20"/>
      <x:c r="I378" s="21"/>
      <x:c r="J378" s="20"/>
      <x:c r="K378" s="20"/>
      <x:c r="L378" s="20" t="str">
        <x:f>IF(F378="","",IF(F378=0,"Critical",IF(F378=1,"High",IF(F378=2,"Moderate",IF(F378=3,"Low","Effective")))))</x:f>
      </x:c>
      <x:c r="M378" s="20"/>
      <x:c r="N378" s="20"/>
      <x:c r="O378" s="21"/>
      <x:c r="P378" s="20"/>
    </x:row>
    <x:row r="379">
      <x:c r="A379" s="20"/>
      <x:c r="B379" s="20"/>
      <x:c r="C379" s="20"/>
      <x:c r="D379" s="20"/>
      <x:c r="E379" s="20"/>
      <x:c r="F379" s="20"/>
      <x:c r="G379" s="20" t="str">
        <x:f>IF(OR(E379="",F379=""),"",E379*F379)</x:f>
      </x:c>
      <x:c r="H379" s="20"/>
      <x:c r="I379" s="21"/>
      <x:c r="J379" s="20"/>
      <x:c r="K379" s="20"/>
      <x:c r="L379" s="20" t="str">
        <x:f>IF(F379="","",IF(F379=0,"Critical",IF(F379=1,"High",IF(F379=2,"Moderate",IF(F379=3,"Low","Effective")))))</x:f>
      </x:c>
      <x:c r="M379" s="20"/>
      <x:c r="N379" s="20"/>
      <x:c r="O379" s="21"/>
      <x:c r="P379" s="20"/>
    </x:row>
    <x:row r="380">
      <x:c r="A380" s="20"/>
      <x:c r="B380" s="20"/>
      <x:c r="C380" s="20"/>
      <x:c r="D380" s="20"/>
      <x:c r="E380" s="20"/>
      <x:c r="F380" s="20"/>
      <x:c r="G380" s="20" t="str">
        <x:f>IF(OR(E380="",F380=""),"",E380*F380)</x:f>
      </x:c>
      <x:c r="H380" s="20"/>
      <x:c r="I380" s="21"/>
      <x:c r="J380" s="20"/>
      <x:c r="K380" s="20"/>
      <x:c r="L380" s="20" t="str">
        <x:f>IF(F380="","",IF(F380=0,"Critical",IF(F380=1,"High",IF(F380=2,"Moderate",IF(F380=3,"Low","Effective")))))</x:f>
      </x:c>
      <x:c r="M380" s="20"/>
      <x:c r="N380" s="20"/>
      <x:c r="O380" s="21"/>
      <x:c r="P380" s="20"/>
    </x:row>
    <x:row r="381">
      <x:c r="A381" s="20"/>
      <x:c r="B381" s="20"/>
      <x:c r="C381" s="20"/>
      <x:c r="D381" s="20"/>
      <x:c r="E381" s="20"/>
      <x:c r="F381" s="20"/>
      <x:c r="G381" s="20" t="str">
        <x:f>IF(OR(E381="",F381=""),"",E381*F381)</x:f>
      </x:c>
      <x:c r="H381" s="20"/>
      <x:c r="I381" s="21"/>
      <x:c r="J381" s="20"/>
      <x:c r="K381" s="20"/>
      <x:c r="L381" s="20" t="str">
        <x:f>IF(F381="","",IF(F381=0,"Critical",IF(F381=1,"High",IF(F381=2,"Moderate",IF(F381=3,"Low","Effective")))))</x:f>
      </x:c>
      <x:c r="M381" s="20"/>
      <x:c r="N381" s="20"/>
      <x:c r="O381" s="21"/>
      <x:c r="P381" s="20"/>
    </x:row>
    <x:row r="382">
      <x:c r="A382" s="20"/>
      <x:c r="B382" s="20"/>
      <x:c r="C382" s="20"/>
      <x:c r="D382" s="20"/>
      <x:c r="E382" s="20"/>
      <x:c r="F382" s="20"/>
      <x:c r="G382" s="20" t="str">
        <x:f>IF(OR(E382="",F382=""),"",E382*F382)</x:f>
      </x:c>
      <x:c r="H382" s="20"/>
      <x:c r="I382" s="21"/>
      <x:c r="J382" s="20"/>
      <x:c r="K382" s="20"/>
      <x:c r="L382" s="20" t="str">
        <x:f>IF(F382="","",IF(F382=0,"Critical",IF(F382=1,"High",IF(F382=2,"Moderate",IF(F382=3,"Low","Effective")))))</x:f>
      </x:c>
      <x:c r="M382" s="20"/>
      <x:c r="N382" s="20"/>
      <x:c r="O382" s="21"/>
      <x:c r="P382" s="20"/>
    </x:row>
    <x:row r="383">
      <x:c r="A383" s="20"/>
      <x:c r="B383" s="20"/>
      <x:c r="C383" s="20"/>
      <x:c r="D383" s="20"/>
      <x:c r="E383" s="20"/>
      <x:c r="F383" s="20"/>
      <x:c r="G383" s="20" t="str">
        <x:f>IF(OR(E383="",F383=""),"",E383*F383)</x:f>
      </x:c>
      <x:c r="H383" s="20"/>
      <x:c r="I383" s="21"/>
      <x:c r="J383" s="20"/>
      <x:c r="K383" s="20"/>
      <x:c r="L383" s="20" t="str">
        <x:f>IF(F383="","",IF(F383=0,"Critical",IF(F383=1,"High",IF(F383=2,"Moderate",IF(F383=3,"Low","Effective")))))</x:f>
      </x:c>
      <x:c r="M383" s="20"/>
      <x:c r="N383" s="20"/>
      <x:c r="O383" s="21"/>
      <x:c r="P383" s="20"/>
    </x:row>
    <x:row r="384">
      <x:c r="A384" s="20"/>
      <x:c r="B384" s="20"/>
      <x:c r="C384" s="20"/>
      <x:c r="D384" s="20"/>
      <x:c r="E384" s="20"/>
      <x:c r="F384" s="20"/>
      <x:c r="G384" s="20" t="str">
        <x:f>IF(OR(E384="",F384=""),"",E384*F384)</x:f>
      </x:c>
      <x:c r="H384" s="20"/>
      <x:c r="I384" s="21"/>
      <x:c r="J384" s="20"/>
      <x:c r="K384" s="20"/>
      <x:c r="L384" s="20" t="str">
        <x:f>IF(F384="","",IF(F384=0,"Critical",IF(F384=1,"High",IF(F384=2,"Moderate",IF(F384=3,"Low","Effective")))))</x:f>
      </x:c>
      <x:c r="M384" s="20"/>
      <x:c r="N384" s="20"/>
      <x:c r="O384" s="21"/>
      <x:c r="P384" s="20"/>
    </x:row>
    <x:row r="385">
      <x:c r="A385" s="20"/>
      <x:c r="B385" s="20"/>
      <x:c r="C385" s="20"/>
      <x:c r="D385" s="20"/>
      <x:c r="E385" s="20"/>
      <x:c r="F385" s="20"/>
      <x:c r="G385" s="20" t="str">
        <x:f>IF(OR(E385="",F385=""),"",E385*F385)</x:f>
      </x:c>
      <x:c r="H385" s="20"/>
      <x:c r="I385" s="21"/>
      <x:c r="J385" s="20"/>
      <x:c r="K385" s="20"/>
      <x:c r="L385" s="20" t="str">
        <x:f>IF(F385="","",IF(F385=0,"Critical",IF(F385=1,"High",IF(F385=2,"Moderate",IF(F385=3,"Low","Effective")))))</x:f>
      </x:c>
      <x:c r="M385" s="20"/>
      <x:c r="N385" s="20"/>
      <x:c r="O385" s="21"/>
      <x:c r="P385" s="20"/>
    </x:row>
    <x:row r="386">
      <x:c r="A386" s="20"/>
      <x:c r="B386" s="20"/>
      <x:c r="C386" s="20"/>
      <x:c r="D386" s="20"/>
      <x:c r="E386" s="20"/>
      <x:c r="F386" s="20"/>
      <x:c r="G386" s="20" t="str">
        <x:f>IF(OR(E386="",F386=""),"",E386*F386)</x:f>
      </x:c>
      <x:c r="H386" s="20"/>
      <x:c r="I386" s="21"/>
      <x:c r="J386" s="20"/>
      <x:c r="K386" s="20"/>
      <x:c r="L386" s="20" t="str">
        <x:f>IF(F386="","",IF(F386=0,"Critical",IF(F386=1,"High",IF(F386=2,"Moderate",IF(F386=3,"Low","Effective")))))</x:f>
      </x:c>
      <x:c r="M386" s="20"/>
      <x:c r="N386" s="20"/>
      <x:c r="O386" s="21"/>
      <x:c r="P386" s="20"/>
    </x:row>
    <x:row r="387">
      <x:c r="A387" s="20"/>
      <x:c r="B387" s="20"/>
      <x:c r="C387" s="20"/>
      <x:c r="D387" s="20"/>
      <x:c r="E387" s="20"/>
      <x:c r="F387" s="20"/>
      <x:c r="G387" s="20" t="str">
        <x:f>IF(OR(E387="",F387=""),"",E387*F387)</x:f>
      </x:c>
      <x:c r="H387" s="20"/>
      <x:c r="I387" s="21"/>
      <x:c r="J387" s="20"/>
      <x:c r="K387" s="20"/>
      <x:c r="L387" s="20" t="str">
        <x:f>IF(F387="","",IF(F387=0,"Critical",IF(F387=1,"High",IF(F387=2,"Moderate",IF(F387=3,"Low","Effective")))))</x:f>
      </x:c>
      <x:c r="M387" s="20"/>
      <x:c r="N387" s="20"/>
      <x:c r="O387" s="21"/>
      <x:c r="P387" s="20"/>
    </x:row>
    <x:row r="388">
      <x:c r="A388" s="20"/>
      <x:c r="B388" s="20"/>
      <x:c r="C388" s="20"/>
      <x:c r="D388" s="20"/>
      <x:c r="E388" s="20"/>
      <x:c r="F388" s="20"/>
      <x:c r="G388" s="20" t="str">
        <x:f>IF(OR(E388="",F388=""),"",E388*F388)</x:f>
      </x:c>
      <x:c r="H388" s="20"/>
      <x:c r="I388" s="21"/>
      <x:c r="J388" s="20"/>
      <x:c r="K388" s="20"/>
      <x:c r="L388" s="20" t="str">
        <x:f>IF(F388="","",IF(F388=0,"Critical",IF(F388=1,"High",IF(F388=2,"Moderate",IF(F388=3,"Low","Effective")))))</x:f>
      </x:c>
      <x:c r="M388" s="20"/>
      <x:c r="N388" s="20"/>
      <x:c r="O388" s="21"/>
      <x:c r="P388" s="20"/>
    </x:row>
    <x:row r="389">
      <x:c r="A389" s="20"/>
      <x:c r="B389" s="20"/>
      <x:c r="C389" s="20"/>
      <x:c r="D389" s="20"/>
      <x:c r="E389" s="20"/>
      <x:c r="F389" s="20"/>
      <x:c r="G389" s="20" t="str">
        <x:f>IF(OR(E389="",F389=""),"",E389*F389)</x:f>
      </x:c>
      <x:c r="H389" s="20"/>
      <x:c r="I389" s="21"/>
      <x:c r="J389" s="20"/>
      <x:c r="K389" s="20"/>
      <x:c r="L389" s="20" t="str">
        <x:f>IF(F389="","",IF(F389=0,"Critical",IF(F389=1,"High",IF(F389=2,"Moderate",IF(F389=3,"Low","Effective")))))</x:f>
      </x:c>
      <x:c r="M389" s="20"/>
      <x:c r="N389" s="20"/>
      <x:c r="O389" s="21"/>
      <x:c r="P389" s="20"/>
    </x:row>
    <x:row r="390">
      <x:c r="A390" s="20"/>
      <x:c r="B390" s="20"/>
      <x:c r="C390" s="20"/>
      <x:c r="D390" s="20"/>
      <x:c r="E390" s="20"/>
      <x:c r="F390" s="20"/>
      <x:c r="G390" s="20" t="str">
        <x:f>IF(OR(E390="",F390=""),"",E390*F390)</x:f>
      </x:c>
      <x:c r="H390" s="20"/>
      <x:c r="I390" s="21"/>
      <x:c r="J390" s="20"/>
      <x:c r="K390" s="20"/>
      <x:c r="L390" s="20" t="str">
        <x:f>IF(F390="","",IF(F390=0,"Critical",IF(F390=1,"High",IF(F390=2,"Moderate",IF(F390=3,"Low","Effective")))))</x:f>
      </x:c>
      <x:c r="M390" s="20"/>
      <x:c r="N390" s="20"/>
      <x:c r="O390" s="21"/>
      <x:c r="P390" s="20"/>
    </x:row>
    <x:row r="391">
      <x:c r="A391" s="20"/>
      <x:c r="B391" s="20"/>
      <x:c r="C391" s="20"/>
      <x:c r="D391" s="20"/>
      <x:c r="E391" s="20"/>
      <x:c r="F391" s="20"/>
      <x:c r="G391" s="20" t="str">
        <x:f>IF(OR(E391="",F391=""),"",E391*F391)</x:f>
      </x:c>
      <x:c r="H391" s="20"/>
      <x:c r="I391" s="21"/>
      <x:c r="J391" s="20"/>
      <x:c r="K391" s="20"/>
      <x:c r="L391" s="20" t="str">
        <x:f>IF(F391="","",IF(F391=0,"Critical",IF(F391=1,"High",IF(F391=2,"Moderate",IF(F391=3,"Low","Effective")))))</x:f>
      </x:c>
      <x:c r="M391" s="20"/>
      <x:c r="N391" s="20"/>
      <x:c r="O391" s="21"/>
      <x:c r="P391" s="20"/>
    </x:row>
    <x:row r="392">
      <x:c r="A392" s="20"/>
      <x:c r="B392" s="20"/>
      <x:c r="C392" s="20"/>
      <x:c r="D392" s="20"/>
      <x:c r="E392" s="20"/>
      <x:c r="F392" s="20"/>
      <x:c r="G392" s="20" t="str">
        <x:f>IF(OR(E392="",F392=""),"",E392*F392)</x:f>
      </x:c>
      <x:c r="H392" s="20"/>
      <x:c r="I392" s="21"/>
      <x:c r="J392" s="20"/>
      <x:c r="K392" s="20"/>
      <x:c r="L392" s="20" t="str">
        <x:f>IF(F392="","",IF(F392=0,"Critical",IF(F392=1,"High",IF(F392=2,"Moderate",IF(F392=3,"Low","Effective")))))</x:f>
      </x:c>
      <x:c r="M392" s="20"/>
      <x:c r="N392" s="20"/>
      <x:c r="O392" s="21"/>
      <x:c r="P392" s="20"/>
    </x:row>
    <x:row r="393">
      <x:c r="A393" s="20"/>
      <x:c r="B393" s="20"/>
      <x:c r="C393" s="20"/>
      <x:c r="D393" s="20"/>
      <x:c r="E393" s="20"/>
      <x:c r="F393" s="20"/>
      <x:c r="G393" s="20" t="str">
        <x:f>IF(OR(E393="",F393=""),"",E393*F393)</x:f>
      </x:c>
      <x:c r="H393" s="20"/>
      <x:c r="I393" s="21"/>
      <x:c r="J393" s="20"/>
      <x:c r="K393" s="20"/>
      <x:c r="L393" s="20" t="str">
        <x:f>IF(F393="","",IF(F393=0,"Critical",IF(F393=1,"High",IF(F393=2,"Moderate",IF(F393=3,"Low","Effective")))))</x:f>
      </x:c>
      <x:c r="M393" s="20"/>
      <x:c r="N393" s="20"/>
      <x:c r="O393" s="21"/>
      <x:c r="P393" s="20"/>
    </x:row>
    <x:row r="394">
      <x:c r="A394" s="20"/>
      <x:c r="B394" s="20"/>
      <x:c r="C394" s="20"/>
      <x:c r="D394" s="20"/>
      <x:c r="E394" s="20"/>
      <x:c r="F394" s="20"/>
      <x:c r="G394" s="20" t="str">
        <x:f>IF(OR(E394="",F394=""),"",E394*F394)</x:f>
      </x:c>
      <x:c r="H394" s="20"/>
      <x:c r="I394" s="21"/>
      <x:c r="J394" s="20"/>
      <x:c r="K394" s="20"/>
      <x:c r="L394" s="20" t="str">
        <x:f>IF(F394="","",IF(F394=0,"Critical",IF(F394=1,"High",IF(F394=2,"Moderate",IF(F394=3,"Low","Effective")))))</x:f>
      </x:c>
      <x:c r="M394" s="20"/>
      <x:c r="N394" s="20"/>
      <x:c r="O394" s="21"/>
      <x:c r="P394" s="20"/>
    </x:row>
    <x:row r="395">
      <x:c r="A395" s="20"/>
      <x:c r="B395" s="20"/>
      <x:c r="C395" s="20"/>
      <x:c r="D395" s="20"/>
      <x:c r="E395" s="20"/>
      <x:c r="F395" s="20"/>
      <x:c r="G395" s="20" t="str">
        <x:f>IF(OR(E395="",F395=""),"",E395*F395)</x:f>
      </x:c>
      <x:c r="H395" s="20"/>
      <x:c r="I395" s="21"/>
      <x:c r="J395" s="20"/>
      <x:c r="K395" s="20"/>
      <x:c r="L395" s="20" t="str">
        <x:f>IF(F395="","",IF(F395=0,"Critical",IF(F395=1,"High",IF(F395=2,"Moderate",IF(F395=3,"Low","Effective")))))</x:f>
      </x:c>
      <x:c r="M395" s="20"/>
      <x:c r="N395" s="20"/>
      <x:c r="O395" s="21"/>
      <x:c r="P395" s="20"/>
    </x:row>
    <x:row r="396">
      <x:c r="A396" s="20"/>
      <x:c r="B396" s="20"/>
      <x:c r="C396" s="20"/>
      <x:c r="D396" s="20"/>
      <x:c r="E396" s="20"/>
      <x:c r="F396" s="20"/>
      <x:c r="G396" s="20" t="str">
        <x:f>IF(OR(E396="",F396=""),"",E396*F396)</x:f>
      </x:c>
      <x:c r="H396" s="20"/>
      <x:c r="I396" s="21"/>
      <x:c r="J396" s="20"/>
      <x:c r="K396" s="20"/>
      <x:c r="L396" s="20" t="str">
        <x:f>IF(F396="","",IF(F396=0,"Critical",IF(F396=1,"High",IF(F396=2,"Moderate",IF(F396=3,"Low","Effective")))))</x:f>
      </x:c>
      <x:c r="M396" s="20"/>
      <x:c r="N396" s="20"/>
      <x:c r="O396" s="21"/>
      <x:c r="P396" s="20"/>
    </x:row>
    <x:row r="397">
      <x:c r="A397" s="20"/>
      <x:c r="B397" s="20"/>
      <x:c r="C397" s="20"/>
      <x:c r="D397" s="20"/>
      <x:c r="E397" s="20"/>
      <x:c r="F397" s="20"/>
      <x:c r="G397" s="20" t="str">
        <x:f>IF(OR(E397="",F397=""),"",E397*F397)</x:f>
      </x:c>
      <x:c r="H397" s="20"/>
      <x:c r="I397" s="21"/>
      <x:c r="J397" s="20"/>
      <x:c r="K397" s="20"/>
      <x:c r="L397" s="20" t="str">
        <x:f>IF(F397="","",IF(F397=0,"Critical",IF(F397=1,"High",IF(F397=2,"Moderate",IF(F397=3,"Low","Effective")))))</x:f>
      </x:c>
      <x:c r="M397" s="20"/>
      <x:c r="N397" s="20"/>
      <x:c r="O397" s="21"/>
      <x:c r="P397" s="20"/>
    </x:row>
    <x:row r="398">
      <x:c r="A398" s="20"/>
      <x:c r="B398" s="20"/>
      <x:c r="C398" s="20"/>
      <x:c r="D398" s="20"/>
      <x:c r="E398" s="20"/>
      <x:c r="F398" s="20"/>
      <x:c r="G398" s="20" t="str">
        <x:f>IF(OR(E398="",F398=""),"",E398*F398)</x:f>
      </x:c>
      <x:c r="H398" s="20"/>
      <x:c r="I398" s="21"/>
      <x:c r="J398" s="20"/>
      <x:c r="K398" s="20"/>
      <x:c r="L398" s="20" t="str">
        <x:f>IF(F398="","",IF(F398=0,"Critical",IF(F398=1,"High",IF(F398=2,"Moderate",IF(F398=3,"Low","Effective")))))</x:f>
      </x:c>
      <x:c r="M398" s="20"/>
      <x:c r="N398" s="20"/>
      <x:c r="O398" s="21"/>
      <x:c r="P398" s="20"/>
    </x:row>
    <x:row r="399">
      <x:c r="A399" s="20"/>
      <x:c r="B399" s="20"/>
      <x:c r="C399" s="20"/>
      <x:c r="D399" s="20"/>
      <x:c r="E399" s="20"/>
      <x:c r="F399" s="20"/>
      <x:c r="G399" s="20" t="str">
        <x:f>IF(OR(E399="",F399=""),"",E399*F399)</x:f>
      </x:c>
      <x:c r="H399" s="20"/>
      <x:c r="I399" s="21"/>
      <x:c r="J399" s="20"/>
      <x:c r="K399" s="20"/>
      <x:c r="L399" s="20" t="str">
        <x:f>IF(F399="","",IF(F399=0,"Critical",IF(F399=1,"High",IF(F399=2,"Moderate",IF(F399=3,"Low","Effective")))))</x:f>
      </x:c>
      <x:c r="M399" s="20"/>
      <x:c r="N399" s="20"/>
      <x:c r="O399" s="21"/>
      <x:c r="P399" s="20"/>
    </x:row>
    <x:row r="400">
      <x:c r="A400" s="20"/>
      <x:c r="B400" s="20"/>
      <x:c r="C400" s="20"/>
      <x:c r="D400" s="20"/>
      <x:c r="E400" s="20"/>
      <x:c r="F400" s="20"/>
      <x:c r="G400" s="20" t="str">
        <x:f>IF(OR(E400="",F400=""),"",E400*F400)</x:f>
      </x:c>
      <x:c r="H400" s="20"/>
      <x:c r="I400" s="21"/>
      <x:c r="J400" s="20"/>
      <x:c r="K400" s="20"/>
      <x:c r="L400" s="20" t="str">
        <x:f>IF(F400="","",IF(F400=0,"Critical",IF(F400=1,"High",IF(F400=2,"Moderate",IF(F400=3,"Low","Effective")))))</x:f>
      </x:c>
      <x:c r="M400" s="20"/>
      <x:c r="N400" s="20"/>
      <x:c r="O400" s="21"/>
      <x:c r="P400" s="20"/>
    </x:row>
    <x:row r="401">
      <x:c r="A401" s="20"/>
      <x:c r="B401" s="20"/>
      <x:c r="C401" s="20"/>
      <x:c r="D401" s="20"/>
      <x:c r="E401" s="20"/>
      <x:c r="F401" s="20"/>
      <x:c r="G401" s="20" t="str">
        <x:f>IF(OR(E401="",F401=""),"",E401*F401)</x:f>
      </x:c>
      <x:c r="H401" s="20"/>
      <x:c r="I401" s="21"/>
      <x:c r="J401" s="20"/>
      <x:c r="K401" s="20"/>
      <x:c r="L401" s="20" t="str">
        <x:f>IF(F401="","",IF(F401=0,"Critical",IF(F401=1,"High",IF(F401=2,"Moderate",IF(F401=3,"Low","Effective")))))</x:f>
      </x:c>
      <x:c r="M401" s="20"/>
      <x:c r="N401" s="20"/>
      <x:c r="O401" s="21"/>
      <x:c r="P401" s="20"/>
    </x:row>
    <x:row r="402">
      <x:c r="A402" s="20"/>
      <x:c r="B402" s="20"/>
      <x:c r="C402" s="20"/>
      <x:c r="D402" s="20"/>
      <x:c r="E402" s="20"/>
      <x:c r="F402" s="20"/>
      <x:c r="G402" s="20" t="str">
        <x:f>IF(OR(E402="",F402=""),"",E402*F402)</x:f>
      </x:c>
      <x:c r="H402" s="20"/>
      <x:c r="I402" s="21"/>
      <x:c r="J402" s="20"/>
      <x:c r="K402" s="20"/>
      <x:c r="L402" s="20" t="str">
        <x:f>IF(F402="","",IF(F402=0,"Critical",IF(F402=1,"High",IF(F402=2,"Moderate",IF(F402=3,"Low","Effective")))))</x:f>
      </x:c>
      <x:c r="M402" s="20"/>
      <x:c r="N402" s="20"/>
      <x:c r="O402" s="21"/>
      <x:c r="P402" s="20"/>
    </x:row>
    <x:row r="403">
      <x:c r="A403" s="20"/>
      <x:c r="B403" s="20"/>
      <x:c r="C403" s="20"/>
      <x:c r="D403" s="20"/>
      <x:c r="E403" s="20"/>
      <x:c r="F403" s="20"/>
      <x:c r="G403" s="20" t="str">
        <x:f>IF(OR(E403="",F403=""),"",E403*F403)</x:f>
      </x:c>
      <x:c r="H403" s="20"/>
      <x:c r="I403" s="21"/>
      <x:c r="J403" s="20"/>
      <x:c r="K403" s="20"/>
      <x:c r="L403" s="20" t="str">
        <x:f>IF(F403="","",IF(F403=0,"Critical",IF(F403=1,"High",IF(F403=2,"Moderate",IF(F403=3,"Low","Effective")))))</x:f>
      </x:c>
      <x:c r="M403" s="20"/>
      <x:c r="N403" s="20"/>
      <x:c r="O403" s="21"/>
      <x:c r="P403" s="20"/>
    </x:row>
    <x:row r="404">
      <x:c r="A404" s="20"/>
      <x:c r="B404" s="20"/>
      <x:c r="C404" s="20"/>
      <x:c r="D404" s="20"/>
      <x:c r="E404" s="20"/>
      <x:c r="F404" s="20"/>
      <x:c r="G404" s="20" t="str">
        <x:f>IF(OR(E404="",F404=""),"",E404*F404)</x:f>
      </x:c>
      <x:c r="H404" s="20"/>
      <x:c r="I404" s="21"/>
      <x:c r="J404" s="20"/>
      <x:c r="K404" s="20"/>
      <x:c r="L404" s="20" t="str">
        <x:f>IF(F404="","",IF(F404=0,"Critical",IF(F404=1,"High",IF(F404=2,"Moderate",IF(F404=3,"Low","Effective")))))</x:f>
      </x:c>
      <x:c r="M404" s="20"/>
      <x:c r="N404" s="20"/>
      <x:c r="O404" s="21"/>
      <x:c r="P404" s="20"/>
    </x:row>
    <x:row r="405">
      <x:c r="A405" s="20"/>
      <x:c r="B405" s="20"/>
      <x:c r="C405" s="20"/>
      <x:c r="D405" s="20"/>
      <x:c r="E405" s="20"/>
      <x:c r="F405" s="20"/>
      <x:c r="G405" s="20" t="str">
        <x:f>IF(OR(E405="",F405=""),"",E405*F405)</x:f>
      </x:c>
      <x:c r="H405" s="20"/>
      <x:c r="I405" s="21"/>
      <x:c r="J405" s="20"/>
      <x:c r="K405" s="20"/>
      <x:c r="L405" s="20" t="str">
        <x:f>IF(F405="","",IF(F405=0,"Critical",IF(F405=1,"High",IF(F405=2,"Moderate",IF(F405=3,"Low","Effective")))))</x:f>
      </x:c>
      <x:c r="M405" s="20"/>
      <x:c r="N405" s="20"/>
      <x:c r="O405" s="21"/>
      <x:c r="P405" s="20"/>
    </x:row>
    <x:row r="406">
      <x:c r="A406" s="20"/>
      <x:c r="B406" s="20"/>
      <x:c r="C406" s="20"/>
      <x:c r="D406" s="20"/>
      <x:c r="E406" s="20"/>
      <x:c r="F406" s="20"/>
      <x:c r="G406" s="20" t="str">
        <x:f>IF(OR(E406="",F406=""),"",E406*F406)</x:f>
      </x:c>
      <x:c r="H406" s="20"/>
      <x:c r="I406" s="21"/>
      <x:c r="J406" s="20"/>
      <x:c r="K406" s="20"/>
      <x:c r="L406" s="20" t="str">
        <x:f>IF(F406="","",IF(F406=0,"Critical",IF(F406=1,"High",IF(F406=2,"Moderate",IF(F406=3,"Low","Effective")))))</x:f>
      </x:c>
      <x:c r="M406" s="20"/>
      <x:c r="N406" s="20"/>
      <x:c r="O406" s="21"/>
      <x:c r="P406" s="20"/>
    </x:row>
    <x:row r="407">
      <x:c r="A407" s="20"/>
      <x:c r="B407" s="20"/>
      <x:c r="C407" s="20"/>
      <x:c r="D407" s="20"/>
      <x:c r="E407" s="20"/>
      <x:c r="F407" s="20"/>
      <x:c r="G407" s="20" t="str">
        <x:f>IF(OR(E407="",F407=""),"",E407*F407)</x:f>
      </x:c>
      <x:c r="H407" s="20"/>
      <x:c r="I407" s="21"/>
      <x:c r="J407" s="20"/>
      <x:c r="K407" s="20"/>
      <x:c r="L407" s="20" t="str">
        <x:f>IF(F407="","",IF(F407=0,"Critical",IF(F407=1,"High",IF(F407=2,"Moderate",IF(F407=3,"Low","Effective")))))</x:f>
      </x:c>
      <x:c r="M407" s="20"/>
      <x:c r="N407" s="20"/>
      <x:c r="O407" s="21"/>
      <x:c r="P407" s="20"/>
    </x:row>
    <x:row r="408">
      <x:c r="A408" s="20"/>
      <x:c r="B408" s="20"/>
      <x:c r="C408" s="20"/>
      <x:c r="D408" s="20"/>
      <x:c r="E408" s="20"/>
      <x:c r="F408" s="20"/>
      <x:c r="G408" s="20" t="str">
        <x:f>IF(OR(E408="",F408=""),"",E408*F408)</x:f>
      </x:c>
      <x:c r="H408" s="20"/>
      <x:c r="I408" s="21"/>
      <x:c r="J408" s="20"/>
      <x:c r="K408" s="20"/>
      <x:c r="L408" s="20" t="str">
        <x:f>IF(F408="","",IF(F408=0,"Critical",IF(F408=1,"High",IF(F408=2,"Moderate",IF(F408=3,"Low","Effective")))))</x:f>
      </x:c>
      <x:c r="M408" s="20"/>
      <x:c r="N408" s="20"/>
      <x:c r="O408" s="21"/>
      <x:c r="P408" s="20"/>
    </x:row>
    <x:row r="409">
      <x:c r="A409" s="20"/>
      <x:c r="B409" s="20"/>
      <x:c r="C409" s="20"/>
      <x:c r="D409" s="20"/>
      <x:c r="E409" s="20"/>
      <x:c r="F409" s="20"/>
      <x:c r="G409" s="20" t="str">
        <x:f>IF(OR(E409="",F409=""),"",E409*F409)</x:f>
      </x:c>
      <x:c r="H409" s="20"/>
      <x:c r="I409" s="21"/>
      <x:c r="J409" s="20"/>
      <x:c r="K409" s="20"/>
      <x:c r="L409" s="20" t="str">
        <x:f>IF(F409="","",IF(F409=0,"Critical",IF(F409=1,"High",IF(F409=2,"Moderate",IF(F409=3,"Low","Effective")))))</x:f>
      </x:c>
      <x:c r="M409" s="20"/>
      <x:c r="N409" s="20"/>
      <x:c r="O409" s="21"/>
      <x:c r="P409" s="20"/>
    </x:row>
    <x:row r="410">
      <x:c r="A410" s="20"/>
      <x:c r="B410" s="20"/>
      <x:c r="C410" s="20"/>
      <x:c r="D410" s="20"/>
      <x:c r="E410" s="20"/>
      <x:c r="F410" s="20"/>
      <x:c r="G410" s="20" t="str">
        <x:f>IF(OR(E410="",F410=""),"",E410*F410)</x:f>
      </x:c>
      <x:c r="H410" s="20"/>
      <x:c r="I410" s="21"/>
      <x:c r="J410" s="20"/>
      <x:c r="K410" s="20"/>
      <x:c r="L410" s="20" t="str">
        <x:f>IF(F410="","",IF(F410=0,"Critical",IF(F410=1,"High",IF(F410=2,"Moderate",IF(F410=3,"Low","Effective")))))</x:f>
      </x:c>
      <x:c r="M410" s="20"/>
      <x:c r="N410" s="20"/>
      <x:c r="O410" s="21"/>
      <x:c r="P410" s="20"/>
    </x:row>
    <x:row r="411">
      <x:c r="A411" s="20"/>
      <x:c r="B411" s="20"/>
      <x:c r="C411" s="20"/>
      <x:c r="D411" s="20"/>
      <x:c r="E411" s="20"/>
      <x:c r="F411" s="20"/>
      <x:c r="G411" s="20" t="str">
        <x:f>IF(OR(E411="",F411=""),"",E411*F411)</x:f>
      </x:c>
      <x:c r="H411" s="20"/>
      <x:c r="I411" s="21"/>
      <x:c r="J411" s="20"/>
      <x:c r="K411" s="20"/>
      <x:c r="L411" s="20" t="str">
        <x:f>IF(F411="","",IF(F411=0,"Critical",IF(F411=1,"High",IF(F411=2,"Moderate",IF(F411=3,"Low","Effective")))))</x:f>
      </x:c>
      <x:c r="M411" s="20"/>
      <x:c r="N411" s="20"/>
      <x:c r="O411" s="21"/>
      <x:c r="P411" s="20"/>
    </x:row>
    <x:row r="412">
      <x:c r="A412" s="20"/>
      <x:c r="B412" s="20"/>
      <x:c r="C412" s="20"/>
      <x:c r="D412" s="20"/>
      <x:c r="E412" s="20"/>
      <x:c r="F412" s="20"/>
      <x:c r="G412" s="20" t="str">
        <x:f>IF(OR(E412="",F412=""),"",E412*F412)</x:f>
      </x:c>
      <x:c r="H412" s="20"/>
      <x:c r="I412" s="21"/>
      <x:c r="J412" s="20"/>
      <x:c r="K412" s="20"/>
      <x:c r="L412" s="20" t="str">
        <x:f>IF(F412="","",IF(F412=0,"Critical",IF(F412=1,"High",IF(F412=2,"Moderate",IF(F412=3,"Low","Effective")))))</x:f>
      </x:c>
      <x:c r="M412" s="20"/>
      <x:c r="N412" s="20"/>
      <x:c r="O412" s="21"/>
      <x:c r="P412" s="20"/>
    </x:row>
    <x:row r="413">
      <x:c r="A413" s="20"/>
      <x:c r="B413" s="20"/>
      <x:c r="C413" s="20"/>
      <x:c r="D413" s="20"/>
      <x:c r="E413" s="20"/>
      <x:c r="F413" s="20"/>
      <x:c r="G413" s="20" t="str">
        <x:f>IF(OR(E413="",F413=""),"",E413*F413)</x:f>
      </x:c>
      <x:c r="H413" s="20"/>
      <x:c r="I413" s="21"/>
      <x:c r="J413" s="20"/>
      <x:c r="K413" s="20"/>
      <x:c r="L413" s="20" t="str">
        <x:f>IF(F413="","",IF(F413=0,"Critical",IF(F413=1,"High",IF(F413=2,"Moderate",IF(F413=3,"Low","Effective")))))</x:f>
      </x:c>
      <x:c r="M413" s="20"/>
      <x:c r="N413" s="20"/>
      <x:c r="O413" s="21"/>
      <x:c r="P413" s="20"/>
    </x:row>
    <x:row r="414">
      <x:c r="A414" s="20"/>
      <x:c r="B414" s="20"/>
      <x:c r="C414" s="20"/>
      <x:c r="D414" s="20"/>
      <x:c r="E414" s="20"/>
      <x:c r="F414" s="20"/>
      <x:c r="G414" s="20" t="str">
        <x:f>IF(OR(E414="",F414=""),"",E414*F414)</x:f>
      </x:c>
      <x:c r="H414" s="20"/>
      <x:c r="I414" s="21"/>
      <x:c r="J414" s="20"/>
      <x:c r="K414" s="20"/>
      <x:c r="L414" s="20" t="str">
        <x:f>IF(F414="","",IF(F414=0,"Critical",IF(F414=1,"High",IF(F414=2,"Moderate",IF(F414=3,"Low","Effective")))))</x:f>
      </x:c>
      <x:c r="M414" s="20"/>
      <x:c r="N414" s="20"/>
      <x:c r="O414" s="21"/>
      <x:c r="P414" s="20"/>
    </x:row>
    <x:row r="415">
      <x:c r="A415" s="20"/>
      <x:c r="B415" s="20"/>
      <x:c r="C415" s="20"/>
      <x:c r="D415" s="20"/>
      <x:c r="E415" s="20"/>
      <x:c r="F415" s="20"/>
      <x:c r="G415" s="20" t="str">
        <x:f>IF(OR(E415="",F415=""),"",E415*F415)</x:f>
      </x:c>
      <x:c r="H415" s="20"/>
      <x:c r="I415" s="21"/>
      <x:c r="J415" s="20"/>
      <x:c r="K415" s="20"/>
      <x:c r="L415" s="20" t="str">
        <x:f>IF(F415="","",IF(F415=0,"Critical",IF(F415=1,"High",IF(F415=2,"Moderate",IF(F415=3,"Low","Effective")))))</x:f>
      </x:c>
      <x:c r="M415" s="20"/>
      <x:c r="N415" s="20"/>
      <x:c r="O415" s="21"/>
      <x:c r="P415" s="20"/>
    </x:row>
    <x:row r="416">
      <x:c r="A416" s="20"/>
      <x:c r="B416" s="20"/>
      <x:c r="C416" s="20"/>
      <x:c r="D416" s="20"/>
      <x:c r="E416" s="20"/>
      <x:c r="F416" s="20"/>
      <x:c r="G416" s="20" t="str">
        <x:f>IF(OR(E416="",F416=""),"",E416*F416)</x:f>
      </x:c>
      <x:c r="H416" s="20"/>
      <x:c r="I416" s="21"/>
      <x:c r="J416" s="20"/>
      <x:c r="K416" s="20"/>
      <x:c r="L416" s="20" t="str">
        <x:f>IF(F416="","",IF(F416=0,"Critical",IF(F416=1,"High",IF(F416=2,"Moderate",IF(F416=3,"Low","Effective")))))</x:f>
      </x:c>
      <x:c r="M416" s="20"/>
      <x:c r="N416" s="20"/>
      <x:c r="O416" s="21"/>
      <x:c r="P416" s="20"/>
    </x:row>
    <x:row r="417">
      <x:c r="A417" s="20"/>
      <x:c r="B417" s="20"/>
      <x:c r="C417" s="20"/>
      <x:c r="D417" s="20"/>
      <x:c r="E417" s="20"/>
      <x:c r="F417" s="20"/>
      <x:c r="G417" s="20" t="str">
        <x:f>IF(OR(E417="",F417=""),"",E417*F417)</x:f>
      </x:c>
      <x:c r="H417" s="20"/>
      <x:c r="I417" s="21"/>
      <x:c r="J417" s="20"/>
      <x:c r="K417" s="20"/>
      <x:c r="L417" s="20" t="str">
        <x:f>IF(F417="","",IF(F417=0,"Critical",IF(F417=1,"High",IF(F417=2,"Moderate",IF(F417=3,"Low","Effective")))))</x:f>
      </x:c>
      <x:c r="M417" s="20"/>
      <x:c r="N417" s="20"/>
      <x:c r="O417" s="21"/>
      <x:c r="P417" s="20"/>
    </x:row>
    <x:row r="418">
      <x:c r="A418" s="20"/>
      <x:c r="B418" s="20"/>
      <x:c r="C418" s="20"/>
      <x:c r="D418" s="20"/>
      <x:c r="E418" s="20"/>
      <x:c r="F418" s="20"/>
      <x:c r="G418" s="20" t="str">
        <x:f>IF(OR(E418="",F418=""),"",E418*F418)</x:f>
      </x:c>
      <x:c r="H418" s="20"/>
      <x:c r="I418" s="21"/>
      <x:c r="J418" s="20"/>
      <x:c r="K418" s="20"/>
      <x:c r="L418" s="20" t="str">
        <x:f>IF(F418="","",IF(F418=0,"Critical",IF(F418=1,"High",IF(F418=2,"Moderate",IF(F418=3,"Low","Effective")))))</x:f>
      </x:c>
      <x:c r="M418" s="20"/>
      <x:c r="N418" s="20"/>
      <x:c r="O418" s="21"/>
      <x:c r="P418" s="20"/>
    </x:row>
    <x:row r="419">
      <x:c r="A419" s="20"/>
      <x:c r="B419" s="20"/>
      <x:c r="C419" s="20"/>
      <x:c r="D419" s="20"/>
      <x:c r="E419" s="20"/>
      <x:c r="F419" s="20"/>
      <x:c r="G419" s="20" t="str">
        <x:f>IF(OR(E419="",F419=""),"",E419*F419)</x:f>
      </x:c>
      <x:c r="H419" s="20"/>
      <x:c r="I419" s="21"/>
      <x:c r="J419" s="20"/>
      <x:c r="K419" s="20"/>
      <x:c r="L419" s="20" t="str">
        <x:f>IF(F419="","",IF(F419=0,"Critical",IF(F419=1,"High",IF(F419=2,"Moderate",IF(F419=3,"Low","Effective")))))</x:f>
      </x:c>
      <x:c r="M419" s="20"/>
      <x:c r="N419" s="20"/>
      <x:c r="O419" s="21"/>
      <x:c r="P419" s="20"/>
    </x:row>
    <x:row r="420">
      <x:c r="A420" s="20"/>
      <x:c r="B420" s="20"/>
      <x:c r="C420" s="20"/>
      <x:c r="D420" s="20"/>
      <x:c r="E420" s="20"/>
      <x:c r="F420" s="20"/>
      <x:c r="G420" s="20" t="str">
        <x:f>IF(OR(E420="",F420=""),"",E420*F420)</x:f>
      </x:c>
      <x:c r="H420" s="20"/>
      <x:c r="I420" s="21"/>
      <x:c r="J420" s="20"/>
      <x:c r="K420" s="20"/>
      <x:c r="L420" s="20" t="str">
        <x:f>IF(F420="","",IF(F420=0,"Critical",IF(F420=1,"High",IF(F420=2,"Moderate",IF(F420=3,"Low","Effective")))))</x:f>
      </x:c>
      <x:c r="M420" s="20"/>
      <x:c r="N420" s="20"/>
      <x:c r="O420" s="21"/>
      <x:c r="P420" s="20"/>
    </x:row>
    <x:row r="421">
      <x:c r="A421" s="20"/>
      <x:c r="B421" s="20"/>
      <x:c r="C421" s="20"/>
      <x:c r="D421" s="20"/>
      <x:c r="E421" s="20"/>
      <x:c r="F421" s="20"/>
      <x:c r="G421" s="20" t="str">
        <x:f>IF(OR(E421="",F421=""),"",E421*F421)</x:f>
      </x:c>
      <x:c r="H421" s="20"/>
      <x:c r="I421" s="21"/>
      <x:c r="J421" s="20"/>
      <x:c r="K421" s="20"/>
      <x:c r="L421" s="20" t="str">
        <x:f>IF(F421="","",IF(F421=0,"Critical",IF(F421=1,"High",IF(F421=2,"Moderate",IF(F421=3,"Low","Effective")))))</x:f>
      </x:c>
      <x:c r="M421" s="20"/>
      <x:c r="N421" s="20"/>
      <x:c r="O421" s="21"/>
      <x:c r="P421" s="20"/>
    </x:row>
    <x:row r="422">
      <x:c r="A422" s="20"/>
      <x:c r="B422" s="20"/>
      <x:c r="C422" s="20"/>
      <x:c r="D422" s="20"/>
      <x:c r="E422" s="20"/>
      <x:c r="F422" s="20"/>
      <x:c r="G422" s="20" t="str">
        <x:f>IF(OR(E422="",F422=""),"",E422*F422)</x:f>
      </x:c>
      <x:c r="H422" s="20"/>
      <x:c r="I422" s="21"/>
      <x:c r="J422" s="20"/>
      <x:c r="K422" s="20"/>
      <x:c r="L422" s="20" t="str">
        <x:f>IF(F422="","",IF(F422=0,"Critical",IF(F422=1,"High",IF(F422=2,"Moderate",IF(F422=3,"Low","Effective")))))</x:f>
      </x:c>
      <x:c r="M422" s="20"/>
      <x:c r="N422" s="20"/>
      <x:c r="O422" s="21"/>
      <x:c r="P422" s="20"/>
    </x:row>
    <x:row r="423">
      <x:c r="A423" s="20"/>
      <x:c r="B423" s="20"/>
      <x:c r="C423" s="20"/>
      <x:c r="D423" s="20"/>
      <x:c r="E423" s="20"/>
      <x:c r="F423" s="20"/>
      <x:c r="G423" s="20" t="str">
        <x:f>IF(OR(E423="",F423=""),"",E423*F423)</x:f>
      </x:c>
      <x:c r="H423" s="20"/>
      <x:c r="I423" s="21"/>
      <x:c r="J423" s="20"/>
      <x:c r="K423" s="20"/>
      <x:c r="L423" s="20" t="str">
        <x:f>IF(F423="","",IF(F423=0,"Critical",IF(F423=1,"High",IF(F423=2,"Moderate",IF(F423=3,"Low","Effective")))))</x:f>
      </x:c>
      <x:c r="M423" s="20"/>
      <x:c r="N423" s="20"/>
      <x:c r="O423" s="21"/>
      <x:c r="P423" s="20"/>
    </x:row>
    <x:row r="424">
      <x:c r="A424" s="20"/>
      <x:c r="B424" s="20"/>
      <x:c r="C424" s="20"/>
      <x:c r="D424" s="20"/>
      <x:c r="E424" s="20"/>
      <x:c r="F424" s="20"/>
      <x:c r="G424" s="20" t="str">
        <x:f>IF(OR(E424="",F424=""),"",E424*F424)</x:f>
      </x:c>
      <x:c r="H424" s="20"/>
      <x:c r="I424" s="21"/>
      <x:c r="J424" s="20"/>
      <x:c r="K424" s="20"/>
      <x:c r="L424" s="20" t="str">
        <x:f>IF(F424="","",IF(F424=0,"Critical",IF(F424=1,"High",IF(F424=2,"Moderate",IF(F424=3,"Low","Effective")))))</x:f>
      </x:c>
      <x:c r="M424" s="20"/>
      <x:c r="N424" s="20"/>
      <x:c r="O424" s="21"/>
      <x:c r="P424" s="20"/>
    </x:row>
    <x:row r="425">
      <x:c r="A425" s="20"/>
      <x:c r="B425" s="20"/>
      <x:c r="C425" s="20"/>
      <x:c r="D425" s="20"/>
      <x:c r="E425" s="20"/>
      <x:c r="F425" s="20"/>
      <x:c r="G425" s="20" t="str">
        <x:f>IF(OR(E425="",F425=""),"",E425*F425)</x:f>
      </x:c>
      <x:c r="H425" s="20"/>
      <x:c r="I425" s="21"/>
      <x:c r="J425" s="20"/>
      <x:c r="K425" s="20"/>
      <x:c r="L425" s="20" t="str">
        <x:f>IF(F425="","",IF(F425=0,"Critical",IF(F425=1,"High",IF(F425=2,"Moderate",IF(F425=3,"Low","Effective")))))</x:f>
      </x:c>
      <x:c r="M425" s="20"/>
      <x:c r="N425" s="20"/>
      <x:c r="O425" s="21"/>
      <x:c r="P425" s="20"/>
    </x:row>
    <x:row r="426">
      <x:c r="A426" s="20"/>
      <x:c r="B426" s="20"/>
      <x:c r="C426" s="20"/>
      <x:c r="D426" s="20"/>
      <x:c r="E426" s="20"/>
      <x:c r="F426" s="20"/>
      <x:c r="G426" s="20" t="str">
        <x:f>IF(OR(E426="",F426=""),"",E426*F426)</x:f>
      </x:c>
      <x:c r="H426" s="20"/>
      <x:c r="I426" s="21"/>
      <x:c r="J426" s="20"/>
      <x:c r="K426" s="20"/>
      <x:c r="L426" s="20" t="str">
        <x:f>IF(F426="","",IF(F426=0,"Critical",IF(F426=1,"High",IF(F426=2,"Moderate",IF(F426=3,"Low","Effective")))))</x:f>
      </x:c>
      <x:c r="M426" s="20"/>
      <x:c r="N426" s="20"/>
      <x:c r="O426" s="21"/>
      <x:c r="P426" s="20"/>
    </x:row>
    <x:row r="427">
      <x:c r="A427" s="20"/>
      <x:c r="B427" s="20"/>
      <x:c r="C427" s="20"/>
      <x:c r="D427" s="20"/>
      <x:c r="E427" s="20"/>
      <x:c r="F427" s="20"/>
      <x:c r="G427" s="20" t="str">
        <x:f>IF(OR(E427="",F427=""),"",E427*F427)</x:f>
      </x:c>
      <x:c r="H427" s="20"/>
      <x:c r="I427" s="21"/>
      <x:c r="J427" s="20"/>
      <x:c r="K427" s="20"/>
      <x:c r="L427" s="20" t="str">
        <x:f>IF(F427="","",IF(F427=0,"Critical",IF(F427=1,"High",IF(F427=2,"Moderate",IF(F427=3,"Low","Effective")))))</x:f>
      </x:c>
      <x:c r="M427" s="20"/>
      <x:c r="N427" s="20"/>
      <x:c r="O427" s="21"/>
      <x:c r="P427" s="20"/>
    </x:row>
    <x:row r="428">
      <x:c r="A428" s="20"/>
      <x:c r="B428" s="20"/>
      <x:c r="C428" s="20"/>
      <x:c r="D428" s="20"/>
      <x:c r="E428" s="20"/>
      <x:c r="F428" s="20"/>
      <x:c r="G428" s="20" t="str">
        <x:f>IF(OR(E428="",F428=""),"",E428*F428)</x:f>
      </x:c>
      <x:c r="H428" s="20"/>
      <x:c r="I428" s="21"/>
      <x:c r="J428" s="20"/>
      <x:c r="K428" s="20"/>
      <x:c r="L428" s="20" t="str">
        <x:f>IF(F428="","",IF(F428=0,"Critical",IF(F428=1,"High",IF(F428=2,"Moderate",IF(F428=3,"Low","Effective")))))</x:f>
      </x:c>
      <x:c r="M428" s="20"/>
      <x:c r="N428" s="20"/>
      <x:c r="O428" s="21"/>
      <x:c r="P428" s="20"/>
    </x:row>
    <x:row r="429">
      <x:c r="A429" s="20"/>
      <x:c r="B429" s="20"/>
      <x:c r="C429" s="20"/>
      <x:c r="D429" s="20"/>
      <x:c r="E429" s="20"/>
      <x:c r="F429" s="20"/>
      <x:c r="G429" s="20" t="str">
        <x:f>IF(OR(E429="",F429=""),"",E429*F429)</x:f>
      </x:c>
      <x:c r="H429" s="20"/>
      <x:c r="I429" s="21"/>
      <x:c r="J429" s="20"/>
      <x:c r="K429" s="20"/>
      <x:c r="L429" s="20" t="str">
        <x:f>IF(F429="","",IF(F429=0,"Critical",IF(F429=1,"High",IF(F429=2,"Moderate",IF(F429=3,"Low","Effective")))))</x:f>
      </x:c>
      <x:c r="M429" s="20"/>
      <x:c r="N429" s="20"/>
      <x:c r="O429" s="21"/>
      <x:c r="P429" s="20"/>
    </x:row>
    <x:row r="430">
      <x:c r="A430" s="20"/>
      <x:c r="B430" s="20"/>
      <x:c r="C430" s="20"/>
      <x:c r="D430" s="20"/>
      <x:c r="E430" s="20"/>
      <x:c r="F430" s="20"/>
      <x:c r="G430" s="20" t="str">
        <x:f>IF(OR(E430="",F430=""),"",E430*F430)</x:f>
      </x:c>
      <x:c r="H430" s="20"/>
      <x:c r="I430" s="21"/>
      <x:c r="J430" s="20"/>
      <x:c r="K430" s="20"/>
      <x:c r="L430" s="20" t="str">
        <x:f>IF(F430="","",IF(F430=0,"Critical",IF(F430=1,"High",IF(F430=2,"Moderate",IF(F430=3,"Low","Effective")))))</x:f>
      </x:c>
      <x:c r="M430" s="20"/>
      <x:c r="N430" s="20"/>
      <x:c r="O430" s="21"/>
      <x:c r="P430" s="20"/>
    </x:row>
    <x:row r="431">
      <x:c r="A431" s="20"/>
      <x:c r="B431" s="20"/>
      <x:c r="C431" s="20"/>
      <x:c r="D431" s="20"/>
      <x:c r="E431" s="20"/>
      <x:c r="F431" s="20"/>
      <x:c r="G431" s="20" t="str">
        <x:f>IF(OR(E431="",F431=""),"",E431*F431)</x:f>
      </x:c>
      <x:c r="H431" s="20"/>
      <x:c r="I431" s="21"/>
      <x:c r="J431" s="20"/>
      <x:c r="K431" s="20"/>
      <x:c r="L431" s="20" t="str">
        <x:f>IF(F431="","",IF(F431=0,"Critical",IF(F431=1,"High",IF(F431=2,"Moderate",IF(F431=3,"Low","Effective")))))</x:f>
      </x:c>
      <x:c r="M431" s="20"/>
      <x:c r="N431" s="20"/>
      <x:c r="O431" s="21"/>
      <x:c r="P431" s="20"/>
    </x:row>
    <x:row r="432">
      <x:c r="A432" s="20"/>
      <x:c r="B432" s="20"/>
      <x:c r="C432" s="20"/>
      <x:c r="D432" s="20"/>
      <x:c r="E432" s="20"/>
      <x:c r="F432" s="20"/>
      <x:c r="G432" s="20" t="str">
        <x:f>IF(OR(E432="",F432=""),"",E432*F432)</x:f>
      </x:c>
      <x:c r="H432" s="20"/>
      <x:c r="I432" s="21"/>
      <x:c r="J432" s="20"/>
      <x:c r="K432" s="20"/>
      <x:c r="L432" s="20" t="str">
        <x:f>IF(F432="","",IF(F432=0,"Critical",IF(F432=1,"High",IF(F432=2,"Moderate",IF(F432=3,"Low","Effective")))))</x:f>
      </x:c>
      <x:c r="M432" s="20"/>
      <x:c r="N432" s="20"/>
      <x:c r="O432" s="21"/>
      <x:c r="P432" s="20"/>
    </x:row>
    <x:row r="433">
      <x:c r="A433" s="20"/>
      <x:c r="B433" s="20"/>
      <x:c r="C433" s="20"/>
      <x:c r="D433" s="20"/>
      <x:c r="E433" s="20"/>
      <x:c r="F433" s="20"/>
      <x:c r="G433" s="20" t="str">
        <x:f>IF(OR(E433="",F433=""),"",E433*F433)</x:f>
      </x:c>
      <x:c r="H433" s="20"/>
      <x:c r="I433" s="21"/>
      <x:c r="J433" s="20"/>
      <x:c r="K433" s="20"/>
      <x:c r="L433" s="20" t="str">
        <x:f>IF(F433="","",IF(F433=0,"Critical",IF(F433=1,"High",IF(F433=2,"Moderate",IF(F433=3,"Low","Effective")))))</x:f>
      </x:c>
      <x:c r="M433" s="20"/>
      <x:c r="N433" s="20"/>
      <x:c r="O433" s="21"/>
      <x:c r="P433" s="20"/>
    </x:row>
    <x:row r="434">
      <x:c r="A434" s="20"/>
      <x:c r="B434" s="20"/>
      <x:c r="C434" s="20"/>
      <x:c r="D434" s="20"/>
      <x:c r="E434" s="20"/>
      <x:c r="F434" s="20"/>
      <x:c r="G434" s="20" t="str">
        <x:f>IF(OR(E434="",F434=""),"",E434*F434)</x:f>
      </x:c>
      <x:c r="H434" s="20"/>
      <x:c r="I434" s="21"/>
      <x:c r="J434" s="20"/>
      <x:c r="K434" s="20"/>
      <x:c r="L434" s="20" t="str">
        <x:f>IF(F434="","",IF(F434=0,"Critical",IF(F434=1,"High",IF(F434=2,"Moderate",IF(F434=3,"Low","Effective")))))</x:f>
      </x:c>
      <x:c r="M434" s="20"/>
      <x:c r="N434" s="20"/>
      <x:c r="O434" s="21"/>
      <x:c r="P434" s="20"/>
    </x:row>
    <x:row r="435">
      <x:c r="A435" s="20"/>
      <x:c r="B435" s="20"/>
      <x:c r="C435" s="20"/>
      <x:c r="D435" s="20"/>
      <x:c r="E435" s="20"/>
      <x:c r="F435" s="20"/>
      <x:c r="G435" s="20" t="str">
        <x:f>IF(OR(E435="",F435=""),"",E435*F435)</x:f>
      </x:c>
      <x:c r="H435" s="20"/>
      <x:c r="I435" s="21"/>
      <x:c r="J435" s="20"/>
      <x:c r="K435" s="20"/>
      <x:c r="L435" s="20" t="str">
        <x:f>IF(F435="","",IF(F435=0,"Critical",IF(F435=1,"High",IF(F435=2,"Moderate",IF(F435=3,"Low","Effective")))))</x:f>
      </x:c>
      <x:c r="M435" s="20"/>
      <x:c r="N435" s="20"/>
      <x:c r="O435" s="21"/>
      <x:c r="P435" s="20"/>
    </x:row>
    <x:row r="436">
      <x:c r="A436" s="20"/>
      <x:c r="B436" s="20"/>
      <x:c r="C436" s="20"/>
      <x:c r="D436" s="20"/>
      <x:c r="E436" s="20"/>
      <x:c r="F436" s="20"/>
      <x:c r="G436" s="20" t="str">
        <x:f>IF(OR(E436="",F436=""),"",E436*F436)</x:f>
      </x:c>
      <x:c r="H436" s="20"/>
      <x:c r="I436" s="21"/>
      <x:c r="J436" s="20"/>
      <x:c r="K436" s="20"/>
      <x:c r="L436" s="20" t="str">
        <x:f>IF(F436="","",IF(F436=0,"Critical",IF(F436=1,"High",IF(F436=2,"Moderate",IF(F436=3,"Low","Effective")))))</x:f>
      </x:c>
      <x:c r="M436" s="20"/>
      <x:c r="N436" s="20"/>
      <x:c r="O436" s="21"/>
      <x:c r="P436" s="20"/>
    </x:row>
    <x:row r="437">
      <x:c r="A437" s="20"/>
      <x:c r="B437" s="20"/>
      <x:c r="C437" s="20"/>
      <x:c r="D437" s="20"/>
      <x:c r="E437" s="20"/>
      <x:c r="F437" s="20"/>
      <x:c r="G437" s="20" t="str">
        <x:f>IF(OR(E437="",F437=""),"",E437*F437)</x:f>
      </x:c>
      <x:c r="H437" s="20"/>
      <x:c r="I437" s="21"/>
      <x:c r="J437" s="20"/>
      <x:c r="K437" s="20"/>
      <x:c r="L437" s="20" t="str">
        <x:f>IF(F437="","",IF(F437=0,"Critical",IF(F437=1,"High",IF(F437=2,"Moderate",IF(F437=3,"Low","Effective")))))</x:f>
      </x:c>
      <x:c r="M437" s="20"/>
      <x:c r="N437" s="20"/>
      <x:c r="O437" s="21"/>
      <x:c r="P437" s="20"/>
    </x:row>
    <x:row r="438">
      <x:c r="A438" s="20"/>
      <x:c r="B438" s="20"/>
      <x:c r="C438" s="20"/>
      <x:c r="D438" s="20"/>
      <x:c r="E438" s="20"/>
      <x:c r="F438" s="20"/>
      <x:c r="G438" s="20" t="str">
        <x:f>IF(OR(E438="",F438=""),"",E438*F438)</x:f>
      </x:c>
      <x:c r="H438" s="20"/>
      <x:c r="I438" s="21"/>
      <x:c r="J438" s="20"/>
      <x:c r="K438" s="20"/>
      <x:c r="L438" s="20" t="str">
        <x:f>IF(F438="","",IF(F438=0,"Critical",IF(F438=1,"High",IF(F438=2,"Moderate",IF(F438=3,"Low","Effective")))))</x:f>
      </x:c>
      <x:c r="M438" s="20"/>
      <x:c r="N438" s="20"/>
      <x:c r="O438" s="21"/>
      <x:c r="P438" s="20"/>
    </x:row>
    <x:row r="439">
      <x:c r="A439" s="20"/>
      <x:c r="B439" s="20"/>
      <x:c r="C439" s="20"/>
      <x:c r="D439" s="20"/>
      <x:c r="E439" s="20"/>
      <x:c r="F439" s="20"/>
      <x:c r="G439" s="20" t="str">
        <x:f>IF(OR(E439="",F439=""),"",E439*F439)</x:f>
      </x:c>
      <x:c r="H439" s="20"/>
      <x:c r="I439" s="21"/>
      <x:c r="J439" s="20"/>
      <x:c r="K439" s="20"/>
      <x:c r="L439" s="20" t="str">
        <x:f>IF(F439="","",IF(F439=0,"Critical",IF(F439=1,"High",IF(F439=2,"Moderate",IF(F439=3,"Low","Effective")))))</x:f>
      </x:c>
      <x:c r="M439" s="20"/>
      <x:c r="N439" s="20"/>
      <x:c r="O439" s="21"/>
      <x:c r="P439" s="20"/>
    </x:row>
    <x:row r="440">
      <x:c r="A440" s="20"/>
      <x:c r="B440" s="20"/>
      <x:c r="C440" s="20"/>
      <x:c r="D440" s="20"/>
      <x:c r="E440" s="20"/>
      <x:c r="F440" s="20"/>
      <x:c r="G440" s="20" t="str">
        <x:f>IF(OR(E440="",F440=""),"",E440*F440)</x:f>
      </x:c>
      <x:c r="H440" s="20"/>
      <x:c r="I440" s="21"/>
      <x:c r="J440" s="20"/>
      <x:c r="K440" s="20"/>
      <x:c r="L440" s="20" t="str">
        <x:f>IF(F440="","",IF(F440=0,"Critical",IF(F440=1,"High",IF(F440=2,"Moderate",IF(F440=3,"Low","Effective")))))</x:f>
      </x:c>
      <x:c r="M440" s="20"/>
      <x:c r="N440" s="20"/>
      <x:c r="O440" s="21"/>
      <x:c r="P440" s="20"/>
    </x:row>
    <x:row r="441">
      <x:c r="A441" s="20"/>
      <x:c r="B441" s="20"/>
      <x:c r="C441" s="20"/>
      <x:c r="D441" s="20"/>
      <x:c r="E441" s="20"/>
      <x:c r="F441" s="20"/>
      <x:c r="G441" s="20" t="str">
        <x:f>IF(OR(E441="",F441=""),"",E441*F441)</x:f>
      </x:c>
      <x:c r="H441" s="20"/>
      <x:c r="I441" s="21"/>
      <x:c r="J441" s="20"/>
      <x:c r="K441" s="20"/>
      <x:c r="L441" s="20" t="str">
        <x:f>IF(F441="","",IF(F441=0,"Critical",IF(F441=1,"High",IF(F441=2,"Moderate",IF(F441=3,"Low","Effective")))))</x:f>
      </x:c>
      <x:c r="M441" s="20"/>
      <x:c r="N441" s="20"/>
      <x:c r="O441" s="21"/>
      <x:c r="P441" s="20"/>
    </x:row>
    <x:row r="442">
      <x:c r="A442" s="20"/>
      <x:c r="B442" s="20"/>
      <x:c r="C442" s="20"/>
      <x:c r="D442" s="20"/>
      <x:c r="E442" s="20"/>
      <x:c r="F442" s="20"/>
      <x:c r="G442" s="20" t="str">
        <x:f>IF(OR(E442="",F442=""),"",E442*F442)</x:f>
      </x:c>
      <x:c r="H442" s="20"/>
      <x:c r="I442" s="21"/>
      <x:c r="J442" s="20"/>
      <x:c r="K442" s="20"/>
      <x:c r="L442" s="20" t="str">
        <x:f>IF(F442="","",IF(F442=0,"Critical",IF(F442=1,"High",IF(F442=2,"Moderate",IF(F442=3,"Low","Effective")))))</x:f>
      </x:c>
      <x:c r="M442" s="20"/>
      <x:c r="N442" s="20"/>
      <x:c r="O442" s="21"/>
      <x:c r="P442" s="20"/>
    </x:row>
    <x:row r="443">
      <x:c r="A443" s="20"/>
      <x:c r="B443" s="20"/>
      <x:c r="C443" s="20"/>
      <x:c r="D443" s="20"/>
      <x:c r="E443" s="20"/>
      <x:c r="F443" s="20"/>
      <x:c r="G443" s="20" t="str">
        <x:f>IF(OR(E443="",F443=""),"",E443*F443)</x:f>
      </x:c>
      <x:c r="H443" s="20"/>
      <x:c r="I443" s="21"/>
      <x:c r="J443" s="20"/>
      <x:c r="K443" s="20"/>
      <x:c r="L443" s="20" t="str">
        <x:f>IF(F443="","",IF(F443=0,"Critical",IF(F443=1,"High",IF(F443=2,"Moderate",IF(F443=3,"Low","Effective")))))</x:f>
      </x:c>
      <x:c r="M443" s="20"/>
      <x:c r="N443" s="20"/>
      <x:c r="O443" s="21"/>
      <x:c r="P443" s="20"/>
    </x:row>
    <x:row r="444">
      <x:c r="A444" s="20"/>
      <x:c r="B444" s="20"/>
      <x:c r="C444" s="20"/>
      <x:c r="D444" s="20"/>
      <x:c r="E444" s="20"/>
      <x:c r="F444" s="20"/>
      <x:c r="G444" s="20" t="str">
        <x:f>IF(OR(E444="",F444=""),"",E444*F444)</x:f>
      </x:c>
      <x:c r="H444" s="20"/>
      <x:c r="I444" s="21"/>
      <x:c r="J444" s="20"/>
      <x:c r="K444" s="20"/>
      <x:c r="L444" s="20" t="str">
        <x:f>IF(F444="","",IF(F444=0,"Critical",IF(F444=1,"High",IF(F444=2,"Moderate",IF(F444=3,"Low","Effective")))))</x:f>
      </x:c>
      <x:c r="M444" s="20"/>
      <x:c r="N444" s="20"/>
      <x:c r="O444" s="21"/>
      <x:c r="P444" s="20"/>
    </x:row>
    <x:row r="445">
      <x:c r="A445" s="20"/>
      <x:c r="B445" s="20"/>
      <x:c r="C445" s="20"/>
      <x:c r="D445" s="20"/>
      <x:c r="E445" s="20"/>
      <x:c r="F445" s="20"/>
      <x:c r="G445" s="20" t="str">
        <x:f>IF(OR(E445="",F445=""),"",E445*F445)</x:f>
      </x:c>
      <x:c r="H445" s="20"/>
      <x:c r="I445" s="21"/>
      <x:c r="J445" s="20"/>
      <x:c r="K445" s="20"/>
      <x:c r="L445" s="20" t="str">
        <x:f>IF(F445="","",IF(F445=0,"Critical",IF(F445=1,"High",IF(F445=2,"Moderate",IF(F445=3,"Low","Effective")))))</x:f>
      </x:c>
      <x:c r="M445" s="20"/>
      <x:c r="N445" s="20"/>
      <x:c r="O445" s="21"/>
      <x:c r="P445" s="20"/>
    </x:row>
    <x:row r="446">
      <x:c r="A446" s="20"/>
      <x:c r="B446" s="20"/>
      <x:c r="C446" s="20"/>
      <x:c r="D446" s="20"/>
      <x:c r="E446" s="20"/>
      <x:c r="F446" s="20"/>
      <x:c r="G446" s="20" t="str">
        <x:f>IF(OR(E446="",F446=""),"",E446*F446)</x:f>
      </x:c>
      <x:c r="H446" s="20"/>
      <x:c r="I446" s="21"/>
      <x:c r="J446" s="20"/>
      <x:c r="K446" s="20"/>
      <x:c r="L446" s="20" t="str">
        <x:f>IF(F446="","",IF(F446=0,"Critical",IF(F446=1,"High",IF(F446=2,"Moderate",IF(F446=3,"Low","Effective")))))</x:f>
      </x:c>
      <x:c r="M446" s="20"/>
      <x:c r="N446" s="20"/>
      <x:c r="O446" s="21"/>
      <x:c r="P446" s="20"/>
    </x:row>
    <x:row r="447">
      <x:c r="A447" s="20"/>
      <x:c r="B447" s="20"/>
      <x:c r="C447" s="20"/>
      <x:c r="D447" s="20"/>
      <x:c r="E447" s="20"/>
      <x:c r="F447" s="20"/>
      <x:c r="G447" s="20" t="str">
        <x:f>IF(OR(E447="",F447=""),"",E447*F447)</x:f>
      </x:c>
      <x:c r="H447" s="20"/>
      <x:c r="I447" s="21"/>
      <x:c r="J447" s="20"/>
      <x:c r="K447" s="20"/>
      <x:c r="L447" s="20" t="str">
        <x:f>IF(F447="","",IF(F447=0,"Critical",IF(F447=1,"High",IF(F447=2,"Moderate",IF(F447=3,"Low","Effective")))))</x:f>
      </x:c>
      <x:c r="M447" s="20"/>
      <x:c r="N447" s="20"/>
      <x:c r="O447" s="21"/>
      <x:c r="P447" s="20"/>
    </x:row>
    <x:row r="448">
      <x:c r="A448" s="20"/>
      <x:c r="B448" s="20"/>
      <x:c r="C448" s="20"/>
      <x:c r="D448" s="20"/>
      <x:c r="E448" s="20"/>
      <x:c r="F448" s="20"/>
      <x:c r="G448" s="20" t="str">
        <x:f>IF(OR(E448="",F448=""),"",E448*F448)</x:f>
      </x:c>
      <x:c r="H448" s="20"/>
      <x:c r="I448" s="21"/>
      <x:c r="J448" s="20"/>
      <x:c r="K448" s="20"/>
      <x:c r="L448" s="20" t="str">
        <x:f>IF(F448="","",IF(F448=0,"Critical",IF(F448=1,"High",IF(F448=2,"Moderate",IF(F448=3,"Low","Effective")))))</x:f>
      </x:c>
      <x:c r="M448" s="20"/>
      <x:c r="N448" s="20"/>
      <x:c r="O448" s="21"/>
      <x:c r="P448" s="20"/>
    </x:row>
    <x:row r="449">
      <x:c r="A449" s="20"/>
      <x:c r="B449" s="20"/>
      <x:c r="C449" s="20"/>
      <x:c r="D449" s="20"/>
      <x:c r="E449" s="20"/>
      <x:c r="F449" s="20"/>
      <x:c r="G449" s="20" t="str">
        <x:f>IF(OR(E449="",F449=""),"",E449*F449)</x:f>
      </x:c>
      <x:c r="H449" s="20"/>
      <x:c r="I449" s="21"/>
      <x:c r="J449" s="20"/>
      <x:c r="K449" s="20"/>
      <x:c r="L449" s="20" t="str">
        <x:f>IF(F449="","",IF(F449=0,"Critical",IF(F449=1,"High",IF(F449=2,"Moderate",IF(F449=3,"Low","Effective")))))</x:f>
      </x:c>
      <x:c r="M449" s="20"/>
      <x:c r="N449" s="20"/>
      <x:c r="O449" s="21"/>
      <x:c r="P449" s="20"/>
    </x:row>
    <x:row r="450">
      <x:c r="A450" s="20"/>
      <x:c r="B450" s="20"/>
      <x:c r="C450" s="20"/>
      <x:c r="D450" s="20"/>
      <x:c r="E450" s="20"/>
      <x:c r="F450" s="20"/>
      <x:c r="G450" s="20" t="str">
        <x:f>IF(OR(E450="",F450=""),"",E450*F450)</x:f>
      </x:c>
      <x:c r="H450" s="20"/>
      <x:c r="I450" s="21"/>
      <x:c r="J450" s="20"/>
      <x:c r="K450" s="20"/>
      <x:c r="L450" s="20" t="str">
        <x:f>IF(F450="","",IF(F450=0,"Critical",IF(F450=1,"High",IF(F450=2,"Moderate",IF(F450=3,"Low","Effective")))))</x:f>
      </x:c>
      <x:c r="M450" s="20"/>
      <x:c r="N450" s="20"/>
      <x:c r="O450" s="21"/>
      <x:c r="P450" s="20"/>
    </x:row>
    <x:row r="451">
      <x:c r="A451" s="20"/>
      <x:c r="B451" s="20"/>
      <x:c r="C451" s="20"/>
      <x:c r="D451" s="20"/>
      <x:c r="E451" s="20"/>
      <x:c r="F451" s="20"/>
      <x:c r="G451" s="20" t="str">
        <x:f>IF(OR(E451="",F451=""),"",E451*F451)</x:f>
      </x:c>
      <x:c r="H451" s="20"/>
      <x:c r="I451" s="21"/>
      <x:c r="J451" s="20"/>
      <x:c r="K451" s="20"/>
      <x:c r="L451" s="20" t="str">
        <x:f>IF(F451="","",IF(F451=0,"Critical",IF(F451=1,"High",IF(F451=2,"Moderate",IF(F451=3,"Low","Effective")))))</x:f>
      </x:c>
      <x:c r="M451" s="20"/>
      <x:c r="N451" s="20"/>
      <x:c r="O451" s="21"/>
      <x:c r="P451" s="20"/>
    </x:row>
    <x:row r="452">
      <x:c r="A452" s="20"/>
      <x:c r="B452" s="20"/>
      <x:c r="C452" s="20"/>
      <x:c r="D452" s="20"/>
      <x:c r="E452" s="20"/>
      <x:c r="F452" s="20"/>
      <x:c r="G452" s="20" t="str">
        <x:f>IF(OR(E452="",F452=""),"",E452*F452)</x:f>
      </x:c>
      <x:c r="H452" s="20"/>
      <x:c r="I452" s="21"/>
      <x:c r="J452" s="20"/>
      <x:c r="K452" s="20"/>
      <x:c r="L452" s="20" t="str">
        <x:f>IF(F452="","",IF(F452=0,"Critical",IF(F452=1,"High",IF(F452=2,"Moderate",IF(F452=3,"Low","Effective")))))</x:f>
      </x:c>
      <x:c r="M452" s="20"/>
      <x:c r="N452" s="20"/>
      <x:c r="O452" s="21"/>
      <x:c r="P452" s="20"/>
    </x:row>
    <x:row r="453">
      <x:c r="A453" s="20"/>
      <x:c r="B453" s="20"/>
      <x:c r="C453" s="20"/>
      <x:c r="D453" s="20"/>
      <x:c r="E453" s="20"/>
      <x:c r="F453" s="20"/>
      <x:c r="G453" s="20" t="str">
        <x:f>IF(OR(E453="",F453=""),"",E453*F453)</x:f>
      </x:c>
      <x:c r="H453" s="20"/>
      <x:c r="I453" s="21"/>
      <x:c r="J453" s="20"/>
      <x:c r="K453" s="20"/>
      <x:c r="L453" s="20" t="str">
        <x:f>IF(F453="","",IF(F453=0,"Critical",IF(F453=1,"High",IF(F453=2,"Moderate",IF(F453=3,"Low","Effective")))))</x:f>
      </x:c>
      <x:c r="M453" s="20"/>
      <x:c r="N453" s="20"/>
      <x:c r="O453" s="21"/>
      <x:c r="P453" s="20"/>
    </x:row>
    <x:row r="454">
      <x:c r="A454" s="20"/>
      <x:c r="B454" s="20"/>
      <x:c r="C454" s="20"/>
      <x:c r="D454" s="20"/>
      <x:c r="E454" s="20"/>
      <x:c r="F454" s="20"/>
      <x:c r="G454" s="20" t="str">
        <x:f>IF(OR(E454="",F454=""),"",E454*F454)</x:f>
      </x:c>
      <x:c r="H454" s="20"/>
      <x:c r="I454" s="21"/>
      <x:c r="J454" s="20"/>
      <x:c r="K454" s="20"/>
      <x:c r="L454" s="20" t="str">
        <x:f>IF(F454="","",IF(F454=0,"Critical",IF(F454=1,"High",IF(F454=2,"Moderate",IF(F454=3,"Low","Effective")))))</x:f>
      </x:c>
      <x:c r="M454" s="20"/>
      <x:c r="N454" s="20"/>
      <x:c r="O454" s="21"/>
      <x:c r="P454" s="20"/>
    </x:row>
    <x:row r="455">
      <x:c r="A455" s="20"/>
      <x:c r="B455" s="20"/>
      <x:c r="C455" s="20"/>
      <x:c r="D455" s="20"/>
      <x:c r="E455" s="20"/>
      <x:c r="F455" s="20"/>
      <x:c r="G455" s="20" t="str">
        <x:f>IF(OR(E455="",F455=""),"",E455*F455)</x:f>
      </x:c>
      <x:c r="H455" s="20"/>
      <x:c r="I455" s="21"/>
      <x:c r="J455" s="20"/>
      <x:c r="K455" s="20"/>
      <x:c r="L455" s="20" t="str">
        <x:f>IF(F455="","",IF(F455=0,"Critical",IF(F455=1,"High",IF(F455=2,"Moderate",IF(F455=3,"Low","Effective")))))</x:f>
      </x:c>
      <x:c r="M455" s="20"/>
      <x:c r="N455" s="20"/>
      <x:c r="O455" s="21"/>
      <x:c r="P455" s="20"/>
    </x:row>
    <x:row r="456">
      <x:c r="A456" s="20"/>
      <x:c r="B456" s="20"/>
      <x:c r="C456" s="20"/>
      <x:c r="D456" s="20"/>
      <x:c r="E456" s="20"/>
      <x:c r="F456" s="20"/>
      <x:c r="G456" s="20" t="str">
        <x:f>IF(OR(E456="",F456=""),"",E456*F456)</x:f>
      </x:c>
      <x:c r="H456" s="20"/>
      <x:c r="I456" s="21"/>
      <x:c r="J456" s="20"/>
      <x:c r="K456" s="20"/>
      <x:c r="L456" s="20" t="str">
        <x:f>IF(F456="","",IF(F456=0,"Critical",IF(F456=1,"High",IF(F456=2,"Moderate",IF(F456=3,"Low","Effective")))))</x:f>
      </x:c>
      <x:c r="M456" s="20"/>
      <x:c r="N456" s="20"/>
      <x:c r="O456" s="21"/>
      <x:c r="P456" s="20"/>
    </x:row>
    <x:row r="457">
      <x:c r="A457" s="20"/>
      <x:c r="B457" s="20"/>
      <x:c r="C457" s="20"/>
      <x:c r="D457" s="20"/>
      <x:c r="E457" s="20"/>
      <x:c r="F457" s="20"/>
      <x:c r="G457" s="20" t="str">
        <x:f>IF(OR(E457="",F457=""),"",E457*F457)</x:f>
      </x:c>
      <x:c r="H457" s="20"/>
      <x:c r="I457" s="21"/>
      <x:c r="J457" s="20"/>
      <x:c r="K457" s="20"/>
      <x:c r="L457" s="20" t="str">
        <x:f>IF(F457="","",IF(F457=0,"Critical",IF(F457=1,"High",IF(F457=2,"Moderate",IF(F457=3,"Low","Effective")))))</x:f>
      </x:c>
      <x:c r="M457" s="20"/>
      <x:c r="N457" s="20"/>
      <x:c r="O457" s="21"/>
      <x:c r="P457" s="20"/>
    </x:row>
    <x:row r="458">
      <x:c r="A458" s="20"/>
      <x:c r="B458" s="20"/>
      <x:c r="C458" s="20"/>
      <x:c r="D458" s="20"/>
      <x:c r="E458" s="20"/>
      <x:c r="F458" s="20"/>
      <x:c r="G458" s="20" t="str">
        <x:f>IF(OR(E458="",F458=""),"",E458*F458)</x:f>
      </x:c>
      <x:c r="H458" s="20"/>
      <x:c r="I458" s="21"/>
      <x:c r="J458" s="20"/>
      <x:c r="K458" s="20"/>
      <x:c r="L458" s="20" t="str">
        <x:f>IF(F458="","",IF(F458=0,"Critical",IF(F458=1,"High",IF(F458=2,"Moderate",IF(F458=3,"Low","Effective")))))</x:f>
      </x:c>
      <x:c r="M458" s="20"/>
      <x:c r="N458" s="20"/>
      <x:c r="O458" s="21"/>
      <x:c r="P458" s="20"/>
    </x:row>
    <x:row r="459">
      <x:c r="A459" s="20"/>
      <x:c r="B459" s="20"/>
      <x:c r="C459" s="20"/>
      <x:c r="D459" s="20"/>
      <x:c r="E459" s="20"/>
      <x:c r="F459" s="20"/>
      <x:c r="G459" s="20" t="str">
        <x:f>IF(OR(E459="",F459=""),"",E459*F459)</x:f>
      </x:c>
      <x:c r="H459" s="20"/>
      <x:c r="I459" s="21"/>
      <x:c r="J459" s="20"/>
      <x:c r="K459" s="20"/>
      <x:c r="L459" s="20" t="str">
        <x:f>IF(F459="","",IF(F459=0,"Critical",IF(F459=1,"High",IF(F459=2,"Moderate",IF(F459=3,"Low","Effective")))))</x:f>
      </x:c>
      <x:c r="M459" s="20"/>
      <x:c r="N459" s="20"/>
      <x:c r="O459" s="21"/>
      <x:c r="P459" s="20"/>
    </x:row>
    <x:row r="460">
      <x:c r="A460" s="20"/>
      <x:c r="B460" s="20"/>
      <x:c r="C460" s="20"/>
      <x:c r="D460" s="20"/>
      <x:c r="E460" s="20"/>
      <x:c r="F460" s="20"/>
      <x:c r="G460" s="20" t="str">
        <x:f>IF(OR(E460="",F460=""),"",E460*F460)</x:f>
      </x:c>
      <x:c r="H460" s="20"/>
      <x:c r="I460" s="21"/>
      <x:c r="J460" s="20"/>
      <x:c r="K460" s="20"/>
      <x:c r="L460" s="20" t="str">
        <x:f>IF(F460="","",IF(F460=0,"Critical",IF(F460=1,"High",IF(F460=2,"Moderate",IF(F460=3,"Low","Effective")))))</x:f>
      </x:c>
      <x:c r="M460" s="20"/>
      <x:c r="N460" s="20"/>
      <x:c r="O460" s="21"/>
      <x:c r="P460" s="20"/>
    </x:row>
    <x:row r="461">
      <x:c r="A461" s="20"/>
      <x:c r="B461" s="20"/>
      <x:c r="C461" s="20"/>
      <x:c r="D461" s="20"/>
      <x:c r="E461" s="20"/>
      <x:c r="F461" s="20"/>
      <x:c r="G461" s="20" t="str">
        <x:f>IF(OR(E461="",F461=""),"",E461*F461)</x:f>
      </x:c>
      <x:c r="H461" s="20"/>
      <x:c r="I461" s="21"/>
      <x:c r="J461" s="20"/>
      <x:c r="K461" s="20"/>
      <x:c r="L461" s="20" t="str">
        <x:f>IF(F461="","",IF(F461=0,"Critical",IF(F461=1,"High",IF(F461=2,"Moderate",IF(F461=3,"Low","Effective")))))</x:f>
      </x:c>
      <x:c r="M461" s="20"/>
      <x:c r="N461" s="20"/>
      <x:c r="O461" s="21"/>
      <x:c r="P461" s="20"/>
    </x:row>
    <x:row r="462">
      <x:c r="A462" s="20"/>
      <x:c r="B462" s="20"/>
      <x:c r="C462" s="20"/>
      <x:c r="D462" s="20"/>
      <x:c r="E462" s="20"/>
      <x:c r="F462" s="20"/>
      <x:c r="G462" s="20" t="str">
        <x:f>IF(OR(E462="",F462=""),"",E462*F462)</x:f>
      </x:c>
      <x:c r="H462" s="20"/>
      <x:c r="I462" s="21"/>
      <x:c r="J462" s="20"/>
      <x:c r="K462" s="20"/>
      <x:c r="L462" s="20" t="str">
        <x:f>IF(F462="","",IF(F462=0,"Critical",IF(F462=1,"High",IF(F462=2,"Moderate",IF(F462=3,"Low","Effective")))))</x:f>
      </x:c>
      <x:c r="M462" s="20"/>
      <x:c r="N462" s="20"/>
      <x:c r="O462" s="21"/>
      <x:c r="P462" s="20"/>
    </x:row>
    <x:row r="463">
      <x:c r="A463" s="20"/>
      <x:c r="B463" s="20"/>
      <x:c r="C463" s="20"/>
      <x:c r="D463" s="20"/>
      <x:c r="E463" s="20"/>
      <x:c r="F463" s="20"/>
      <x:c r="G463" s="20" t="str">
        <x:f>IF(OR(E463="",F463=""),"",E463*F463)</x:f>
      </x:c>
      <x:c r="H463" s="20"/>
      <x:c r="I463" s="21"/>
      <x:c r="J463" s="20"/>
      <x:c r="K463" s="20"/>
      <x:c r="L463" s="20" t="str">
        <x:f>IF(F463="","",IF(F463=0,"Critical",IF(F463=1,"High",IF(F463=2,"Moderate",IF(F463=3,"Low","Effective")))))</x:f>
      </x:c>
      <x:c r="M463" s="20"/>
      <x:c r="N463" s="20"/>
      <x:c r="O463" s="21"/>
      <x:c r="P463" s="20"/>
    </x:row>
    <x:row r="464">
      <x:c r="A464" s="20"/>
      <x:c r="B464" s="20"/>
      <x:c r="C464" s="20"/>
      <x:c r="D464" s="20"/>
      <x:c r="E464" s="20"/>
      <x:c r="F464" s="20"/>
      <x:c r="G464" s="20" t="str">
        <x:f>IF(OR(E464="",F464=""),"",E464*F464)</x:f>
      </x:c>
      <x:c r="H464" s="20"/>
      <x:c r="I464" s="21"/>
      <x:c r="J464" s="20"/>
      <x:c r="K464" s="20"/>
      <x:c r="L464" s="20" t="str">
        <x:f>IF(F464="","",IF(F464=0,"Critical",IF(F464=1,"High",IF(F464=2,"Moderate",IF(F464=3,"Low","Effective")))))</x:f>
      </x:c>
      <x:c r="M464" s="20"/>
      <x:c r="N464" s="20"/>
      <x:c r="O464" s="21"/>
      <x:c r="P464" s="20"/>
    </x:row>
    <x:row r="465">
      <x:c r="A465" s="20"/>
      <x:c r="B465" s="20"/>
      <x:c r="C465" s="20"/>
      <x:c r="D465" s="20"/>
      <x:c r="E465" s="20"/>
      <x:c r="F465" s="20"/>
      <x:c r="G465" s="20" t="str">
        <x:f>IF(OR(E465="",F465=""),"",E465*F465)</x:f>
      </x:c>
      <x:c r="H465" s="20"/>
      <x:c r="I465" s="21"/>
      <x:c r="J465" s="20"/>
      <x:c r="K465" s="20"/>
      <x:c r="L465" s="20" t="str">
        <x:f>IF(F465="","",IF(F465=0,"Critical",IF(F465=1,"High",IF(F465=2,"Moderate",IF(F465=3,"Low","Effective")))))</x:f>
      </x:c>
      <x:c r="M465" s="20"/>
      <x:c r="N465" s="20"/>
      <x:c r="O465" s="21"/>
      <x:c r="P465" s="20"/>
    </x:row>
    <x:row r="466">
      <x:c r="A466" s="20"/>
      <x:c r="B466" s="20"/>
      <x:c r="C466" s="20"/>
      <x:c r="D466" s="20"/>
      <x:c r="E466" s="20"/>
      <x:c r="F466" s="20"/>
      <x:c r="G466" s="20" t="str">
        <x:f>IF(OR(E466="",F466=""),"",E466*F466)</x:f>
      </x:c>
      <x:c r="H466" s="20"/>
      <x:c r="I466" s="21"/>
      <x:c r="J466" s="20"/>
      <x:c r="K466" s="20"/>
      <x:c r="L466" s="20" t="str">
        <x:f>IF(F466="","",IF(F466=0,"Critical",IF(F466=1,"High",IF(F466=2,"Moderate",IF(F466=3,"Low","Effective")))))</x:f>
      </x:c>
      <x:c r="M466" s="20"/>
      <x:c r="N466" s="20"/>
      <x:c r="O466" s="21"/>
      <x:c r="P466" s="20"/>
    </x:row>
    <x:row r="467">
      <x:c r="A467" s="20"/>
      <x:c r="B467" s="20"/>
      <x:c r="C467" s="20"/>
      <x:c r="D467" s="20"/>
      <x:c r="E467" s="20"/>
      <x:c r="F467" s="20"/>
      <x:c r="G467" s="20" t="str">
        <x:f>IF(OR(E467="",F467=""),"",E467*F467)</x:f>
      </x:c>
      <x:c r="H467" s="20"/>
      <x:c r="I467" s="21"/>
      <x:c r="J467" s="20"/>
      <x:c r="K467" s="20"/>
      <x:c r="L467" s="20" t="str">
        <x:f>IF(F467="","",IF(F467=0,"Critical",IF(F467=1,"High",IF(F467=2,"Moderate",IF(F467=3,"Low","Effective")))))</x:f>
      </x:c>
      <x:c r="M467" s="20"/>
      <x:c r="N467" s="20"/>
      <x:c r="O467" s="21"/>
      <x:c r="P467" s="20"/>
    </x:row>
    <x:row r="468">
      <x:c r="A468" s="20"/>
      <x:c r="B468" s="20"/>
      <x:c r="C468" s="20"/>
      <x:c r="D468" s="20"/>
      <x:c r="E468" s="20"/>
      <x:c r="F468" s="20"/>
      <x:c r="G468" s="20" t="str">
        <x:f>IF(OR(E468="",F468=""),"",E468*F468)</x:f>
      </x:c>
      <x:c r="H468" s="20"/>
      <x:c r="I468" s="21"/>
      <x:c r="J468" s="20"/>
      <x:c r="K468" s="20"/>
      <x:c r="L468" s="20" t="str">
        <x:f>IF(F468="","",IF(F468=0,"Critical",IF(F468=1,"High",IF(F468=2,"Moderate",IF(F468=3,"Low","Effective")))))</x:f>
      </x:c>
      <x:c r="M468" s="20"/>
      <x:c r="N468" s="20"/>
      <x:c r="O468" s="21"/>
      <x:c r="P468" s="20"/>
    </x:row>
    <x:row r="469">
      <x:c r="A469" s="20"/>
      <x:c r="B469" s="20"/>
      <x:c r="C469" s="20"/>
      <x:c r="D469" s="20"/>
      <x:c r="E469" s="20"/>
      <x:c r="F469" s="20"/>
      <x:c r="G469" s="20" t="str">
        <x:f>IF(OR(E469="",F469=""),"",E469*F469)</x:f>
      </x:c>
      <x:c r="H469" s="20"/>
      <x:c r="I469" s="21"/>
      <x:c r="J469" s="20"/>
      <x:c r="K469" s="20"/>
      <x:c r="L469" s="20" t="str">
        <x:f>IF(F469="","",IF(F469=0,"Critical",IF(F469=1,"High",IF(F469=2,"Moderate",IF(F469=3,"Low","Effective")))))</x:f>
      </x:c>
      <x:c r="M469" s="20"/>
      <x:c r="N469" s="20"/>
      <x:c r="O469" s="21"/>
      <x:c r="P469" s="20"/>
    </x:row>
    <x:row r="470">
      <x:c r="A470" s="20"/>
      <x:c r="B470" s="20"/>
      <x:c r="C470" s="20"/>
      <x:c r="D470" s="20"/>
      <x:c r="E470" s="20"/>
      <x:c r="F470" s="20"/>
      <x:c r="G470" s="20" t="str">
        <x:f>IF(OR(E470="",F470=""),"",E470*F470)</x:f>
      </x:c>
      <x:c r="H470" s="20"/>
      <x:c r="I470" s="21"/>
      <x:c r="J470" s="20"/>
      <x:c r="K470" s="20"/>
      <x:c r="L470" s="20" t="str">
        <x:f>IF(F470="","",IF(F470=0,"Critical",IF(F470=1,"High",IF(F470=2,"Moderate",IF(F470=3,"Low","Effective")))))</x:f>
      </x:c>
      <x:c r="M470" s="20"/>
      <x:c r="N470" s="20"/>
      <x:c r="O470" s="21"/>
      <x:c r="P470" s="20"/>
    </x:row>
    <x:row r="471">
      <x:c r="A471" s="20"/>
      <x:c r="B471" s="20"/>
      <x:c r="C471" s="20"/>
      <x:c r="D471" s="20"/>
      <x:c r="E471" s="20"/>
      <x:c r="F471" s="20"/>
      <x:c r="G471" s="20" t="str">
        <x:f>IF(OR(E471="",F471=""),"",E471*F471)</x:f>
      </x:c>
      <x:c r="H471" s="20"/>
      <x:c r="I471" s="21"/>
      <x:c r="J471" s="20"/>
      <x:c r="K471" s="20"/>
      <x:c r="L471" s="20" t="str">
        <x:f>IF(F471="","",IF(F471=0,"Critical",IF(F471=1,"High",IF(F471=2,"Moderate",IF(F471=3,"Low","Effective")))))</x:f>
      </x:c>
      <x:c r="M471" s="20"/>
      <x:c r="N471" s="20"/>
      <x:c r="O471" s="21"/>
      <x:c r="P471" s="20"/>
    </x:row>
    <x:row r="472">
      <x:c r="A472" s="20"/>
      <x:c r="B472" s="20"/>
      <x:c r="C472" s="20"/>
      <x:c r="D472" s="20"/>
      <x:c r="E472" s="20"/>
      <x:c r="F472" s="20"/>
      <x:c r="G472" s="20" t="str">
        <x:f>IF(OR(E472="",F472=""),"",E472*F472)</x:f>
      </x:c>
      <x:c r="H472" s="20"/>
      <x:c r="I472" s="21"/>
      <x:c r="J472" s="20"/>
      <x:c r="K472" s="20"/>
      <x:c r="L472" s="20" t="str">
        <x:f>IF(F472="","",IF(F472=0,"Critical",IF(F472=1,"High",IF(F472=2,"Moderate",IF(F472=3,"Low","Effective")))))</x:f>
      </x:c>
      <x:c r="M472" s="20"/>
      <x:c r="N472" s="20"/>
      <x:c r="O472" s="21"/>
      <x:c r="P472" s="20"/>
    </x:row>
    <x:row r="473">
      <x:c r="A473" s="20"/>
      <x:c r="B473" s="20"/>
      <x:c r="C473" s="20"/>
      <x:c r="D473" s="20"/>
      <x:c r="E473" s="20"/>
      <x:c r="F473" s="20"/>
      <x:c r="G473" s="20" t="str">
        <x:f>IF(OR(E473="",F473=""),"",E473*F473)</x:f>
      </x:c>
      <x:c r="H473" s="20"/>
      <x:c r="I473" s="21"/>
      <x:c r="J473" s="20"/>
      <x:c r="K473" s="20"/>
      <x:c r="L473" s="20" t="str">
        <x:f>IF(F473="","",IF(F473=0,"Critical",IF(F473=1,"High",IF(F473=2,"Moderate",IF(F473=3,"Low","Effective")))))</x:f>
      </x:c>
      <x:c r="M473" s="20"/>
      <x:c r="N473" s="20"/>
      <x:c r="O473" s="21"/>
      <x:c r="P473" s="20"/>
    </x:row>
    <x:row r="474">
      <x:c r="A474" s="20"/>
      <x:c r="B474" s="20"/>
      <x:c r="C474" s="20"/>
      <x:c r="D474" s="20"/>
      <x:c r="E474" s="20"/>
      <x:c r="F474" s="20"/>
      <x:c r="G474" s="20" t="str">
        <x:f>IF(OR(E474="",F474=""),"",E474*F474)</x:f>
      </x:c>
      <x:c r="H474" s="20"/>
      <x:c r="I474" s="21"/>
      <x:c r="J474" s="20"/>
      <x:c r="K474" s="20"/>
      <x:c r="L474" s="20" t="str">
        <x:f>IF(F474="","",IF(F474=0,"Critical",IF(F474=1,"High",IF(F474=2,"Moderate",IF(F474=3,"Low","Effective")))))</x:f>
      </x:c>
      <x:c r="M474" s="20"/>
      <x:c r="N474" s="20"/>
      <x:c r="O474" s="21"/>
      <x:c r="P474" s="20"/>
    </x:row>
    <x:row r="475">
      <x:c r="A475" s="20"/>
      <x:c r="B475" s="20"/>
      <x:c r="C475" s="20"/>
      <x:c r="D475" s="20"/>
      <x:c r="E475" s="20"/>
      <x:c r="F475" s="20"/>
      <x:c r="G475" s="20" t="str">
        <x:f>IF(OR(E475="",F475=""),"",E475*F475)</x:f>
      </x:c>
      <x:c r="H475" s="20"/>
      <x:c r="I475" s="21"/>
      <x:c r="J475" s="20"/>
      <x:c r="K475" s="20"/>
      <x:c r="L475" s="20" t="str">
        <x:f>IF(F475="","",IF(F475=0,"Critical",IF(F475=1,"High",IF(F475=2,"Moderate",IF(F475=3,"Low","Effective")))))</x:f>
      </x:c>
      <x:c r="M475" s="20"/>
      <x:c r="N475" s="20"/>
      <x:c r="O475" s="21"/>
      <x:c r="P475" s="20"/>
    </x:row>
    <x:row r="476">
      <x:c r="A476" s="20"/>
      <x:c r="B476" s="20"/>
      <x:c r="C476" s="20"/>
      <x:c r="D476" s="20"/>
      <x:c r="E476" s="20"/>
      <x:c r="F476" s="20"/>
      <x:c r="G476" s="20" t="str">
        <x:f>IF(OR(E476="",F476=""),"",E476*F476)</x:f>
      </x:c>
      <x:c r="H476" s="20"/>
      <x:c r="I476" s="21"/>
      <x:c r="J476" s="20"/>
      <x:c r="K476" s="20"/>
      <x:c r="L476" s="20" t="str">
        <x:f>IF(F476="","",IF(F476=0,"Critical",IF(F476=1,"High",IF(F476=2,"Moderate",IF(F476=3,"Low","Effective")))))</x:f>
      </x:c>
      <x:c r="M476" s="20"/>
      <x:c r="N476" s="20"/>
      <x:c r="O476" s="21"/>
      <x:c r="P476" s="20"/>
    </x:row>
    <x:row r="477">
      <x:c r="A477" s="20"/>
      <x:c r="B477" s="20"/>
      <x:c r="C477" s="20"/>
      <x:c r="D477" s="20"/>
      <x:c r="E477" s="20"/>
      <x:c r="F477" s="20"/>
      <x:c r="G477" s="20" t="str">
        <x:f>IF(OR(E477="",F477=""),"",E477*F477)</x:f>
      </x:c>
      <x:c r="H477" s="20"/>
      <x:c r="I477" s="21"/>
      <x:c r="J477" s="20"/>
      <x:c r="K477" s="20"/>
      <x:c r="L477" s="20" t="str">
        <x:f>IF(F477="","",IF(F477=0,"Critical",IF(F477=1,"High",IF(F477=2,"Moderate",IF(F477=3,"Low","Effective")))))</x:f>
      </x:c>
      <x:c r="M477" s="20"/>
      <x:c r="N477" s="20"/>
      <x:c r="O477" s="21"/>
      <x:c r="P477" s="20"/>
    </x:row>
    <x:row r="478">
      <x:c r="A478" s="20"/>
      <x:c r="B478" s="20"/>
      <x:c r="C478" s="20"/>
      <x:c r="D478" s="20"/>
      <x:c r="E478" s="20"/>
      <x:c r="F478" s="20"/>
      <x:c r="G478" s="20" t="str">
        <x:f>IF(OR(E478="",F478=""),"",E478*F478)</x:f>
      </x:c>
      <x:c r="H478" s="20"/>
      <x:c r="I478" s="21"/>
      <x:c r="J478" s="20"/>
      <x:c r="K478" s="20"/>
      <x:c r="L478" s="20" t="str">
        <x:f>IF(F478="","",IF(F478=0,"Critical",IF(F478=1,"High",IF(F478=2,"Moderate",IF(F478=3,"Low","Effective")))))</x:f>
      </x:c>
      <x:c r="M478" s="20"/>
      <x:c r="N478" s="20"/>
      <x:c r="O478" s="21"/>
      <x:c r="P478" s="20"/>
    </x:row>
    <x:row r="479">
      <x:c r="A479" s="20"/>
      <x:c r="B479" s="20"/>
      <x:c r="C479" s="20"/>
      <x:c r="D479" s="20"/>
      <x:c r="E479" s="20"/>
      <x:c r="F479" s="20"/>
      <x:c r="G479" s="20" t="str">
        <x:f>IF(OR(E479="",F479=""),"",E479*F479)</x:f>
      </x:c>
      <x:c r="H479" s="20"/>
      <x:c r="I479" s="21"/>
      <x:c r="J479" s="20"/>
      <x:c r="K479" s="20"/>
      <x:c r="L479" s="20" t="str">
        <x:f>IF(F479="","",IF(F479=0,"Critical",IF(F479=1,"High",IF(F479=2,"Moderate",IF(F479=3,"Low","Effective")))))</x:f>
      </x:c>
      <x:c r="M479" s="20"/>
      <x:c r="N479" s="20"/>
      <x:c r="O479" s="21"/>
      <x:c r="P479" s="20"/>
    </x:row>
    <x:row r="480">
      <x:c r="A480" s="20"/>
      <x:c r="B480" s="20"/>
      <x:c r="C480" s="20"/>
      <x:c r="D480" s="20"/>
      <x:c r="E480" s="20"/>
      <x:c r="F480" s="20"/>
      <x:c r="G480" s="20" t="str">
        <x:f>IF(OR(E480="",F480=""),"",E480*F480)</x:f>
      </x:c>
      <x:c r="H480" s="20"/>
      <x:c r="I480" s="21"/>
      <x:c r="J480" s="20"/>
      <x:c r="K480" s="20"/>
      <x:c r="L480" s="20" t="str">
        <x:f>IF(F480="","",IF(F480=0,"Critical",IF(F480=1,"High",IF(F480=2,"Moderate",IF(F480=3,"Low","Effective")))))</x:f>
      </x:c>
      <x:c r="M480" s="20"/>
      <x:c r="N480" s="20"/>
      <x:c r="O480" s="21"/>
      <x:c r="P480" s="20"/>
    </x:row>
    <x:row r="481">
      <x:c r="A481" s="20"/>
      <x:c r="B481" s="20"/>
      <x:c r="C481" s="20"/>
      <x:c r="D481" s="20"/>
      <x:c r="E481" s="20"/>
      <x:c r="F481" s="20"/>
      <x:c r="G481" s="20" t="str">
        <x:f>IF(OR(E481="",F481=""),"",E481*F481)</x:f>
      </x:c>
      <x:c r="H481" s="20"/>
      <x:c r="I481" s="21"/>
      <x:c r="J481" s="20"/>
      <x:c r="K481" s="20"/>
      <x:c r="L481" s="20" t="str">
        <x:f>IF(F481="","",IF(F481=0,"Critical",IF(F481=1,"High",IF(F481=2,"Moderate",IF(F481=3,"Low","Effective")))))</x:f>
      </x:c>
      <x:c r="M481" s="20"/>
      <x:c r="N481" s="20"/>
      <x:c r="O481" s="21"/>
      <x:c r="P481" s="20"/>
    </x:row>
    <x:row r="482">
      <x:c r="A482" s="20"/>
      <x:c r="B482" s="20"/>
      <x:c r="C482" s="20"/>
      <x:c r="D482" s="20"/>
      <x:c r="E482" s="20"/>
      <x:c r="F482" s="20"/>
      <x:c r="G482" s="20" t="str">
        <x:f>IF(OR(E482="",F482=""),"",E482*F482)</x:f>
      </x:c>
      <x:c r="H482" s="20"/>
      <x:c r="I482" s="21"/>
      <x:c r="J482" s="20"/>
      <x:c r="K482" s="20"/>
      <x:c r="L482" s="20" t="str">
        <x:f>IF(F482="","",IF(F482=0,"Critical",IF(F482=1,"High",IF(F482=2,"Moderate",IF(F482=3,"Low","Effective")))))</x:f>
      </x:c>
      <x:c r="M482" s="20"/>
      <x:c r="N482" s="20"/>
      <x:c r="O482" s="21"/>
      <x:c r="P482" s="20"/>
    </x:row>
    <x:row r="483">
      <x:c r="A483" s="20"/>
      <x:c r="B483" s="20"/>
      <x:c r="C483" s="20"/>
      <x:c r="D483" s="20"/>
      <x:c r="E483" s="20"/>
      <x:c r="F483" s="20"/>
      <x:c r="G483" s="20" t="str">
        <x:f>IF(OR(E483="",F483=""),"",E483*F483)</x:f>
      </x:c>
      <x:c r="H483" s="20"/>
      <x:c r="I483" s="21"/>
      <x:c r="J483" s="20"/>
      <x:c r="K483" s="20"/>
      <x:c r="L483" s="20" t="str">
        <x:f>IF(F483="","",IF(F483=0,"Critical",IF(F483=1,"High",IF(F483=2,"Moderate",IF(F483=3,"Low","Effective")))))</x:f>
      </x:c>
      <x:c r="M483" s="20"/>
      <x:c r="N483" s="20"/>
      <x:c r="O483" s="21"/>
      <x:c r="P483" s="20"/>
    </x:row>
    <x:row r="484">
      <x:c r="A484" s="20"/>
      <x:c r="B484" s="20"/>
      <x:c r="C484" s="20"/>
      <x:c r="D484" s="20"/>
      <x:c r="E484" s="20"/>
      <x:c r="F484" s="20"/>
      <x:c r="G484" s="20" t="str">
        <x:f>IF(OR(E484="",F484=""),"",E484*F484)</x:f>
      </x:c>
      <x:c r="H484" s="20"/>
      <x:c r="I484" s="21"/>
      <x:c r="J484" s="20"/>
      <x:c r="K484" s="20"/>
      <x:c r="L484" s="20" t="str">
        <x:f>IF(F484="","",IF(F484=0,"Critical",IF(F484=1,"High",IF(F484=2,"Moderate",IF(F484=3,"Low","Effective")))))</x:f>
      </x:c>
      <x:c r="M484" s="20"/>
      <x:c r="N484" s="20"/>
      <x:c r="O484" s="21"/>
      <x:c r="P484" s="20"/>
    </x:row>
    <x:row r="485">
      <x:c r="A485" s="20"/>
      <x:c r="B485" s="20"/>
      <x:c r="C485" s="20"/>
      <x:c r="D485" s="20"/>
      <x:c r="E485" s="20"/>
      <x:c r="F485" s="20"/>
      <x:c r="G485" s="20" t="str">
        <x:f>IF(OR(E485="",F485=""),"",E485*F485)</x:f>
      </x:c>
      <x:c r="H485" s="20"/>
      <x:c r="I485" s="21"/>
      <x:c r="J485" s="20"/>
      <x:c r="K485" s="20"/>
      <x:c r="L485" s="20" t="str">
        <x:f>IF(F485="","",IF(F485=0,"Critical",IF(F485=1,"High",IF(F485=2,"Moderate",IF(F485=3,"Low","Effective")))))</x:f>
      </x:c>
      <x:c r="M485" s="20"/>
      <x:c r="N485" s="20"/>
      <x:c r="O485" s="21"/>
      <x:c r="P485" s="20"/>
    </x:row>
    <x:row r="486">
      <x:c r="A486" s="20"/>
      <x:c r="B486" s="20"/>
      <x:c r="C486" s="20"/>
      <x:c r="D486" s="20"/>
      <x:c r="E486" s="20"/>
      <x:c r="F486" s="20"/>
      <x:c r="G486" s="20" t="str">
        <x:f>IF(OR(E486="",F486=""),"",E486*F486)</x:f>
      </x:c>
      <x:c r="H486" s="20"/>
      <x:c r="I486" s="21"/>
      <x:c r="J486" s="20"/>
      <x:c r="K486" s="20"/>
      <x:c r="L486" s="20" t="str">
        <x:f>IF(F486="","",IF(F486=0,"Critical",IF(F486=1,"High",IF(F486=2,"Moderate",IF(F486=3,"Low","Effective")))))</x:f>
      </x:c>
      <x:c r="M486" s="20"/>
      <x:c r="N486" s="20"/>
      <x:c r="O486" s="21"/>
      <x:c r="P486" s="20"/>
    </x:row>
    <x:row r="487">
      <x:c r="A487" s="20"/>
      <x:c r="B487" s="20"/>
      <x:c r="C487" s="20"/>
      <x:c r="D487" s="20"/>
      <x:c r="E487" s="20"/>
      <x:c r="F487" s="20"/>
      <x:c r="G487" s="20" t="str">
        <x:f>IF(OR(E487="",F487=""),"",E487*F487)</x:f>
      </x:c>
      <x:c r="H487" s="20"/>
      <x:c r="I487" s="21"/>
      <x:c r="J487" s="20"/>
      <x:c r="K487" s="20"/>
      <x:c r="L487" s="20" t="str">
        <x:f>IF(F487="","",IF(F487=0,"Critical",IF(F487=1,"High",IF(F487=2,"Moderate",IF(F487=3,"Low","Effective")))))</x:f>
      </x:c>
      <x:c r="M487" s="20"/>
      <x:c r="N487" s="20"/>
      <x:c r="O487" s="21"/>
      <x:c r="P487" s="20"/>
    </x:row>
    <x:row r="488">
      <x:c r="A488" s="20"/>
      <x:c r="B488" s="20"/>
      <x:c r="C488" s="20"/>
      <x:c r="D488" s="20"/>
      <x:c r="E488" s="20"/>
      <x:c r="F488" s="20"/>
      <x:c r="G488" s="20" t="str">
        <x:f>IF(OR(E488="",F488=""),"",E488*F488)</x:f>
      </x:c>
      <x:c r="H488" s="20"/>
      <x:c r="I488" s="21"/>
      <x:c r="J488" s="20"/>
      <x:c r="K488" s="20"/>
      <x:c r="L488" s="20" t="str">
        <x:f>IF(F488="","",IF(F488=0,"Critical",IF(F488=1,"High",IF(F488=2,"Moderate",IF(F488=3,"Low","Effective")))))</x:f>
      </x:c>
      <x:c r="M488" s="20"/>
      <x:c r="N488" s="20"/>
      <x:c r="O488" s="21"/>
      <x:c r="P488" s="20"/>
    </x:row>
    <x:row r="489">
      <x:c r="A489" s="20"/>
      <x:c r="B489" s="20"/>
      <x:c r="C489" s="20"/>
      <x:c r="D489" s="20"/>
      <x:c r="E489" s="20"/>
      <x:c r="F489" s="20"/>
      <x:c r="G489" s="20" t="str">
        <x:f>IF(OR(E489="",F489=""),"",E489*F489)</x:f>
      </x:c>
      <x:c r="H489" s="20"/>
      <x:c r="I489" s="21"/>
      <x:c r="J489" s="20"/>
      <x:c r="K489" s="20"/>
      <x:c r="L489" s="20" t="str">
        <x:f>IF(F489="","",IF(F489=0,"Critical",IF(F489=1,"High",IF(F489=2,"Moderate",IF(F489=3,"Low","Effective")))))</x:f>
      </x:c>
      <x:c r="M489" s="20"/>
      <x:c r="N489" s="20"/>
      <x:c r="O489" s="21"/>
      <x:c r="P489" s="20"/>
    </x:row>
    <x:row r="490">
      <x:c r="A490" s="20"/>
      <x:c r="B490" s="20"/>
      <x:c r="C490" s="20"/>
      <x:c r="D490" s="20"/>
      <x:c r="E490" s="20"/>
      <x:c r="F490" s="20"/>
      <x:c r="G490" s="20" t="str">
        <x:f>IF(OR(E490="",F490=""),"",E490*F490)</x:f>
      </x:c>
      <x:c r="H490" s="20"/>
      <x:c r="I490" s="21"/>
      <x:c r="J490" s="20"/>
      <x:c r="K490" s="20"/>
      <x:c r="L490" s="20" t="str">
        <x:f>IF(F490="","",IF(F490=0,"Critical",IF(F490=1,"High",IF(F490=2,"Moderate",IF(F490=3,"Low","Effective")))))</x:f>
      </x:c>
      <x:c r="M490" s="20"/>
      <x:c r="N490" s="20"/>
      <x:c r="O490" s="21"/>
      <x:c r="P490" s="20"/>
    </x:row>
    <x:row r="491">
      <x:c r="A491" s="20"/>
      <x:c r="B491" s="20"/>
      <x:c r="C491" s="20"/>
      <x:c r="D491" s="20"/>
      <x:c r="E491" s="20"/>
      <x:c r="F491" s="20"/>
      <x:c r="G491" s="20" t="str">
        <x:f>IF(OR(E491="",F491=""),"",E491*F491)</x:f>
      </x:c>
      <x:c r="H491" s="20"/>
      <x:c r="I491" s="21"/>
      <x:c r="J491" s="20"/>
      <x:c r="K491" s="20"/>
      <x:c r="L491" s="20" t="str">
        <x:f>IF(F491="","",IF(F491=0,"Critical",IF(F491=1,"High",IF(F491=2,"Moderate",IF(F491=3,"Low","Effective")))))</x:f>
      </x:c>
      <x:c r="M491" s="20"/>
      <x:c r="N491" s="20"/>
      <x:c r="O491" s="21"/>
      <x:c r="P491" s="20"/>
    </x:row>
    <x:row r="492">
      <x:c r="A492" s="20"/>
      <x:c r="B492" s="20"/>
      <x:c r="C492" s="20"/>
      <x:c r="D492" s="20"/>
      <x:c r="E492" s="20"/>
      <x:c r="F492" s="20"/>
      <x:c r="G492" s="20" t="str">
        <x:f>IF(OR(E492="",F492=""),"",E492*F492)</x:f>
      </x:c>
      <x:c r="H492" s="20"/>
      <x:c r="I492" s="21"/>
      <x:c r="J492" s="20"/>
      <x:c r="K492" s="20"/>
      <x:c r="L492" s="20" t="str">
        <x:f>IF(F492="","",IF(F492=0,"Critical",IF(F492=1,"High",IF(F492=2,"Moderate",IF(F492=3,"Low","Effective")))))</x:f>
      </x:c>
      <x:c r="M492" s="20"/>
      <x:c r="N492" s="20"/>
      <x:c r="O492" s="21"/>
      <x:c r="P492" s="20"/>
    </x:row>
    <x:row r="493">
      <x:c r="A493" s="20"/>
      <x:c r="B493" s="20"/>
      <x:c r="C493" s="20"/>
      <x:c r="D493" s="20"/>
      <x:c r="E493" s="20"/>
      <x:c r="F493" s="20"/>
      <x:c r="G493" s="20" t="str">
        <x:f>IF(OR(E493="",F493=""),"",E493*F493)</x:f>
      </x:c>
      <x:c r="H493" s="20"/>
      <x:c r="I493" s="21"/>
      <x:c r="J493" s="20"/>
      <x:c r="K493" s="20"/>
      <x:c r="L493" s="20" t="str">
        <x:f>IF(F493="","",IF(F493=0,"Critical",IF(F493=1,"High",IF(F493=2,"Moderate",IF(F493=3,"Low","Effective")))))</x:f>
      </x:c>
      <x:c r="M493" s="20"/>
      <x:c r="N493" s="20"/>
      <x:c r="O493" s="21"/>
      <x:c r="P493" s="20"/>
    </x:row>
    <x:row r="494">
      <x:c r="A494" s="20"/>
      <x:c r="B494" s="20"/>
      <x:c r="C494" s="20"/>
      <x:c r="D494" s="20"/>
      <x:c r="E494" s="20"/>
      <x:c r="F494" s="20"/>
      <x:c r="G494" s="20" t="str">
        <x:f>IF(OR(E494="",F494=""),"",E494*F494)</x:f>
      </x:c>
      <x:c r="H494" s="20"/>
      <x:c r="I494" s="21"/>
      <x:c r="J494" s="20"/>
      <x:c r="K494" s="20"/>
      <x:c r="L494" s="20" t="str">
        <x:f>IF(F494="","",IF(F494=0,"Critical",IF(F494=1,"High",IF(F494=2,"Moderate",IF(F494=3,"Low","Effective")))))</x:f>
      </x:c>
      <x:c r="M494" s="20"/>
      <x:c r="N494" s="20"/>
      <x:c r="O494" s="21"/>
      <x:c r="P494" s="20"/>
    </x:row>
    <x:row r="495">
      <x:c r="A495" s="20"/>
      <x:c r="B495" s="20"/>
      <x:c r="C495" s="20"/>
      <x:c r="D495" s="20"/>
      <x:c r="E495" s="20"/>
      <x:c r="F495" s="20"/>
      <x:c r="G495" s="20" t="str">
        <x:f>IF(OR(E495="",F495=""),"",E495*F495)</x:f>
      </x:c>
      <x:c r="H495" s="20"/>
      <x:c r="I495" s="21"/>
      <x:c r="J495" s="20"/>
      <x:c r="K495" s="20"/>
      <x:c r="L495" s="20" t="str">
        <x:f>IF(F495="","",IF(F495=0,"Critical",IF(F495=1,"High",IF(F495=2,"Moderate",IF(F495=3,"Low","Effective")))))</x:f>
      </x:c>
      <x:c r="M495" s="20"/>
      <x:c r="N495" s="20"/>
      <x:c r="O495" s="21"/>
      <x:c r="P495" s="20"/>
    </x:row>
    <x:row r="496">
      <x:c r="A496" s="20"/>
      <x:c r="B496" s="20"/>
      <x:c r="C496" s="20"/>
      <x:c r="D496" s="20"/>
      <x:c r="E496" s="20"/>
      <x:c r="F496" s="20"/>
      <x:c r="G496" s="20" t="str">
        <x:f>IF(OR(E496="",F496=""),"",E496*F496)</x:f>
      </x:c>
      <x:c r="H496" s="20"/>
      <x:c r="I496" s="21"/>
      <x:c r="J496" s="20"/>
      <x:c r="K496" s="20"/>
      <x:c r="L496" s="20" t="str">
        <x:f>IF(F496="","",IF(F496=0,"Critical",IF(F496=1,"High",IF(F496=2,"Moderate",IF(F496=3,"Low","Effective")))))</x:f>
      </x:c>
      <x:c r="M496" s="20"/>
      <x:c r="N496" s="20"/>
      <x:c r="O496" s="21"/>
      <x:c r="P496" s="20"/>
    </x:row>
    <x:row r="497">
      <x:c r="A497" s="20"/>
      <x:c r="B497" s="20"/>
      <x:c r="C497" s="20"/>
      <x:c r="D497" s="20"/>
      <x:c r="E497" s="20"/>
      <x:c r="F497" s="20"/>
      <x:c r="G497" s="20" t="str">
        <x:f>IF(OR(E497="",F497=""),"",E497*F497)</x:f>
      </x:c>
      <x:c r="H497" s="20"/>
      <x:c r="I497" s="21"/>
      <x:c r="J497" s="20"/>
      <x:c r="K497" s="20"/>
      <x:c r="L497" s="20" t="str">
        <x:f>IF(F497="","",IF(F497=0,"Critical",IF(F497=1,"High",IF(F497=2,"Moderate",IF(F497=3,"Low","Effective")))))</x:f>
      </x:c>
      <x:c r="M497" s="20"/>
      <x:c r="N497" s="20"/>
      <x:c r="O497" s="21"/>
      <x:c r="P497" s="20"/>
    </x:row>
    <x:row r="498">
      <x:c r="A498" s="20"/>
      <x:c r="B498" s="20"/>
      <x:c r="C498" s="20"/>
      <x:c r="D498" s="20"/>
      <x:c r="E498" s="20"/>
      <x:c r="F498" s="20"/>
      <x:c r="G498" s="20" t="str">
        <x:f>IF(OR(E498="",F498=""),"",E498*F498)</x:f>
      </x:c>
      <x:c r="H498" s="20"/>
      <x:c r="I498" s="21"/>
      <x:c r="J498" s="20"/>
      <x:c r="K498" s="20"/>
      <x:c r="L498" s="20" t="str">
        <x:f>IF(F498="","",IF(F498=0,"Critical",IF(F498=1,"High",IF(F498=2,"Moderate",IF(F498=3,"Low","Effective")))))</x:f>
      </x:c>
      <x:c r="M498" s="20"/>
      <x:c r="N498" s="20"/>
      <x:c r="O498" s="21"/>
      <x:c r="P498" s="20"/>
    </x:row>
    <x:row r="499">
      <x:c r="A499" s="20"/>
      <x:c r="B499" s="20"/>
      <x:c r="C499" s="20"/>
      <x:c r="D499" s="20"/>
      <x:c r="E499" s="20"/>
      <x:c r="F499" s="20"/>
      <x:c r="G499" s="20" t="str">
        <x:f>IF(OR(E499="",F499=""),"",E499*F499)</x:f>
      </x:c>
      <x:c r="H499" s="20"/>
      <x:c r="I499" s="21"/>
      <x:c r="J499" s="20"/>
      <x:c r="K499" s="20"/>
      <x:c r="L499" s="20" t="str">
        <x:f>IF(F499="","",IF(F499=0,"Critical",IF(F499=1,"High",IF(F499=2,"Moderate",IF(F499=3,"Low","Effective")))))</x:f>
      </x:c>
      <x:c r="M499" s="20"/>
      <x:c r="N499" s="20"/>
      <x:c r="O499" s="21"/>
      <x:c r="P499" s="20"/>
    </x:row>
    <x:row r="500">
      <x:c r="A500" s="20"/>
      <x:c r="B500" s="20"/>
      <x:c r="C500" s="20"/>
      <x:c r="D500" s="20"/>
      <x:c r="E500" s="20"/>
      <x:c r="F500" s="20"/>
      <x:c r="G500" s="20" t="str">
        <x:f>IF(OR(E500="",F500=""),"",E500*F500)</x:f>
      </x:c>
      <x:c r="H500" s="20"/>
      <x:c r="I500" s="21"/>
      <x:c r="J500" s="20"/>
      <x:c r="K500" s="20"/>
      <x:c r="L500" s="20" t="str">
        <x:f>IF(F500="","",IF(F500=0,"Critical",IF(F500=1,"High",IF(F500=2,"Moderate",IF(F500=3,"Low","Effective")))))</x:f>
      </x:c>
      <x:c r="M500" s="20"/>
      <x:c r="N500" s="20"/>
      <x:c r="O500" s="21"/>
      <x:c r="P500" s="20"/>
    </x:row>
    <x:row r="501">
      <x:c r="A501" s="20"/>
      <x:c r="B501" s="20"/>
      <x:c r="C501" s="20"/>
      <x:c r="D501" s="20"/>
      <x:c r="E501" s="20"/>
      <x:c r="F501" s="20"/>
      <x:c r="G501" s="20" t="str">
        <x:f>IF(OR(E501="",F501=""),"",E501*F501)</x:f>
      </x:c>
      <x:c r="H501" s="20"/>
      <x:c r="I501" s="21"/>
      <x:c r="J501" s="20"/>
      <x:c r="K501" s="20"/>
      <x:c r="L501" s="20" t="str">
        <x:f>IF(F501="","",IF(F501=0,"Critical",IF(F501=1,"High",IF(F501=2,"Moderate",IF(F501=3,"Low","Effective")))))</x:f>
      </x:c>
      <x:c r="M501" s="20"/>
      <x:c r="N501" s="20"/>
      <x:c r="O501" s="21"/>
      <x:c r="P501" s="20"/>
    </x:row>
    <x:row r="502">
      <x:c r="A502" s="20"/>
      <x:c r="B502" s="20"/>
      <x:c r="C502" s="20"/>
      <x:c r="D502" s="20"/>
      <x:c r="E502" s="20"/>
      <x:c r="F502" s="20"/>
      <x:c r="G502" s="20" t="str">
        <x:f>IF(OR(E502="",F502=""),"",E502*F502)</x:f>
      </x:c>
      <x:c r="H502" s="20"/>
      <x:c r="I502" s="21"/>
      <x:c r="J502" s="20"/>
      <x:c r="K502" s="20"/>
      <x:c r="L502" s="20" t="str">
        <x:f>IF(F502="","",IF(F502=0,"Critical",IF(F502=1,"High",IF(F502=2,"Moderate",IF(F502=3,"Low","Effective")))))</x:f>
      </x:c>
      <x:c r="M502" s="20"/>
      <x:c r="N502" s="20"/>
      <x:c r="O502" s="21"/>
      <x:c r="P502" s="20"/>
    </x:row>
    <x:row r="503">
      <x:c r="A503" s="20"/>
      <x:c r="B503" s="20"/>
      <x:c r="C503" s="20"/>
      <x:c r="D503" s="20"/>
      <x:c r="E503" s="20"/>
      <x:c r="F503" s="20"/>
      <x:c r="G503" s="20" t="str">
        <x:f>IF(OR(E503="",F503=""),"",E503*F503)</x:f>
      </x:c>
      <x:c r="H503" s="20"/>
      <x:c r="I503" s="21"/>
      <x:c r="J503" s="20"/>
      <x:c r="K503" s="20"/>
      <x:c r="L503" s="20" t="str">
        <x:f>IF(F503="","",IF(F503=0,"Critical",IF(F503=1,"High",IF(F503=2,"Moderate",IF(F503=3,"Low","Effective")))))</x:f>
      </x:c>
      <x:c r="M503" s="20"/>
      <x:c r="N503" s="20"/>
      <x:c r="O503" s="21"/>
      <x:c r="P503" s="20"/>
    </x:row>
  </x:sheetData>
  <x:mergeCells>
    <x:mergeCell ref="A1:P1"/>
  </x:mergeCells>
  <x:conditionalFormatting sqref="F4:F503">
    <x:cfRule type="colorScale" priority="1">
      <x:colorScale>
        <x:cfvo type="min"/>
        <x:cfvo type="percentile" val="50"/>
        <x:cfvo type="max"/>
        <x:color rgb="FFF4CCCC"/>
        <x:color rgb="FFFFD966"/>
        <x:color rgb="FFD9EAD3"/>
      </x:colorScale>
    </x:cfRule>
  </x:conditionalFormatting>
  <x:dataValidations count="3">
    <x:dataValidation type="list" sqref="E4:E503">
      <x:formula1>"1,2,3,4,5"</x:formula1>
    </x:dataValidation>
    <x:dataValidation type="list" sqref="F4:F503">
      <x:formula1>"0,1,2,3,4"</x:formula1>
    </x:dataValidation>
    <x:dataValidation type="list" sqref="P4:P503">
      <x:formula1>"Not Started,Planned,In Progress,Complete,Accepted"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34" hidden="0" customWidth="1"/>
    <x:col min="4" max="4" width="13" hidden="0" customWidth="1"/>
    <x:col min="5" max="5" width="24" hidden="0" customWidth="1"/>
    <x:col min="6" max="6" width="34" hidden="0" customWidth="1"/>
    <x:col min="7" max="7" width="18" hidden="0" customWidth="1"/>
    <x:col min="8" max="8" width="14" hidden="0" customWidth="1"/>
    <x:col min="9" max="9" width="16" hidden="0" customWidth="1"/>
    <x:col min="10" max="10" width="22" hidden="0" customWidth="1"/>
  </x:cols>
  <x:sheetData>
    <x:row r="1">
      <x:c r="A1" s="4" t="str">
        <x:v>Vendor Findings and Exceptions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Finding ID</x:v>
      </x:c>
      <x:c r="B3" s="12" t="str">
        <x:v>Vendor ID</x:v>
      </x:c>
      <x:c r="C3" s="12" t="str">
        <x:v>Finding</x:v>
      </x:c>
      <x:c r="D3" s="12" t="str">
        <x:v>Severity</x:v>
      </x:c>
      <x:c r="E3" s="12" t="str">
        <x:v>Business Decision</x:v>
      </x:c>
      <x:c r="F3" s="12" t="str">
        <x:v>Compensating Control</x:v>
      </x:c>
      <x:c r="G3" s="12" t="str">
        <x:v>Owner</x:v>
      </x:c>
      <x:c r="H3" s="12" t="str">
        <x:v>Target Date</x:v>
      </x:c>
      <x:c r="I3" s="12" t="str">
        <x:v>Status</x:v>
      </x:c>
      <x:c r="J3" s="12" t="str">
        <x:v>Validation</x:v>
      </x:c>
    </x:row>
    <x:row r="4">
      <x:c r="A4" s="20" t="str">
        <x:v>VF-001</x:v>
      </x:c>
      <x:c r="B4" s="20" t="str">
        <x:v>V-001</x:v>
      </x:c>
      <x:c r="C4" s="20" t="str">
        <x:v>Privileged contractor MFA exception</x:v>
      </x:c>
      <x:c r="D4" s="20" t="str">
        <x:v>High</x:v>
      </x:c>
      <x:c r="E4" s="20" t="str">
        <x:v>Conditionally approve</x:v>
      </x:c>
      <x:c r="F4" s="20" t="str">
        <x:v>Daily access review and time-limited access</x:v>
      </x:c>
      <x:c r="G4" s="20" t="str">
        <x:v>IAM Lead</x:v>
      </x:c>
      <x:c r="H4" s="21" t="n">
        <x:v>46096</x:v>
      </x:c>
      <x:c r="I4" s="20" t="str">
        <x:v>In Progress</x:v>
      </x:c>
      <x:c r="J4" s="20" t="str">
        <x:v>Pending</x:v>
      </x:c>
    </x:row>
    <x:row r="5">
      <x:c r="A5" s="20" t="str">
        <x:v>VF-002</x:v>
      </x:c>
      <x:c r="B5" s="20" t="str">
        <x:v>V-001</x:v>
      </x:c>
      <x:c r="C5" s="20" t="str">
        <x:v>Administrative log retention not specified</x:v>
      </x:c>
      <x:c r="D5" s="20" t="str">
        <x:v>Moderate</x:v>
      </x:c>
      <x:c r="E5" s="20" t="str">
        <x:v>Conditionally approve</x:v>
      </x:c>
      <x:c r="F5" s="20" t="str">
        <x:v>Monthly administrative activity report</x:v>
      </x:c>
      <x:c r="G5" s="20" t="str">
        <x:v>Security Lead</x:v>
      </x:c>
      <x:c r="H5" s="21" t="n">
        <x:v>46096</x:v>
      </x:c>
      <x:c r="I5" s="20" t="str">
        <x:v>Planned</x:v>
      </x:c>
      <x:c r="J5" s="20" t="str">
        <x:v>Pending</x:v>
      </x:c>
    </x:row>
    <x:row r="6">
      <x:c r="A6" s="20" t="str">
        <x:v>VF-003</x:v>
      </x:c>
      <x:c r="B6" s="20" t="str">
        <x:v>V-003</x:v>
      </x:c>
      <x:c r="C6" s="20" t="str">
        <x:v>Renewal review overdue</x:v>
      </x:c>
      <x:c r="D6" s="20" t="str">
        <x:v>High</x:v>
      </x:c>
      <x:c r="E6" s="20" t="str">
        <x:v>Do not renew until review complete</x:v>
      </x:c>
      <x:c r="F6" s="20" t="str">
        <x:v>Limit new access</x:v>
      </x:c>
      <x:c r="G6" s="20" t="str">
        <x:v>Vendor Owner</x:v>
      </x:c>
      <x:c r="H6" s="21" t="n">
        <x:v>46235</x:v>
      </x:c>
      <x:c r="I6" s="20" t="str">
        <x:v>In Progress</x:v>
      </x:c>
      <x:c r="J6" s="20" t="str">
        <x:v>Pending</x:v>
      </x:c>
    </x:row>
    <x:row r="7">
      <x:c r="A7" s="20"/>
      <x:c r="B7" s="20"/>
      <x:c r="C7" s="20"/>
      <x:c r="D7" s="20"/>
      <x:c r="E7" s="20"/>
      <x:c r="F7" s="20"/>
      <x:c r="G7" s="20"/>
      <x:c r="H7" s="21"/>
      <x:c r="I7" s="20"/>
      <x:c r="J7" s="20"/>
    </x:row>
    <x:row r="8">
      <x:c r="A8" s="20"/>
      <x:c r="B8" s="20"/>
      <x:c r="C8" s="20"/>
      <x:c r="D8" s="20"/>
      <x:c r="E8" s="20"/>
      <x:c r="F8" s="20"/>
      <x:c r="G8" s="20"/>
      <x:c r="H8" s="21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1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1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1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1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1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1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1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1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1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1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1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1"/>
      <x:c r="I20" s="20"/>
      <x:c r="J20" s="20"/>
    </x:row>
    <x:row r="21">
      <x:c r="A21" s="20"/>
      <x:c r="B21" s="20"/>
      <x:c r="C21" s="20"/>
      <x:c r="D21" s="20"/>
      <x:c r="E21" s="20"/>
      <x:c r="F21" s="20"/>
      <x:c r="G21" s="20"/>
      <x:c r="H21" s="21"/>
      <x:c r="I21" s="20"/>
      <x:c r="J21" s="20"/>
    </x:row>
    <x:row r="22">
      <x:c r="A22" s="20"/>
      <x:c r="B22" s="20"/>
      <x:c r="C22" s="20"/>
      <x:c r="D22" s="20"/>
      <x:c r="E22" s="20"/>
      <x:c r="F22" s="20"/>
      <x:c r="G22" s="20"/>
      <x:c r="H22" s="21"/>
      <x:c r="I22" s="20"/>
      <x:c r="J22" s="20"/>
    </x:row>
    <x:row r="23">
      <x:c r="A23" s="20"/>
      <x:c r="B23" s="20"/>
      <x:c r="C23" s="20"/>
      <x:c r="D23" s="20"/>
      <x:c r="E23" s="20"/>
      <x:c r="F23" s="20"/>
      <x:c r="G23" s="20"/>
      <x:c r="H23" s="21"/>
      <x:c r="I23" s="20"/>
      <x:c r="J23" s="20"/>
    </x:row>
    <x:row r="24">
      <x:c r="A24" s="20"/>
      <x:c r="B24" s="20"/>
      <x:c r="C24" s="20"/>
      <x:c r="D24" s="20"/>
      <x:c r="E24" s="20"/>
      <x:c r="F24" s="20"/>
      <x:c r="G24" s="20"/>
      <x:c r="H24" s="21"/>
      <x:c r="I24" s="20"/>
      <x:c r="J24" s="20"/>
    </x:row>
    <x:row r="25">
      <x:c r="A25" s="20"/>
      <x:c r="B25" s="20"/>
      <x:c r="C25" s="20"/>
      <x:c r="D25" s="20"/>
      <x:c r="E25" s="20"/>
      <x:c r="F25" s="20"/>
      <x:c r="G25" s="20"/>
      <x:c r="H25" s="21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0"/>
      <x:c r="H26" s="21"/>
      <x:c r="I26" s="20"/>
      <x:c r="J26" s="20"/>
    </x:row>
    <x:row r="27">
      <x:c r="A27" s="20"/>
      <x:c r="B27" s="20"/>
      <x:c r="C27" s="20"/>
      <x:c r="D27" s="20"/>
      <x:c r="E27" s="20"/>
      <x:c r="F27" s="20"/>
      <x:c r="G27" s="20"/>
      <x:c r="H27" s="21"/>
      <x:c r="I27" s="20"/>
      <x:c r="J27" s="20"/>
    </x:row>
    <x:row r="28">
      <x:c r="A28" s="20"/>
      <x:c r="B28" s="20"/>
      <x:c r="C28" s="20"/>
      <x:c r="D28" s="20"/>
      <x:c r="E28" s="20"/>
      <x:c r="F28" s="20"/>
      <x:c r="G28" s="20"/>
      <x:c r="H28" s="21"/>
      <x:c r="I28" s="20"/>
      <x:c r="J28" s="20"/>
    </x:row>
    <x:row r="29">
      <x:c r="A29" s="20"/>
      <x:c r="B29" s="20"/>
      <x:c r="C29" s="20"/>
      <x:c r="D29" s="20"/>
      <x:c r="E29" s="20"/>
      <x:c r="F29" s="20"/>
      <x:c r="G29" s="20"/>
      <x:c r="H29" s="21"/>
      <x:c r="I29" s="20"/>
      <x:c r="J29" s="20"/>
    </x:row>
    <x:row r="30">
      <x:c r="A30" s="20"/>
      <x:c r="B30" s="20"/>
      <x:c r="C30" s="20"/>
      <x:c r="D30" s="20"/>
      <x:c r="E30" s="20"/>
      <x:c r="F30" s="20"/>
      <x:c r="G30" s="20"/>
      <x:c r="H30" s="21"/>
      <x:c r="I30" s="20"/>
      <x:c r="J30" s="20"/>
    </x:row>
    <x:row r="31">
      <x:c r="A31" s="20"/>
      <x:c r="B31" s="20"/>
      <x:c r="C31" s="20"/>
      <x:c r="D31" s="20"/>
      <x:c r="E31" s="20"/>
      <x:c r="F31" s="20"/>
      <x:c r="G31" s="20"/>
      <x:c r="H31" s="21"/>
      <x:c r="I31" s="20"/>
      <x:c r="J31" s="20"/>
    </x:row>
    <x:row r="32">
      <x:c r="A32" s="20"/>
      <x:c r="B32" s="20"/>
      <x:c r="C32" s="20"/>
      <x:c r="D32" s="20"/>
      <x:c r="E32" s="20"/>
      <x:c r="F32" s="20"/>
      <x:c r="G32" s="20"/>
      <x:c r="H32" s="21"/>
      <x:c r="I32" s="20"/>
      <x:c r="J32" s="20"/>
    </x:row>
    <x:row r="33">
      <x:c r="A33" s="20"/>
      <x:c r="B33" s="20"/>
      <x:c r="C33" s="20"/>
      <x:c r="D33" s="20"/>
      <x:c r="E33" s="20"/>
      <x:c r="F33" s="20"/>
      <x:c r="G33" s="20"/>
      <x:c r="H33" s="21"/>
      <x:c r="I33" s="20"/>
      <x:c r="J33" s="20"/>
    </x:row>
    <x:row r="34">
      <x:c r="A34" s="20"/>
      <x:c r="B34" s="20"/>
      <x:c r="C34" s="20"/>
      <x:c r="D34" s="20"/>
      <x:c r="E34" s="20"/>
      <x:c r="F34" s="20"/>
      <x:c r="G34" s="20"/>
      <x:c r="H34" s="21"/>
      <x:c r="I34" s="20"/>
      <x:c r="J34" s="20"/>
    </x:row>
    <x:row r="35">
      <x:c r="A35" s="20"/>
      <x:c r="B35" s="20"/>
      <x:c r="C35" s="20"/>
      <x:c r="D35" s="20"/>
      <x:c r="E35" s="20"/>
      <x:c r="F35" s="20"/>
      <x:c r="G35" s="20"/>
      <x:c r="H35" s="21"/>
      <x:c r="I35" s="20"/>
      <x:c r="J35" s="20"/>
    </x:row>
    <x:row r="36">
      <x:c r="A36" s="20"/>
      <x:c r="B36" s="20"/>
      <x:c r="C36" s="20"/>
      <x:c r="D36" s="20"/>
      <x:c r="E36" s="20"/>
      <x:c r="F36" s="20"/>
      <x:c r="G36" s="20"/>
      <x:c r="H36" s="21"/>
      <x:c r="I36" s="20"/>
      <x:c r="J36" s="20"/>
    </x:row>
    <x:row r="37">
      <x:c r="A37" s="20"/>
      <x:c r="B37" s="20"/>
      <x:c r="C37" s="20"/>
      <x:c r="D37" s="20"/>
      <x:c r="E37" s="20"/>
      <x:c r="F37" s="20"/>
      <x:c r="G37" s="20"/>
      <x:c r="H37" s="21"/>
      <x:c r="I37" s="20"/>
      <x:c r="J37" s="20"/>
    </x:row>
    <x:row r="38">
      <x:c r="A38" s="20"/>
      <x:c r="B38" s="20"/>
      <x:c r="C38" s="20"/>
      <x:c r="D38" s="20"/>
      <x:c r="E38" s="20"/>
      <x:c r="F38" s="20"/>
      <x:c r="G38" s="20"/>
      <x:c r="H38" s="21"/>
      <x:c r="I38" s="20"/>
      <x:c r="J38" s="20"/>
    </x:row>
    <x:row r="39">
      <x:c r="A39" s="20"/>
      <x:c r="B39" s="20"/>
      <x:c r="C39" s="20"/>
      <x:c r="D39" s="20"/>
      <x:c r="E39" s="20"/>
      <x:c r="F39" s="20"/>
      <x:c r="G39" s="20"/>
      <x:c r="H39" s="21"/>
      <x:c r="I39" s="20"/>
      <x:c r="J39" s="20"/>
    </x:row>
    <x:row r="40">
      <x:c r="A40" s="20"/>
      <x:c r="B40" s="20"/>
      <x:c r="C40" s="20"/>
      <x:c r="D40" s="20"/>
      <x:c r="E40" s="20"/>
      <x:c r="F40" s="20"/>
      <x:c r="G40" s="20"/>
      <x:c r="H40" s="21"/>
      <x:c r="I40" s="20"/>
      <x:c r="J40" s="20"/>
    </x:row>
    <x:row r="41">
      <x:c r="A41" s="20"/>
      <x:c r="B41" s="20"/>
      <x:c r="C41" s="20"/>
      <x:c r="D41" s="20"/>
      <x:c r="E41" s="20"/>
      <x:c r="F41" s="20"/>
      <x:c r="G41" s="20"/>
      <x:c r="H41" s="21"/>
      <x:c r="I41" s="20"/>
      <x:c r="J41" s="20"/>
    </x:row>
    <x:row r="42">
      <x:c r="A42" s="20"/>
      <x:c r="B42" s="20"/>
      <x:c r="C42" s="20"/>
      <x:c r="D42" s="20"/>
      <x:c r="E42" s="20"/>
      <x:c r="F42" s="20"/>
      <x:c r="G42" s="20"/>
      <x:c r="H42" s="21"/>
      <x:c r="I42" s="20"/>
      <x:c r="J42" s="20"/>
    </x:row>
    <x:row r="43">
      <x:c r="A43" s="20"/>
      <x:c r="B43" s="20"/>
      <x:c r="C43" s="20"/>
      <x:c r="D43" s="20"/>
      <x:c r="E43" s="20"/>
      <x:c r="F43" s="20"/>
      <x:c r="G43" s="20"/>
      <x:c r="H43" s="21"/>
      <x:c r="I43" s="20"/>
      <x:c r="J43" s="20"/>
    </x:row>
    <x:row r="44">
      <x:c r="A44" s="20"/>
      <x:c r="B44" s="20"/>
      <x:c r="C44" s="20"/>
      <x:c r="D44" s="20"/>
      <x:c r="E44" s="20"/>
      <x:c r="F44" s="20"/>
      <x:c r="G44" s="20"/>
      <x:c r="H44" s="21"/>
      <x:c r="I44" s="20"/>
      <x:c r="J44" s="20"/>
    </x:row>
    <x:row r="45">
      <x:c r="A45" s="20"/>
      <x:c r="B45" s="20"/>
      <x:c r="C45" s="20"/>
      <x:c r="D45" s="20"/>
      <x:c r="E45" s="20"/>
      <x:c r="F45" s="20"/>
      <x:c r="G45" s="20"/>
      <x:c r="H45" s="21"/>
      <x:c r="I45" s="20"/>
      <x:c r="J45" s="20"/>
    </x:row>
    <x:row r="46">
      <x:c r="A46" s="20"/>
      <x:c r="B46" s="20"/>
      <x:c r="C46" s="20"/>
      <x:c r="D46" s="20"/>
      <x:c r="E46" s="20"/>
      <x:c r="F46" s="20"/>
      <x:c r="G46" s="20"/>
      <x:c r="H46" s="21"/>
      <x:c r="I46" s="20"/>
      <x:c r="J46" s="20"/>
    </x:row>
    <x:row r="47">
      <x:c r="A47" s="20"/>
      <x:c r="B47" s="20"/>
      <x:c r="C47" s="20"/>
      <x:c r="D47" s="20"/>
      <x:c r="E47" s="20"/>
      <x:c r="F47" s="20"/>
      <x:c r="G47" s="20"/>
      <x:c r="H47" s="21"/>
      <x:c r="I47" s="20"/>
      <x:c r="J47" s="20"/>
    </x:row>
    <x:row r="48">
      <x:c r="A48" s="20"/>
      <x:c r="B48" s="20"/>
      <x:c r="C48" s="20"/>
      <x:c r="D48" s="20"/>
      <x:c r="E48" s="20"/>
      <x:c r="F48" s="20"/>
      <x:c r="G48" s="20"/>
      <x:c r="H48" s="21"/>
      <x:c r="I48" s="20"/>
      <x:c r="J48" s="20"/>
    </x:row>
    <x:row r="49">
      <x:c r="A49" s="20"/>
      <x:c r="B49" s="20"/>
      <x:c r="C49" s="20"/>
      <x:c r="D49" s="20"/>
      <x:c r="E49" s="20"/>
      <x:c r="F49" s="20"/>
      <x:c r="G49" s="20"/>
      <x:c r="H49" s="21"/>
      <x:c r="I49" s="20"/>
      <x:c r="J49" s="20"/>
    </x:row>
    <x:row r="50">
      <x:c r="A50" s="20"/>
      <x:c r="B50" s="20"/>
      <x:c r="C50" s="20"/>
      <x:c r="D50" s="20"/>
      <x:c r="E50" s="20"/>
      <x:c r="F50" s="20"/>
      <x:c r="G50" s="20"/>
      <x:c r="H50" s="21"/>
      <x:c r="I50" s="20"/>
      <x:c r="J50" s="20"/>
    </x:row>
    <x:row r="51">
      <x:c r="A51" s="20"/>
      <x:c r="B51" s="20"/>
      <x:c r="C51" s="20"/>
      <x:c r="D51" s="20"/>
      <x:c r="E51" s="20"/>
      <x:c r="F51" s="20"/>
      <x:c r="G51" s="20"/>
      <x:c r="H51" s="21"/>
      <x:c r="I51" s="20"/>
      <x:c r="J51" s="20"/>
    </x:row>
    <x:row r="52">
      <x:c r="A52" s="20"/>
      <x:c r="B52" s="20"/>
      <x:c r="C52" s="20"/>
      <x:c r="D52" s="20"/>
      <x:c r="E52" s="20"/>
      <x:c r="F52" s="20"/>
      <x:c r="G52" s="20"/>
      <x:c r="H52" s="21"/>
      <x:c r="I52" s="20"/>
      <x:c r="J52" s="20"/>
    </x:row>
    <x:row r="53">
      <x:c r="A53" s="20"/>
      <x:c r="B53" s="20"/>
      <x:c r="C53" s="20"/>
      <x:c r="D53" s="20"/>
      <x:c r="E53" s="20"/>
      <x:c r="F53" s="20"/>
      <x:c r="G53" s="20"/>
      <x:c r="H53" s="21"/>
      <x:c r="I53" s="20"/>
      <x:c r="J53" s="20"/>
    </x:row>
    <x:row r="54">
      <x:c r="A54" s="20"/>
      <x:c r="B54" s="20"/>
      <x:c r="C54" s="20"/>
      <x:c r="D54" s="20"/>
      <x:c r="E54" s="20"/>
      <x:c r="F54" s="20"/>
      <x:c r="G54" s="20"/>
      <x:c r="H54" s="21"/>
      <x:c r="I54" s="20"/>
      <x:c r="J54" s="20"/>
    </x:row>
    <x:row r="55">
      <x:c r="A55" s="20"/>
      <x:c r="B55" s="20"/>
      <x:c r="C55" s="20"/>
      <x:c r="D55" s="20"/>
      <x:c r="E55" s="20"/>
      <x:c r="F55" s="20"/>
      <x:c r="G55" s="20"/>
      <x:c r="H55" s="21"/>
      <x:c r="I55" s="20"/>
      <x:c r="J55" s="20"/>
    </x:row>
    <x:row r="56">
      <x:c r="A56" s="20"/>
      <x:c r="B56" s="20"/>
      <x:c r="C56" s="20"/>
      <x:c r="D56" s="20"/>
      <x:c r="E56" s="20"/>
      <x:c r="F56" s="20"/>
      <x:c r="G56" s="20"/>
      <x:c r="H56" s="21"/>
      <x:c r="I56" s="20"/>
      <x:c r="J56" s="20"/>
    </x:row>
    <x:row r="57">
      <x:c r="A57" s="20"/>
      <x:c r="B57" s="20"/>
      <x:c r="C57" s="20"/>
      <x:c r="D57" s="20"/>
      <x:c r="E57" s="20"/>
      <x:c r="F57" s="20"/>
      <x:c r="G57" s="20"/>
      <x:c r="H57" s="21"/>
      <x:c r="I57" s="20"/>
      <x:c r="J57" s="20"/>
    </x:row>
    <x:row r="58">
      <x:c r="A58" s="20"/>
      <x:c r="B58" s="20"/>
      <x:c r="C58" s="20"/>
      <x:c r="D58" s="20"/>
      <x:c r="E58" s="20"/>
      <x:c r="F58" s="20"/>
      <x:c r="G58" s="20"/>
      <x:c r="H58" s="21"/>
      <x:c r="I58" s="20"/>
      <x:c r="J58" s="20"/>
    </x:row>
    <x:row r="59">
      <x:c r="A59" s="20"/>
      <x:c r="B59" s="20"/>
      <x:c r="C59" s="20"/>
      <x:c r="D59" s="20"/>
      <x:c r="E59" s="20"/>
      <x:c r="F59" s="20"/>
      <x:c r="G59" s="20"/>
      <x:c r="H59" s="21"/>
      <x:c r="I59" s="20"/>
      <x:c r="J59" s="20"/>
    </x:row>
    <x:row r="60">
      <x:c r="A60" s="20"/>
      <x:c r="B60" s="20"/>
      <x:c r="C60" s="20"/>
      <x:c r="D60" s="20"/>
      <x:c r="E60" s="20"/>
      <x:c r="F60" s="20"/>
      <x:c r="G60" s="20"/>
      <x:c r="H60" s="21"/>
      <x:c r="I60" s="20"/>
      <x:c r="J60" s="20"/>
    </x:row>
    <x:row r="61">
      <x:c r="A61" s="20"/>
      <x:c r="B61" s="20"/>
      <x:c r="C61" s="20"/>
      <x:c r="D61" s="20"/>
      <x:c r="E61" s="20"/>
      <x:c r="F61" s="20"/>
      <x:c r="G61" s="20"/>
      <x:c r="H61" s="21"/>
      <x:c r="I61" s="20"/>
      <x:c r="J61" s="20"/>
    </x:row>
    <x:row r="62">
      <x:c r="A62" s="20"/>
      <x:c r="B62" s="20"/>
      <x:c r="C62" s="20"/>
      <x:c r="D62" s="20"/>
      <x:c r="E62" s="20"/>
      <x:c r="F62" s="20"/>
      <x:c r="G62" s="20"/>
      <x:c r="H62" s="21"/>
      <x:c r="I62" s="20"/>
      <x:c r="J62" s="20"/>
    </x:row>
    <x:row r="63">
      <x:c r="A63" s="20"/>
      <x:c r="B63" s="20"/>
      <x:c r="C63" s="20"/>
      <x:c r="D63" s="20"/>
      <x:c r="E63" s="20"/>
      <x:c r="F63" s="20"/>
      <x:c r="G63" s="20"/>
      <x:c r="H63" s="21"/>
      <x:c r="I63" s="20"/>
      <x:c r="J63" s="20"/>
    </x:row>
    <x:row r="64">
      <x:c r="A64" s="20"/>
      <x:c r="B64" s="20"/>
      <x:c r="C64" s="20"/>
      <x:c r="D64" s="20"/>
      <x:c r="E64" s="20"/>
      <x:c r="F64" s="20"/>
      <x:c r="G64" s="20"/>
      <x:c r="H64" s="21"/>
      <x:c r="I64" s="20"/>
      <x:c r="J64" s="20"/>
    </x:row>
    <x:row r="65">
      <x:c r="A65" s="20"/>
      <x:c r="B65" s="20"/>
      <x:c r="C65" s="20"/>
      <x:c r="D65" s="20"/>
      <x:c r="E65" s="20"/>
      <x:c r="F65" s="20"/>
      <x:c r="G65" s="20"/>
      <x:c r="H65" s="21"/>
      <x:c r="I65" s="20"/>
      <x:c r="J65" s="20"/>
    </x:row>
    <x:row r="66">
      <x:c r="A66" s="20"/>
      <x:c r="B66" s="20"/>
      <x:c r="C66" s="20"/>
      <x:c r="D66" s="20"/>
      <x:c r="E66" s="20"/>
      <x:c r="F66" s="20"/>
      <x:c r="G66" s="20"/>
      <x:c r="H66" s="21"/>
      <x:c r="I66" s="20"/>
      <x:c r="J66" s="20"/>
    </x:row>
    <x:row r="67">
      <x:c r="A67" s="20"/>
      <x:c r="B67" s="20"/>
      <x:c r="C67" s="20"/>
      <x:c r="D67" s="20"/>
      <x:c r="E67" s="20"/>
      <x:c r="F67" s="20"/>
      <x:c r="G67" s="20"/>
      <x:c r="H67" s="21"/>
      <x:c r="I67" s="20"/>
      <x:c r="J67" s="20"/>
    </x:row>
    <x:row r="68">
      <x:c r="A68" s="20"/>
      <x:c r="B68" s="20"/>
      <x:c r="C68" s="20"/>
      <x:c r="D68" s="20"/>
      <x:c r="E68" s="20"/>
      <x:c r="F68" s="20"/>
      <x:c r="G68" s="20"/>
      <x:c r="H68" s="21"/>
      <x:c r="I68" s="20"/>
      <x:c r="J68" s="20"/>
    </x:row>
    <x:row r="69">
      <x:c r="A69" s="20"/>
      <x:c r="B69" s="20"/>
      <x:c r="C69" s="20"/>
      <x:c r="D69" s="20"/>
      <x:c r="E69" s="20"/>
      <x:c r="F69" s="20"/>
      <x:c r="G69" s="20"/>
      <x:c r="H69" s="21"/>
      <x:c r="I69" s="20"/>
      <x:c r="J69" s="20"/>
    </x:row>
    <x:row r="70">
      <x:c r="A70" s="20"/>
      <x:c r="B70" s="20"/>
      <x:c r="C70" s="20"/>
      <x:c r="D70" s="20"/>
      <x:c r="E70" s="20"/>
      <x:c r="F70" s="20"/>
      <x:c r="G70" s="20"/>
      <x:c r="H70" s="21"/>
      <x:c r="I70" s="20"/>
      <x:c r="J70" s="20"/>
    </x:row>
    <x:row r="71">
      <x:c r="A71" s="20"/>
      <x:c r="B71" s="20"/>
      <x:c r="C71" s="20"/>
      <x:c r="D71" s="20"/>
      <x:c r="E71" s="20"/>
      <x:c r="F71" s="20"/>
      <x:c r="G71" s="20"/>
      <x:c r="H71" s="21"/>
      <x:c r="I71" s="20"/>
      <x:c r="J71" s="20"/>
    </x:row>
    <x:row r="72">
      <x:c r="A72" s="20"/>
      <x:c r="B72" s="20"/>
      <x:c r="C72" s="20"/>
      <x:c r="D72" s="20"/>
      <x:c r="E72" s="20"/>
      <x:c r="F72" s="20"/>
      <x:c r="G72" s="20"/>
      <x:c r="H72" s="21"/>
      <x:c r="I72" s="20"/>
      <x:c r="J72" s="20"/>
    </x:row>
    <x:row r="73">
      <x:c r="A73" s="20"/>
      <x:c r="B73" s="20"/>
      <x:c r="C73" s="20"/>
      <x:c r="D73" s="20"/>
      <x:c r="E73" s="20"/>
      <x:c r="F73" s="20"/>
      <x:c r="G73" s="20"/>
      <x:c r="H73" s="21"/>
      <x:c r="I73" s="20"/>
      <x:c r="J73" s="20"/>
    </x:row>
    <x:row r="74">
      <x:c r="A74" s="20"/>
      <x:c r="B74" s="20"/>
      <x:c r="C74" s="20"/>
      <x:c r="D74" s="20"/>
      <x:c r="E74" s="20"/>
      <x:c r="F74" s="20"/>
      <x:c r="G74" s="20"/>
      <x:c r="H74" s="21"/>
      <x:c r="I74" s="20"/>
      <x:c r="J74" s="20"/>
    </x:row>
    <x:row r="75">
      <x:c r="A75" s="20"/>
      <x:c r="B75" s="20"/>
      <x:c r="C75" s="20"/>
      <x:c r="D75" s="20"/>
      <x:c r="E75" s="20"/>
      <x:c r="F75" s="20"/>
      <x:c r="G75" s="20"/>
      <x:c r="H75" s="21"/>
      <x:c r="I75" s="20"/>
      <x:c r="J75" s="20"/>
    </x:row>
    <x:row r="76">
      <x:c r="A76" s="20"/>
      <x:c r="B76" s="20"/>
      <x:c r="C76" s="20"/>
      <x:c r="D76" s="20"/>
      <x:c r="E76" s="20"/>
      <x:c r="F76" s="20"/>
      <x:c r="G76" s="20"/>
      <x:c r="H76" s="21"/>
      <x:c r="I76" s="20"/>
      <x:c r="J76" s="20"/>
    </x:row>
    <x:row r="77">
      <x:c r="A77" s="20"/>
      <x:c r="B77" s="20"/>
      <x:c r="C77" s="20"/>
      <x:c r="D77" s="20"/>
      <x:c r="E77" s="20"/>
      <x:c r="F77" s="20"/>
      <x:c r="G77" s="20"/>
      <x:c r="H77" s="21"/>
      <x:c r="I77" s="20"/>
      <x:c r="J77" s="20"/>
    </x:row>
    <x:row r="78">
      <x:c r="A78" s="20"/>
      <x:c r="B78" s="20"/>
      <x:c r="C78" s="20"/>
      <x:c r="D78" s="20"/>
      <x:c r="E78" s="20"/>
      <x:c r="F78" s="20"/>
      <x:c r="G78" s="20"/>
      <x:c r="H78" s="21"/>
      <x:c r="I78" s="20"/>
      <x:c r="J78" s="20"/>
    </x:row>
    <x:row r="79">
      <x:c r="A79" s="20"/>
      <x:c r="B79" s="20"/>
      <x:c r="C79" s="20"/>
      <x:c r="D79" s="20"/>
      <x:c r="E79" s="20"/>
      <x:c r="F79" s="20"/>
      <x:c r="G79" s="20"/>
      <x:c r="H79" s="21"/>
      <x:c r="I79" s="20"/>
      <x:c r="J79" s="20"/>
    </x:row>
    <x:row r="80">
      <x:c r="A80" s="20"/>
      <x:c r="B80" s="20"/>
      <x:c r="C80" s="20"/>
      <x:c r="D80" s="20"/>
      <x:c r="E80" s="20"/>
      <x:c r="F80" s="20"/>
      <x:c r="G80" s="20"/>
      <x:c r="H80" s="21"/>
      <x:c r="I80" s="20"/>
      <x:c r="J80" s="20"/>
    </x:row>
    <x:row r="81">
      <x:c r="A81" s="20"/>
      <x:c r="B81" s="20"/>
      <x:c r="C81" s="20"/>
      <x:c r="D81" s="20"/>
      <x:c r="E81" s="20"/>
      <x:c r="F81" s="20"/>
      <x:c r="G81" s="20"/>
      <x:c r="H81" s="21"/>
      <x:c r="I81" s="20"/>
      <x:c r="J81" s="20"/>
    </x:row>
    <x:row r="82">
      <x:c r="A82" s="20"/>
      <x:c r="B82" s="20"/>
      <x:c r="C82" s="20"/>
      <x:c r="D82" s="20"/>
      <x:c r="E82" s="20"/>
      <x:c r="F82" s="20"/>
      <x:c r="G82" s="20"/>
      <x:c r="H82" s="21"/>
      <x:c r="I82" s="20"/>
      <x:c r="J82" s="20"/>
    </x:row>
    <x:row r="83">
      <x:c r="A83" s="20"/>
      <x:c r="B83" s="20"/>
      <x:c r="C83" s="20"/>
      <x:c r="D83" s="20"/>
      <x:c r="E83" s="20"/>
      <x:c r="F83" s="20"/>
      <x:c r="G83" s="20"/>
      <x:c r="H83" s="21"/>
      <x:c r="I83" s="20"/>
      <x:c r="J83" s="20"/>
    </x:row>
    <x:row r="84">
      <x:c r="A84" s="20"/>
      <x:c r="B84" s="20"/>
      <x:c r="C84" s="20"/>
      <x:c r="D84" s="20"/>
      <x:c r="E84" s="20"/>
      <x:c r="F84" s="20"/>
      <x:c r="G84" s="20"/>
      <x:c r="H84" s="21"/>
      <x:c r="I84" s="20"/>
      <x:c r="J84" s="20"/>
    </x:row>
    <x:row r="85">
      <x:c r="A85" s="20"/>
      <x:c r="B85" s="20"/>
      <x:c r="C85" s="20"/>
      <x:c r="D85" s="20"/>
      <x:c r="E85" s="20"/>
      <x:c r="F85" s="20"/>
      <x:c r="G85" s="20"/>
      <x:c r="H85" s="21"/>
      <x:c r="I85" s="20"/>
      <x:c r="J85" s="20"/>
    </x:row>
    <x:row r="86">
      <x:c r="A86" s="20"/>
      <x:c r="B86" s="20"/>
      <x:c r="C86" s="20"/>
      <x:c r="D86" s="20"/>
      <x:c r="E86" s="20"/>
      <x:c r="F86" s="20"/>
      <x:c r="G86" s="20"/>
      <x:c r="H86" s="21"/>
      <x:c r="I86" s="20"/>
      <x:c r="J86" s="20"/>
    </x:row>
    <x:row r="87">
      <x:c r="A87" s="20"/>
      <x:c r="B87" s="20"/>
      <x:c r="C87" s="20"/>
      <x:c r="D87" s="20"/>
      <x:c r="E87" s="20"/>
      <x:c r="F87" s="20"/>
      <x:c r="G87" s="20"/>
      <x:c r="H87" s="21"/>
      <x:c r="I87" s="20"/>
      <x:c r="J87" s="20"/>
    </x:row>
    <x:row r="88">
      <x:c r="A88" s="20"/>
      <x:c r="B88" s="20"/>
      <x:c r="C88" s="20"/>
      <x:c r="D88" s="20"/>
      <x:c r="E88" s="20"/>
      <x:c r="F88" s="20"/>
      <x:c r="G88" s="20"/>
      <x:c r="H88" s="21"/>
      <x:c r="I88" s="20"/>
      <x:c r="J88" s="20"/>
    </x:row>
    <x:row r="89">
      <x:c r="A89" s="20"/>
      <x:c r="B89" s="20"/>
      <x:c r="C89" s="20"/>
      <x:c r="D89" s="20"/>
      <x:c r="E89" s="20"/>
      <x:c r="F89" s="20"/>
      <x:c r="G89" s="20"/>
      <x:c r="H89" s="21"/>
      <x:c r="I89" s="20"/>
      <x:c r="J89" s="20"/>
    </x:row>
    <x:row r="90">
      <x:c r="A90" s="20"/>
      <x:c r="B90" s="20"/>
      <x:c r="C90" s="20"/>
      <x:c r="D90" s="20"/>
      <x:c r="E90" s="20"/>
      <x:c r="F90" s="20"/>
      <x:c r="G90" s="20"/>
      <x:c r="H90" s="21"/>
      <x:c r="I90" s="20"/>
      <x:c r="J90" s="20"/>
    </x:row>
    <x:row r="91">
      <x:c r="A91" s="20"/>
      <x:c r="B91" s="20"/>
      <x:c r="C91" s="20"/>
      <x:c r="D91" s="20"/>
      <x:c r="E91" s="20"/>
      <x:c r="F91" s="20"/>
      <x:c r="G91" s="20"/>
      <x:c r="H91" s="21"/>
      <x:c r="I91" s="20"/>
      <x:c r="J91" s="20"/>
    </x:row>
    <x:row r="92">
      <x:c r="A92" s="20"/>
      <x:c r="B92" s="20"/>
      <x:c r="C92" s="20"/>
      <x:c r="D92" s="20"/>
      <x:c r="E92" s="20"/>
      <x:c r="F92" s="20"/>
      <x:c r="G92" s="20"/>
      <x:c r="H92" s="21"/>
      <x:c r="I92" s="20"/>
      <x:c r="J92" s="20"/>
    </x:row>
    <x:row r="93">
      <x:c r="A93" s="20"/>
      <x:c r="B93" s="20"/>
      <x:c r="C93" s="20"/>
      <x:c r="D93" s="20"/>
      <x:c r="E93" s="20"/>
      <x:c r="F93" s="20"/>
      <x:c r="G93" s="20"/>
      <x:c r="H93" s="21"/>
      <x:c r="I93" s="20"/>
      <x:c r="J93" s="20"/>
    </x:row>
    <x:row r="94">
      <x:c r="A94" s="20"/>
      <x:c r="B94" s="20"/>
      <x:c r="C94" s="20"/>
      <x:c r="D94" s="20"/>
      <x:c r="E94" s="20"/>
      <x:c r="F94" s="20"/>
      <x:c r="G94" s="20"/>
      <x:c r="H94" s="21"/>
      <x:c r="I94" s="20"/>
      <x:c r="J94" s="20"/>
    </x:row>
    <x:row r="95">
      <x:c r="A95" s="20"/>
      <x:c r="B95" s="20"/>
      <x:c r="C95" s="20"/>
      <x:c r="D95" s="20"/>
      <x:c r="E95" s="20"/>
      <x:c r="F95" s="20"/>
      <x:c r="G95" s="20"/>
      <x:c r="H95" s="21"/>
      <x:c r="I95" s="20"/>
      <x:c r="J95" s="20"/>
    </x:row>
    <x:row r="96">
      <x:c r="A96" s="20"/>
      <x:c r="B96" s="20"/>
      <x:c r="C96" s="20"/>
      <x:c r="D96" s="20"/>
      <x:c r="E96" s="20"/>
      <x:c r="F96" s="20"/>
      <x:c r="G96" s="20"/>
      <x:c r="H96" s="21"/>
      <x:c r="I96" s="20"/>
      <x:c r="J96" s="20"/>
    </x:row>
    <x:row r="97">
      <x:c r="A97" s="20"/>
      <x:c r="B97" s="20"/>
      <x:c r="C97" s="20"/>
      <x:c r="D97" s="20"/>
      <x:c r="E97" s="20"/>
      <x:c r="F97" s="20"/>
      <x:c r="G97" s="20"/>
      <x:c r="H97" s="21"/>
      <x:c r="I97" s="20"/>
      <x:c r="J97" s="20"/>
    </x:row>
    <x:row r="98">
      <x:c r="A98" s="20"/>
      <x:c r="B98" s="20"/>
      <x:c r="C98" s="20"/>
      <x:c r="D98" s="20"/>
      <x:c r="E98" s="20"/>
      <x:c r="F98" s="20"/>
      <x:c r="G98" s="20"/>
      <x:c r="H98" s="21"/>
      <x:c r="I98" s="20"/>
      <x:c r="J98" s="20"/>
    </x:row>
    <x:row r="99">
      <x:c r="A99" s="20"/>
      <x:c r="B99" s="20"/>
      <x:c r="C99" s="20"/>
      <x:c r="D99" s="20"/>
      <x:c r="E99" s="20"/>
      <x:c r="F99" s="20"/>
      <x:c r="G99" s="20"/>
      <x:c r="H99" s="21"/>
      <x:c r="I99" s="20"/>
      <x:c r="J99" s="20"/>
    </x:row>
    <x:row r="100">
      <x:c r="A100" s="20"/>
      <x:c r="B100" s="20"/>
      <x:c r="C100" s="20"/>
      <x:c r="D100" s="20"/>
      <x:c r="E100" s="20"/>
      <x:c r="F100" s="20"/>
      <x:c r="G100" s="20"/>
      <x:c r="H100" s="21"/>
      <x:c r="I100" s="20"/>
      <x:c r="J100" s="20"/>
    </x:row>
    <x:row r="101">
      <x:c r="A101" s="20"/>
      <x:c r="B101" s="20"/>
      <x:c r="C101" s="20"/>
      <x:c r="D101" s="20"/>
      <x:c r="E101" s="20"/>
      <x:c r="F101" s="20"/>
      <x:c r="G101" s="20"/>
      <x:c r="H101" s="21"/>
      <x:c r="I101" s="20"/>
      <x:c r="J101" s="20"/>
    </x:row>
    <x:row r="102">
      <x:c r="A102" s="20"/>
      <x:c r="B102" s="20"/>
      <x:c r="C102" s="20"/>
      <x:c r="D102" s="20"/>
      <x:c r="E102" s="20"/>
      <x:c r="F102" s="20"/>
      <x:c r="G102" s="20"/>
      <x:c r="H102" s="21"/>
      <x:c r="I102" s="20"/>
      <x:c r="J102" s="20"/>
    </x:row>
    <x:row r="103">
      <x:c r="A103" s="20"/>
      <x:c r="B103" s="20"/>
      <x:c r="C103" s="20"/>
      <x:c r="D103" s="20"/>
      <x:c r="E103" s="20"/>
      <x:c r="F103" s="20"/>
      <x:c r="G103" s="20"/>
      <x:c r="H103" s="21"/>
      <x:c r="I103" s="20"/>
      <x:c r="J103" s="20"/>
    </x:row>
    <x:row r="104">
      <x:c r="A104" s="20"/>
      <x:c r="B104" s="20"/>
      <x:c r="C104" s="20"/>
      <x:c r="D104" s="20"/>
      <x:c r="E104" s="20"/>
      <x:c r="F104" s="20"/>
      <x:c r="G104" s="20"/>
      <x:c r="H104" s="21"/>
      <x:c r="I104" s="20"/>
      <x:c r="J104" s="20"/>
    </x:row>
    <x:row r="105">
      <x:c r="A105" s="20"/>
      <x:c r="B105" s="20"/>
      <x:c r="C105" s="20"/>
      <x:c r="D105" s="20"/>
      <x:c r="E105" s="20"/>
      <x:c r="F105" s="20"/>
      <x:c r="G105" s="20"/>
      <x:c r="H105" s="21"/>
      <x:c r="I105" s="20"/>
      <x:c r="J105" s="20"/>
    </x:row>
    <x:row r="106">
      <x:c r="A106" s="20"/>
      <x:c r="B106" s="20"/>
      <x:c r="C106" s="20"/>
      <x:c r="D106" s="20"/>
      <x:c r="E106" s="20"/>
      <x:c r="F106" s="20"/>
      <x:c r="G106" s="20"/>
      <x:c r="H106" s="21"/>
      <x:c r="I106" s="20"/>
      <x:c r="J106" s="20"/>
    </x:row>
    <x:row r="107">
      <x:c r="A107" s="20"/>
      <x:c r="B107" s="20"/>
      <x:c r="C107" s="20"/>
      <x:c r="D107" s="20"/>
      <x:c r="E107" s="20"/>
      <x:c r="F107" s="20"/>
      <x:c r="G107" s="20"/>
      <x:c r="H107" s="21"/>
      <x:c r="I107" s="20"/>
      <x:c r="J107" s="20"/>
    </x:row>
    <x:row r="108">
      <x:c r="A108" s="20"/>
      <x:c r="B108" s="20"/>
      <x:c r="C108" s="20"/>
      <x:c r="D108" s="20"/>
      <x:c r="E108" s="20"/>
      <x:c r="F108" s="20"/>
      <x:c r="G108" s="20"/>
      <x:c r="H108" s="21"/>
      <x:c r="I108" s="20"/>
      <x:c r="J108" s="20"/>
    </x:row>
    <x:row r="109">
      <x:c r="A109" s="20"/>
      <x:c r="B109" s="20"/>
      <x:c r="C109" s="20"/>
      <x:c r="D109" s="20"/>
      <x:c r="E109" s="20"/>
      <x:c r="F109" s="20"/>
      <x:c r="G109" s="20"/>
      <x:c r="H109" s="21"/>
      <x:c r="I109" s="20"/>
      <x:c r="J109" s="20"/>
    </x:row>
    <x:row r="110">
      <x:c r="A110" s="20"/>
      <x:c r="B110" s="20"/>
      <x:c r="C110" s="20"/>
      <x:c r="D110" s="20"/>
      <x:c r="E110" s="20"/>
      <x:c r="F110" s="20"/>
      <x:c r="G110" s="20"/>
      <x:c r="H110" s="21"/>
      <x:c r="I110" s="20"/>
      <x:c r="J110" s="20"/>
    </x:row>
    <x:row r="111">
      <x:c r="A111" s="20"/>
      <x:c r="B111" s="20"/>
      <x:c r="C111" s="20"/>
      <x:c r="D111" s="20"/>
      <x:c r="E111" s="20"/>
      <x:c r="F111" s="20"/>
      <x:c r="G111" s="20"/>
      <x:c r="H111" s="21"/>
      <x:c r="I111" s="20"/>
      <x:c r="J111" s="20"/>
    </x:row>
    <x:row r="112">
      <x:c r="A112" s="20"/>
      <x:c r="B112" s="20"/>
      <x:c r="C112" s="20"/>
      <x:c r="D112" s="20"/>
      <x:c r="E112" s="20"/>
      <x:c r="F112" s="20"/>
      <x:c r="G112" s="20"/>
      <x:c r="H112" s="21"/>
      <x:c r="I112" s="20"/>
      <x:c r="J112" s="20"/>
    </x:row>
    <x:row r="113">
      <x:c r="A113" s="20"/>
      <x:c r="B113" s="20"/>
      <x:c r="C113" s="20"/>
      <x:c r="D113" s="20"/>
      <x:c r="E113" s="20"/>
      <x:c r="F113" s="20"/>
      <x:c r="G113" s="20"/>
      <x:c r="H113" s="21"/>
      <x:c r="I113" s="20"/>
      <x:c r="J113" s="20"/>
    </x:row>
    <x:row r="114">
      <x:c r="A114" s="20"/>
      <x:c r="B114" s="20"/>
      <x:c r="C114" s="20"/>
      <x:c r="D114" s="20"/>
      <x:c r="E114" s="20"/>
      <x:c r="F114" s="20"/>
      <x:c r="G114" s="20"/>
      <x:c r="H114" s="21"/>
      <x:c r="I114" s="20"/>
      <x:c r="J114" s="20"/>
    </x:row>
    <x:row r="115">
      <x:c r="A115" s="20"/>
      <x:c r="B115" s="20"/>
      <x:c r="C115" s="20"/>
      <x:c r="D115" s="20"/>
      <x:c r="E115" s="20"/>
      <x:c r="F115" s="20"/>
      <x:c r="G115" s="20"/>
      <x:c r="H115" s="21"/>
      <x:c r="I115" s="20"/>
      <x:c r="J115" s="20"/>
    </x:row>
    <x:row r="116">
      <x:c r="A116" s="20"/>
      <x:c r="B116" s="20"/>
      <x:c r="C116" s="20"/>
      <x:c r="D116" s="20"/>
      <x:c r="E116" s="20"/>
      <x:c r="F116" s="20"/>
      <x:c r="G116" s="20"/>
      <x:c r="H116" s="21"/>
      <x:c r="I116" s="20"/>
      <x:c r="J116" s="20"/>
    </x:row>
    <x:row r="117">
      <x:c r="A117" s="20"/>
      <x:c r="B117" s="20"/>
      <x:c r="C117" s="20"/>
      <x:c r="D117" s="20"/>
      <x:c r="E117" s="20"/>
      <x:c r="F117" s="20"/>
      <x:c r="G117" s="20"/>
      <x:c r="H117" s="21"/>
      <x:c r="I117" s="20"/>
      <x:c r="J117" s="20"/>
    </x:row>
    <x:row r="118">
      <x:c r="A118" s="20"/>
      <x:c r="B118" s="20"/>
      <x:c r="C118" s="20"/>
      <x:c r="D118" s="20"/>
      <x:c r="E118" s="20"/>
      <x:c r="F118" s="20"/>
      <x:c r="G118" s="20"/>
      <x:c r="H118" s="21"/>
      <x:c r="I118" s="20"/>
      <x:c r="J118" s="20"/>
    </x:row>
    <x:row r="119">
      <x:c r="A119" s="20"/>
      <x:c r="B119" s="20"/>
      <x:c r="C119" s="20"/>
      <x:c r="D119" s="20"/>
      <x:c r="E119" s="20"/>
      <x:c r="F119" s="20"/>
      <x:c r="G119" s="20"/>
      <x:c r="H119" s="21"/>
      <x:c r="I119" s="20"/>
      <x:c r="J119" s="20"/>
    </x:row>
    <x:row r="120">
      <x:c r="A120" s="20"/>
      <x:c r="B120" s="20"/>
      <x:c r="C120" s="20"/>
      <x:c r="D120" s="20"/>
      <x:c r="E120" s="20"/>
      <x:c r="F120" s="20"/>
      <x:c r="G120" s="20"/>
      <x:c r="H120" s="21"/>
      <x:c r="I120" s="20"/>
      <x:c r="J120" s="20"/>
    </x:row>
    <x:row r="121">
      <x:c r="A121" s="20"/>
      <x:c r="B121" s="20"/>
      <x:c r="C121" s="20"/>
      <x:c r="D121" s="20"/>
      <x:c r="E121" s="20"/>
      <x:c r="F121" s="20"/>
      <x:c r="G121" s="20"/>
      <x:c r="H121" s="21"/>
      <x:c r="I121" s="20"/>
      <x:c r="J121" s="20"/>
    </x:row>
    <x:row r="122">
      <x:c r="A122" s="20"/>
      <x:c r="B122" s="20"/>
      <x:c r="C122" s="20"/>
      <x:c r="D122" s="20"/>
      <x:c r="E122" s="20"/>
      <x:c r="F122" s="20"/>
      <x:c r="G122" s="20"/>
      <x:c r="H122" s="21"/>
      <x:c r="I122" s="20"/>
      <x:c r="J122" s="20"/>
    </x:row>
    <x:row r="123">
      <x:c r="A123" s="20"/>
      <x:c r="B123" s="20"/>
      <x:c r="C123" s="20"/>
      <x:c r="D123" s="20"/>
      <x:c r="E123" s="20"/>
      <x:c r="F123" s="20"/>
      <x:c r="G123" s="20"/>
      <x:c r="H123" s="21"/>
      <x:c r="I123" s="20"/>
      <x:c r="J123" s="20"/>
    </x:row>
    <x:row r="124">
      <x:c r="A124" s="20"/>
      <x:c r="B124" s="20"/>
      <x:c r="C124" s="20"/>
      <x:c r="D124" s="20"/>
      <x:c r="E124" s="20"/>
      <x:c r="F124" s="20"/>
      <x:c r="G124" s="20"/>
      <x:c r="H124" s="21"/>
      <x:c r="I124" s="20"/>
      <x:c r="J124" s="20"/>
    </x:row>
    <x:row r="125">
      <x:c r="A125" s="20"/>
      <x:c r="B125" s="20"/>
      <x:c r="C125" s="20"/>
      <x:c r="D125" s="20"/>
      <x:c r="E125" s="20"/>
      <x:c r="F125" s="20"/>
      <x:c r="G125" s="20"/>
      <x:c r="H125" s="21"/>
      <x:c r="I125" s="20"/>
      <x:c r="J125" s="20"/>
    </x:row>
    <x:row r="126">
      <x:c r="A126" s="20"/>
      <x:c r="B126" s="20"/>
      <x:c r="C126" s="20"/>
      <x:c r="D126" s="20"/>
      <x:c r="E126" s="20"/>
      <x:c r="F126" s="20"/>
      <x:c r="G126" s="20"/>
      <x:c r="H126" s="21"/>
      <x:c r="I126" s="20"/>
      <x:c r="J126" s="20"/>
    </x:row>
    <x:row r="127">
      <x:c r="A127" s="20"/>
      <x:c r="B127" s="20"/>
      <x:c r="C127" s="20"/>
      <x:c r="D127" s="20"/>
      <x:c r="E127" s="20"/>
      <x:c r="F127" s="20"/>
      <x:c r="G127" s="20"/>
      <x:c r="H127" s="21"/>
      <x:c r="I127" s="20"/>
      <x:c r="J127" s="20"/>
    </x:row>
    <x:row r="128">
      <x:c r="A128" s="20"/>
      <x:c r="B128" s="20"/>
      <x:c r="C128" s="20"/>
      <x:c r="D128" s="20"/>
      <x:c r="E128" s="20"/>
      <x:c r="F128" s="20"/>
      <x:c r="G128" s="20"/>
      <x:c r="H128" s="21"/>
      <x:c r="I128" s="20"/>
      <x:c r="J128" s="20"/>
    </x:row>
    <x:row r="129">
      <x:c r="A129" s="20"/>
      <x:c r="B129" s="20"/>
      <x:c r="C129" s="20"/>
      <x:c r="D129" s="20"/>
      <x:c r="E129" s="20"/>
      <x:c r="F129" s="20"/>
      <x:c r="G129" s="20"/>
      <x:c r="H129" s="21"/>
      <x:c r="I129" s="20"/>
      <x:c r="J129" s="20"/>
    </x:row>
    <x:row r="130">
      <x:c r="A130" s="20"/>
      <x:c r="B130" s="20"/>
      <x:c r="C130" s="20"/>
      <x:c r="D130" s="20"/>
      <x:c r="E130" s="20"/>
      <x:c r="F130" s="20"/>
      <x:c r="G130" s="20"/>
      <x:c r="H130" s="21"/>
      <x:c r="I130" s="20"/>
      <x:c r="J130" s="20"/>
    </x:row>
    <x:row r="131">
      <x:c r="A131" s="20"/>
      <x:c r="B131" s="20"/>
      <x:c r="C131" s="20"/>
      <x:c r="D131" s="20"/>
      <x:c r="E131" s="20"/>
      <x:c r="F131" s="20"/>
      <x:c r="G131" s="20"/>
      <x:c r="H131" s="21"/>
      <x:c r="I131" s="20"/>
      <x:c r="J131" s="20"/>
    </x:row>
    <x:row r="132">
      <x:c r="A132" s="20"/>
      <x:c r="B132" s="20"/>
      <x:c r="C132" s="20"/>
      <x:c r="D132" s="20"/>
      <x:c r="E132" s="20"/>
      <x:c r="F132" s="20"/>
      <x:c r="G132" s="20"/>
      <x:c r="H132" s="21"/>
      <x:c r="I132" s="20"/>
      <x:c r="J132" s="20"/>
    </x:row>
    <x:row r="133">
      <x:c r="A133" s="20"/>
      <x:c r="B133" s="20"/>
      <x:c r="C133" s="20"/>
      <x:c r="D133" s="20"/>
      <x:c r="E133" s="20"/>
      <x:c r="F133" s="20"/>
      <x:c r="G133" s="20"/>
      <x:c r="H133" s="21"/>
      <x:c r="I133" s="20"/>
      <x:c r="J133" s="20"/>
    </x:row>
    <x:row r="134">
      <x:c r="A134" s="20"/>
      <x:c r="B134" s="20"/>
      <x:c r="C134" s="20"/>
      <x:c r="D134" s="20"/>
      <x:c r="E134" s="20"/>
      <x:c r="F134" s="20"/>
      <x:c r="G134" s="20"/>
      <x:c r="H134" s="21"/>
      <x:c r="I134" s="20"/>
      <x:c r="J134" s="20"/>
    </x:row>
    <x:row r="135">
      <x:c r="A135" s="20"/>
      <x:c r="B135" s="20"/>
      <x:c r="C135" s="20"/>
      <x:c r="D135" s="20"/>
      <x:c r="E135" s="20"/>
      <x:c r="F135" s="20"/>
      <x:c r="G135" s="20"/>
      <x:c r="H135" s="21"/>
      <x:c r="I135" s="20"/>
      <x:c r="J135" s="20"/>
    </x:row>
    <x:row r="136">
      <x:c r="A136" s="20"/>
      <x:c r="B136" s="20"/>
      <x:c r="C136" s="20"/>
      <x:c r="D136" s="20"/>
      <x:c r="E136" s="20"/>
      <x:c r="F136" s="20"/>
      <x:c r="G136" s="20"/>
      <x:c r="H136" s="21"/>
      <x:c r="I136" s="20"/>
      <x:c r="J136" s="20"/>
    </x:row>
    <x:row r="137">
      <x:c r="A137" s="20"/>
      <x:c r="B137" s="20"/>
      <x:c r="C137" s="20"/>
      <x:c r="D137" s="20"/>
      <x:c r="E137" s="20"/>
      <x:c r="F137" s="20"/>
      <x:c r="G137" s="20"/>
      <x:c r="H137" s="21"/>
      <x:c r="I137" s="20"/>
      <x:c r="J137" s="20"/>
    </x:row>
    <x:row r="138">
      <x:c r="A138" s="20"/>
      <x:c r="B138" s="20"/>
      <x:c r="C138" s="20"/>
      <x:c r="D138" s="20"/>
      <x:c r="E138" s="20"/>
      <x:c r="F138" s="20"/>
      <x:c r="G138" s="20"/>
      <x:c r="H138" s="21"/>
      <x:c r="I138" s="20"/>
      <x:c r="J138" s="20"/>
    </x:row>
    <x:row r="139">
      <x:c r="A139" s="20"/>
      <x:c r="B139" s="20"/>
      <x:c r="C139" s="20"/>
      <x:c r="D139" s="20"/>
      <x:c r="E139" s="20"/>
      <x:c r="F139" s="20"/>
      <x:c r="G139" s="20"/>
      <x:c r="H139" s="21"/>
      <x:c r="I139" s="20"/>
      <x:c r="J139" s="20"/>
    </x:row>
    <x:row r="140">
      <x:c r="A140" s="20"/>
      <x:c r="B140" s="20"/>
      <x:c r="C140" s="20"/>
      <x:c r="D140" s="20"/>
      <x:c r="E140" s="20"/>
      <x:c r="F140" s="20"/>
      <x:c r="G140" s="20"/>
      <x:c r="H140" s="21"/>
      <x:c r="I140" s="20"/>
      <x:c r="J140" s="20"/>
    </x:row>
    <x:row r="141">
      <x:c r="A141" s="20"/>
      <x:c r="B141" s="20"/>
      <x:c r="C141" s="20"/>
      <x:c r="D141" s="20"/>
      <x:c r="E141" s="20"/>
      <x:c r="F141" s="20"/>
      <x:c r="G141" s="20"/>
      <x:c r="H141" s="21"/>
      <x:c r="I141" s="20"/>
      <x:c r="J141" s="20"/>
    </x:row>
    <x:row r="142">
      <x:c r="A142" s="20"/>
      <x:c r="B142" s="20"/>
      <x:c r="C142" s="20"/>
      <x:c r="D142" s="20"/>
      <x:c r="E142" s="20"/>
      <x:c r="F142" s="20"/>
      <x:c r="G142" s="20"/>
      <x:c r="H142" s="21"/>
      <x:c r="I142" s="20"/>
      <x:c r="J142" s="20"/>
    </x:row>
    <x:row r="143">
      <x:c r="A143" s="20"/>
      <x:c r="B143" s="20"/>
      <x:c r="C143" s="20"/>
      <x:c r="D143" s="20"/>
      <x:c r="E143" s="20"/>
      <x:c r="F143" s="20"/>
      <x:c r="G143" s="20"/>
      <x:c r="H143" s="21"/>
      <x:c r="I143" s="20"/>
      <x:c r="J143" s="20"/>
    </x:row>
    <x:row r="144">
      <x:c r="A144" s="20"/>
      <x:c r="B144" s="20"/>
      <x:c r="C144" s="20"/>
      <x:c r="D144" s="20"/>
      <x:c r="E144" s="20"/>
      <x:c r="F144" s="20"/>
      <x:c r="G144" s="20"/>
      <x:c r="H144" s="21"/>
      <x:c r="I144" s="20"/>
      <x:c r="J144" s="20"/>
    </x:row>
    <x:row r="145">
      <x:c r="A145" s="20"/>
      <x:c r="B145" s="20"/>
      <x:c r="C145" s="20"/>
      <x:c r="D145" s="20"/>
      <x:c r="E145" s="20"/>
      <x:c r="F145" s="20"/>
      <x:c r="G145" s="20"/>
      <x:c r="H145" s="21"/>
      <x:c r="I145" s="20"/>
      <x:c r="J145" s="20"/>
    </x:row>
    <x:row r="146">
      <x:c r="A146" s="20"/>
      <x:c r="B146" s="20"/>
      <x:c r="C146" s="20"/>
      <x:c r="D146" s="20"/>
      <x:c r="E146" s="20"/>
      <x:c r="F146" s="20"/>
      <x:c r="G146" s="20"/>
      <x:c r="H146" s="21"/>
      <x:c r="I146" s="20"/>
      <x:c r="J146" s="20"/>
    </x:row>
    <x:row r="147">
      <x:c r="A147" s="20"/>
      <x:c r="B147" s="20"/>
      <x:c r="C147" s="20"/>
      <x:c r="D147" s="20"/>
      <x:c r="E147" s="20"/>
      <x:c r="F147" s="20"/>
      <x:c r="G147" s="20"/>
      <x:c r="H147" s="21"/>
      <x:c r="I147" s="20"/>
      <x:c r="J147" s="20"/>
    </x:row>
    <x:row r="148">
      <x:c r="A148" s="20"/>
      <x:c r="B148" s="20"/>
      <x:c r="C148" s="20"/>
      <x:c r="D148" s="20"/>
      <x:c r="E148" s="20"/>
      <x:c r="F148" s="20"/>
      <x:c r="G148" s="20"/>
      <x:c r="H148" s="21"/>
      <x:c r="I148" s="20"/>
      <x:c r="J148" s="20"/>
    </x:row>
    <x:row r="149">
      <x:c r="A149" s="20"/>
      <x:c r="B149" s="20"/>
      <x:c r="C149" s="20"/>
      <x:c r="D149" s="20"/>
      <x:c r="E149" s="20"/>
      <x:c r="F149" s="20"/>
      <x:c r="G149" s="20"/>
      <x:c r="H149" s="21"/>
      <x:c r="I149" s="20"/>
      <x:c r="J149" s="20"/>
    </x:row>
    <x:row r="150">
      <x:c r="A150" s="20"/>
      <x:c r="B150" s="20"/>
      <x:c r="C150" s="20"/>
      <x:c r="D150" s="20"/>
      <x:c r="E150" s="20"/>
      <x:c r="F150" s="20"/>
      <x:c r="G150" s="20"/>
      <x:c r="H150" s="21"/>
      <x:c r="I150" s="20"/>
      <x:c r="J150" s="20"/>
    </x:row>
    <x:row r="151">
      <x:c r="A151" s="20"/>
      <x:c r="B151" s="20"/>
      <x:c r="C151" s="20"/>
      <x:c r="D151" s="20"/>
      <x:c r="E151" s="20"/>
      <x:c r="F151" s="20"/>
      <x:c r="G151" s="20"/>
      <x:c r="H151" s="21"/>
      <x:c r="I151" s="20"/>
      <x:c r="J151" s="20"/>
    </x:row>
    <x:row r="152">
      <x:c r="A152" s="20"/>
      <x:c r="B152" s="20"/>
      <x:c r="C152" s="20"/>
      <x:c r="D152" s="20"/>
      <x:c r="E152" s="20"/>
      <x:c r="F152" s="20"/>
      <x:c r="G152" s="20"/>
      <x:c r="H152" s="21"/>
      <x:c r="I152" s="20"/>
      <x:c r="J152" s="20"/>
    </x:row>
    <x:row r="153">
      <x:c r="A153" s="20"/>
      <x:c r="B153" s="20"/>
      <x:c r="C153" s="20"/>
      <x:c r="D153" s="20"/>
      <x:c r="E153" s="20"/>
      <x:c r="F153" s="20"/>
      <x:c r="G153" s="20"/>
      <x:c r="H153" s="21"/>
      <x:c r="I153" s="20"/>
      <x:c r="J153" s="20"/>
    </x:row>
    <x:row r="154">
      <x:c r="A154" s="20"/>
      <x:c r="B154" s="20"/>
      <x:c r="C154" s="20"/>
      <x:c r="D154" s="20"/>
      <x:c r="E154" s="20"/>
      <x:c r="F154" s="20"/>
      <x:c r="G154" s="20"/>
      <x:c r="H154" s="21"/>
      <x:c r="I154" s="20"/>
      <x:c r="J154" s="20"/>
    </x:row>
    <x:row r="155">
      <x:c r="A155" s="20"/>
      <x:c r="B155" s="20"/>
      <x:c r="C155" s="20"/>
      <x:c r="D155" s="20"/>
      <x:c r="E155" s="20"/>
      <x:c r="F155" s="20"/>
      <x:c r="G155" s="20"/>
      <x:c r="H155" s="21"/>
      <x:c r="I155" s="20"/>
      <x:c r="J155" s="20"/>
    </x:row>
    <x:row r="156">
      <x:c r="A156" s="20"/>
      <x:c r="B156" s="20"/>
      <x:c r="C156" s="20"/>
      <x:c r="D156" s="20"/>
      <x:c r="E156" s="20"/>
      <x:c r="F156" s="20"/>
      <x:c r="G156" s="20"/>
      <x:c r="H156" s="21"/>
      <x:c r="I156" s="20"/>
      <x:c r="J156" s="20"/>
    </x:row>
    <x:row r="157">
      <x:c r="A157" s="20"/>
      <x:c r="B157" s="20"/>
      <x:c r="C157" s="20"/>
      <x:c r="D157" s="20"/>
      <x:c r="E157" s="20"/>
      <x:c r="F157" s="20"/>
      <x:c r="G157" s="20"/>
      <x:c r="H157" s="21"/>
      <x:c r="I157" s="20"/>
      <x:c r="J157" s="20"/>
    </x:row>
    <x:row r="158">
      <x:c r="A158" s="20"/>
      <x:c r="B158" s="20"/>
      <x:c r="C158" s="20"/>
      <x:c r="D158" s="20"/>
      <x:c r="E158" s="20"/>
      <x:c r="F158" s="20"/>
      <x:c r="G158" s="20"/>
      <x:c r="H158" s="21"/>
      <x:c r="I158" s="20"/>
      <x:c r="J158" s="20"/>
    </x:row>
    <x:row r="159">
      <x:c r="A159" s="20"/>
      <x:c r="B159" s="20"/>
      <x:c r="C159" s="20"/>
      <x:c r="D159" s="20"/>
      <x:c r="E159" s="20"/>
      <x:c r="F159" s="20"/>
      <x:c r="G159" s="20"/>
      <x:c r="H159" s="21"/>
      <x:c r="I159" s="20"/>
      <x:c r="J159" s="20"/>
    </x:row>
    <x:row r="160">
      <x:c r="A160" s="20"/>
      <x:c r="B160" s="20"/>
      <x:c r="C160" s="20"/>
      <x:c r="D160" s="20"/>
      <x:c r="E160" s="20"/>
      <x:c r="F160" s="20"/>
      <x:c r="G160" s="20"/>
      <x:c r="H160" s="21"/>
      <x:c r="I160" s="20"/>
      <x:c r="J160" s="20"/>
    </x:row>
    <x:row r="161">
      <x:c r="A161" s="20"/>
      <x:c r="B161" s="20"/>
      <x:c r="C161" s="20"/>
      <x:c r="D161" s="20"/>
      <x:c r="E161" s="20"/>
      <x:c r="F161" s="20"/>
      <x:c r="G161" s="20"/>
      <x:c r="H161" s="21"/>
      <x:c r="I161" s="20"/>
      <x:c r="J161" s="20"/>
    </x:row>
    <x:row r="162">
      <x:c r="A162" s="20"/>
      <x:c r="B162" s="20"/>
      <x:c r="C162" s="20"/>
      <x:c r="D162" s="20"/>
      <x:c r="E162" s="20"/>
      <x:c r="F162" s="20"/>
      <x:c r="G162" s="20"/>
      <x:c r="H162" s="21"/>
      <x:c r="I162" s="20"/>
      <x:c r="J162" s="20"/>
    </x:row>
    <x:row r="163">
      <x:c r="A163" s="20"/>
      <x:c r="B163" s="20"/>
      <x:c r="C163" s="20"/>
      <x:c r="D163" s="20"/>
      <x:c r="E163" s="20"/>
      <x:c r="F163" s="20"/>
      <x:c r="G163" s="20"/>
      <x:c r="H163" s="21"/>
      <x:c r="I163" s="20"/>
      <x:c r="J163" s="20"/>
    </x:row>
    <x:row r="164">
      <x:c r="A164" s="20"/>
      <x:c r="B164" s="20"/>
      <x:c r="C164" s="20"/>
      <x:c r="D164" s="20"/>
      <x:c r="E164" s="20"/>
      <x:c r="F164" s="20"/>
      <x:c r="G164" s="20"/>
      <x:c r="H164" s="21"/>
      <x:c r="I164" s="20"/>
      <x:c r="J164" s="20"/>
    </x:row>
    <x:row r="165">
      <x:c r="A165" s="20"/>
      <x:c r="B165" s="20"/>
      <x:c r="C165" s="20"/>
      <x:c r="D165" s="20"/>
      <x:c r="E165" s="20"/>
      <x:c r="F165" s="20"/>
      <x:c r="G165" s="20"/>
      <x:c r="H165" s="21"/>
      <x:c r="I165" s="20"/>
      <x:c r="J165" s="20"/>
    </x:row>
    <x:row r="166">
      <x:c r="A166" s="20"/>
      <x:c r="B166" s="20"/>
      <x:c r="C166" s="20"/>
      <x:c r="D166" s="20"/>
      <x:c r="E166" s="20"/>
      <x:c r="F166" s="20"/>
      <x:c r="G166" s="20"/>
      <x:c r="H166" s="21"/>
      <x:c r="I166" s="20"/>
      <x:c r="J166" s="20"/>
    </x:row>
    <x:row r="167">
      <x:c r="A167" s="20"/>
      <x:c r="B167" s="20"/>
      <x:c r="C167" s="20"/>
      <x:c r="D167" s="20"/>
      <x:c r="E167" s="20"/>
      <x:c r="F167" s="20"/>
      <x:c r="G167" s="20"/>
      <x:c r="H167" s="21"/>
      <x:c r="I167" s="20"/>
      <x:c r="J167" s="20"/>
    </x:row>
    <x:row r="168">
      <x:c r="A168" s="20"/>
      <x:c r="B168" s="20"/>
      <x:c r="C168" s="20"/>
      <x:c r="D168" s="20"/>
      <x:c r="E168" s="20"/>
      <x:c r="F168" s="20"/>
      <x:c r="G168" s="20"/>
      <x:c r="H168" s="21"/>
      <x:c r="I168" s="20"/>
      <x:c r="J168" s="20"/>
    </x:row>
    <x:row r="169">
      <x:c r="A169" s="20"/>
      <x:c r="B169" s="20"/>
      <x:c r="C169" s="20"/>
      <x:c r="D169" s="20"/>
      <x:c r="E169" s="20"/>
      <x:c r="F169" s="20"/>
      <x:c r="G169" s="20"/>
      <x:c r="H169" s="21"/>
      <x:c r="I169" s="20"/>
      <x:c r="J169" s="20"/>
    </x:row>
    <x:row r="170">
      <x:c r="A170" s="20"/>
      <x:c r="B170" s="20"/>
      <x:c r="C170" s="20"/>
      <x:c r="D170" s="20"/>
      <x:c r="E170" s="20"/>
      <x:c r="F170" s="20"/>
      <x:c r="G170" s="20"/>
      <x:c r="H170" s="21"/>
      <x:c r="I170" s="20"/>
      <x:c r="J170" s="20"/>
    </x:row>
    <x:row r="171">
      <x:c r="A171" s="20"/>
      <x:c r="B171" s="20"/>
      <x:c r="C171" s="20"/>
      <x:c r="D171" s="20"/>
      <x:c r="E171" s="20"/>
      <x:c r="F171" s="20"/>
      <x:c r="G171" s="20"/>
      <x:c r="H171" s="21"/>
      <x:c r="I171" s="20"/>
      <x:c r="J171" s="20"/>
    </x:row>
    <x:row r="172">
      <x:c r="A172" s="20"/>
      <x:c r="B172" s="20"/>
      <x:c r="C172" s="20"/>
      <x:c r="D172" s="20"/>
      <x:c r="E172" s="20"/>
      <x:c r="F172" s="20"/>
      <x:c r="G172" s="20"/>
      <x:c r="H172" s="21"/>
      <x:c r="I172" s="20"/>
      <x:c r="J172" s="20"/>
    </x:row>
    <x:row r="173">
      <x:c r="A173" s="20"/>
      <x:c r="B173" s="20"/>
      <x:c r="C173" s="20"/>
      <x:c r="D173" s="20"/>
      <x:c r="E173" s="20"/>
      <x:c r="F173" s="20"/>
      <x:c r="G173" s="20"/>
      <x:c r="H173" s="21"/>
      <x:c r="I173" s="20"/>
      <x:c r="J173" s="20"/>
    </x:row>
    <x:row r="174">
      <x:c r="A174" s="20"/>
      <x:c r="B174" s="20"/>
      <x:c r="C174" s="20"/>
      <x:c r="D174" s="20"/>
      <x:c r="E174" s="20"/>
      <x:c r="F174" s="20"/>
      <x:c r="G174" s="20"/>
      <x:c r="H174" s="21"/>
      <x:c r="I174" s="20"/>
      <x:c r="J174" s="20"/>
    </x:row>
    <x:row r="175">
      <x:c r="A175" s="20"/>
      <x:c r="B175" s="20"/>
      <x:c r="C175" s="20"/>
      <x:c r="D175" s="20"/>
      <x:c r="E175" s="20"/>
      <x:c r="F175" s="20"/>
      <x:c r="G175" s="20"/>
      <x:c r="H175" s="21"/>
      <x:c r="I175" s="20"/>
      <x:c r="J175" s="20"/>
    </x:row>
    <x:row r="176">
      <x:c r="A176" s="20"/>
      <x:c r="B176" s="20"/>
      <x:c r="C176" s="20"/>
      <x:c r="D176" s="20"/>
      <x:c r="E176" s="20"/>
      <x:c r="F176" s="20"/>
      <x:c r="G176" s="20"/>
      <x:c r="H176" s="21"/>
      <x:c r="I176" s="20"/>
      <x:c r="J176" s="20"/>
    </x:row>
    <x:row r="177">
      <x:c r="A177" s="20"/>
      <x:c r="B177" s="20"/>
      <x:c r="C177" s="20"/>
      <x:c r="D177" s="20"/>
      <x:c r="E177" s="20"/>
      <x:c r="F177" s="20"/>
      <x:c r="G177" s="20"/>
      <x:c r="H177" s="21"/>
      <x:c r="I177" s="20"/>
      <x:c r="J177" s="20"/>
    </x:row>
    <x:row r="178">
      <x:c r="A178" s="20"/>
      <x:c r="B178" s="20"/>
      <x:c r="C178" s="20"/>
      <x:c r="D178" s="20"/>
      <x:c r="E178" s="20"/>
      <x:c r="F178" s="20"/>
      <x:c r="G178" s="20"/>
      <x:c r="H178" s="21"/>
      <x:c r="I178" s="20"/>
      <x:c r="J178" s="20"/>
    </x:row>
    <x:row r="179">
      <x:c r="A179" s="20"/>
      <x:c r="B179" s="20"/>
      <x:c r="C179" s="20"/>
      <x:c r="D179" s="20"/>
      <x:c r="E179" s="20"/>
      <x:c r="F179" s="20"/>
      <x:c r="G179" s="20"/>
      <x:c r="H179" s="21"/>
      <x:c r="I179" s="20"/>
      <x:c r="J179" s="20"/>
    </x:row>
    <x:row r="180">
      <x:c r="A180" s="20"/>
      <x:c r="B180" s="20"/>
      <x:c r="C180" s="20"/>
      <x:c r="D180" s="20"/>
      <x:c r="E180" s="20"/>
      <x:c r="F180" s="20"/>
      <x:c r="G180" s="20"/>
      <x:c r="H180" s="21"/>
      <x:c r="I180" s="20"/>
      <x:c r="J180" s="20"/>
    </x:row>
    <x:row r="181">
      <x:c r="A181" s="20"/>
      <x:c r="B181" s="20"/>
      <x:c r="C181" s="20"/>
      <x:c r="D181" s="20"/>
      <x:c r="E181" s="20"/>
      <x:c r="F181" s="20"/>
      <x:c r="G181" s="20"/>
      <x:c r="H181" s="21"/>
      <x:c r="I181" s="20"/>
      <x:c r="J181" s="20"/>
    </x:row>
    <x:row r="182">
      <x:c r="A182" s="20"/>
      <x:c r="B182" s="20"/>
      <x:c r="C182" s="20"/>
      <x:c r="D182" s="20"/>
      <x:c r="E182" s="20"/>
      <x:c r="F182" s="20"/>
      <x:c r="G182" s="20"/>
      <x:c r="H182" s="21"/>
      <x:c r="I182" s="20"/>
      <x:c r="J182" s="20"/>
    </x:row>
    <x:row r="183">
      <x:c r="A183" s="20"/>
      <x:c r="B183" s="20"/>
      <x:c r="C183" s="20"/>
      <x:c r="D183" s="20"/>
      <x:c r="E183" s="20"/>
      <x:c r="F183" s="20"/>
      <x:c r="G183" s="20"/>
      <x:c r="H183" s="21"/>
      <x:c r="I183" s="20"/>
      <x:c r="J183" s="20"/>
    </x:row>
    <x:row r="184">
      <x:c r="A184" s="20"/>
      <x:c r="B184" s="20"/>
      <x:c r="C184" s="20"/>
      <x:c r="D184" s="20"/>
      <x:c r="E184" s="20"/>
      <x:c r="F184" s="20"/>
      <x:c r="G184" s="20"/>
      <x:c r="H184" s="21"/>
      <x:c r="I184" s="20"/>
      <x:c r="J184" s="20"/>
    </x:row>
    <x:row r="185">
      <x:c r="A185" s="20"/>
      <x:c r="B185" s="20"/>
      <x:c r="C185" s="20"/>
      <x:c r="D185" s="20"/>
      <x:c r="E185" s="20"/>
      <x:c r="F185" s="20"/>
      <x:c r="G185" s="20"/>
      <x:c r="H185" s="21"/>
      <x:c r="I185" s="20"/>
      <x:c r="J185" s="20"/>
    </x:row>
    <x:row r="186">
      <x:c r="A186" s="20"/>
      <x:c r="B186" s="20"/>
      <x:c r="C186" s="20"/>
      <x:c r="D186" s="20"/>
      <x:c r="E186" s="20"/>
      <x:c r="F186" s="20"/>
      <x:c r="G186" s="20"/>
      <x:c r="H186" s="21"/>
      <x:c r="I186" s="20"/>
      <x:c r="J186" s="20"/>
    </x:row>
    <x:row r="187">
      <x:c r="A187" s="20"/>
      <x:c r="B187" s="20"/>
      <x:c r="C187" s="20"/>
      <x:c r="D187" s="20"/>
      <x:c r="E187" s="20"/>
      <x:c r="F187" s="20"/>
      <x:c r="G187" s="20"/>
      <x:c r="H187" s="21"/>
      <x:c r="I187" s="20"/>
      <x:c r="J187" s="20"/>
    </x:row>
    <x:row r="188">
      <x:c r="A188" s="20"/>
      <x:c r="B188" s="20"/>
      <x:c r="C188" s="20"/>
      <x:c r="D188" s="20"/>
      <x:c r="E188" s="20"/>
      <x:c r="F188" s="20"/>
      <x:c r="G188" s="20"/>
      <x:c r="H188" s="21"/>
      <x:c r="I188" s="20"/>
      <x:c r="J188" s="20"/>
    </x:row>
    <x:row r="189">
      <x:c r="A189" s="20"/>
      <x:c r="B189" s="20"/>
      <x:c r="C189" s="20"/>
      <x:c r="D189" s="20"/>
      <x:c r="E189" s="20"/>
      <x:c r="F189" s="20"/>
      <x:c r="G189" s="20"/>
      <x:c r="H189" s="21"/>
      <x:c r="I189" s="20"/>
      <x:c r="J189" s="20"/>
    </x:row>
    <x:row r="190">
      <x:c r="A190" s="20"/>
      <x:c r="B190" s="20"/>
      <x:c r="C190" s="20"/>
      <x:c r="D190" s="20"/>
      <x:c r="E190" s="20"/>
      <x:c r="F190" s="20"/>
      <x:c r="G190" s="20"/>
      <x:c r="H190" s="21"/>
      <x:c r="I190" s="20"/>
      <x:c r="J190" s="20"/>
    </x:row>
    <x:row r="191">
      <x:c r="A191" s="20"/>
      <x:c r="B191" s="20"/>
      <x:c r="C191" s="20"/>
      <x:c r="D191" s="20"/>
      <x:c r="E191" s="20"/>
      <x:c r="F191" s="20"/>
      <x:c r="G191" s="20"/>
      <x:c r="H191" s="21"/>
      <x:c r="I191" s="20"/>
      <x:c r="J191" s="20"/>
    </x:row>
    <x:row r="192">
      <x:c r="A192" s="20"/>
      <x:c r="B192" s="20"/>
      <x:c r="C192" s="20"/>
      <x:c r="D192" s="20"/>
      <x:c r="E192" s="20"/>
      <x:c r="F192" s="20"/>
      <x:c r="G192" s="20"/>
      <x:c r="H192" s="21"/>
      <x:c r="I192" s="20"/>
      <x:c r="J192" s="20"/>
    </x:row>
    <x:row r="193">
      <x:c r="A193" s="20"/>
      <x:c r="B193" s="20"/>
      <x:c r="C193" s="20"/>
      <x:c r="D193" s="20"/>
      <x:c r="E193" s="20"/>
      <x:c r="F193" s="20"/>
      <x:c r="G193" s="20"/>
      <x:c r="H193" s="21"/>
      <x:c r="I193" s="20"/>
      <x:c r="J193" s="20"/>
    </x:row>
    <x:row r="194">
      <x:c r="A194" s="20"/>
      <x:c r="B194" s="20"/>
      <x:c r="C194" s="20"/>
      <x:c r="D194" s="20"/>
      <x:c r="E194" s="20"/>
      <x:c r="F194" s="20"/>
      <x:c r="G194" s="20"/>
      <x:c r="H194" s="21"/>
      <x:c r="I194" s="20"/>
      <x:c r="J194" s="20"/>
    </x:row>
    <x:row r="195">
      <x:c r="A195" s="20"/>
      <x:c r="B195" s="20"/>
      <x:c r="C195" s="20"/>
      <x:c r="D195" s="20"/>
      <x:c r="E195" s="20"/>
      <x:c r="F195" s="20"/>
      <x:c r="G195" s="20"/>
      <x:c r="H195" s="21"/>
      <x:c r="I195" s="20"/>
      <x:c r="J195" s="20"/>
    </x:row>
    <x:row r="196">
      <x:c r="A196" s="20"/>
      <x:c r="B196" s="20"/>
      <x:c r="C196" s="20"/>
      <x:c r="D196" s="20"/>
      <x:c r="E196" s="20"/>
      <x:c r="F196" s="20"/>
      <x:c r="G196" s="20"/>
      <x:c r="H196" s="21"/>
      <x:c r="I196" s="20"/>
      <x:c r="J196" s="20"/>
    </x:row>
    <x:row r="197">
      <x:c r="A197" s="20"/>
      <x:c r="B197" s="20"/>
      <x:c r="C197" s="20"/>
      <x:c r="D197" s="20"/>
      <x:c r="E197" s="20"/>
      <x:c r="F197" s="20"/>
      <x:c r="G197" s="20"/>
      <x:c r="H197" s="21"/>
      <x:c r="I197" s="20"/>
      <x:c r="J197" s="20"/>
    </x:row>
    <x:row r="198">
      <x:c r="A198" s="20"/>
      <x:c r="B198" s="20"/>
      <x:c r="C198" s="20"/>
      <x:c r="D198" s="20"/>
      <x:c r="E198" s="20"/>
      <x:c r="F198" s="20"/>
      <x:c r="G198" s="20"/>
      <x:c r="H198" s="21"/>
      <x:c r="I198" s="20"/>
      <x:c r="J198" s="20"/>
    </x:row>
    <x:row r="199">
      <x:c r="A199" s="20"/>
      <x:c r="B199" s="20"/>
      <x:c r="C199" s="20"/>
      <x:c r="D199" s="20"/>
      <x:c r="E199" s="20"/>
      <x:c r="F199" s="20"/>
      <x:c r="G199" s="20"/>
      <x:c r="H199" s="21"/>
      <x:c r="I199" s="20"/>
      <x:c r="J199" s="20"/>
    </x:row>
    <x:row r="200">
      <x:c r="A200" s="20"/>
      <x:c r="B200" s="20"/>
      <x:c r="C200" s="20"/>
      <x:c r="D200" s="20"/>
      <x:c r="E200" s="20"/>
      <x:c r="F200" s="20"/>
      <x:c r="G200" s="20"/>
      <x:c r="H200" s="21"/>
      <x:c r="I200" s="20"/>
      <x:c r="J200" s="20"/>
    </x:row>
    <x:row r="201">
      <x:c r="A201" s="20"/>
      <x:c r="B201" s="20"/>
      <x:c r="C201" s="20"/>
      <x:c r="D201" s="20"/>
      <x:c r="E201" s="20"/>
      <x:c r="F201" s="20"/>
      <x:c r="G201" s="20"/>
      <x:c r="H201" s="21"/>
      <x:c r="I201" s="20"/>
      <x:c r="J201" s="20"/>
    </x:row>
    <x:row r="202">
      <x:c r="A202" s="20"/>
      <x:c r="B202" s="20"/>
      <x:c r="C202" s="20"/>
      <x:c r="D202" s="20"/>
      <x:c r="E202" s="20"/>
      <x:c r="F202" s="20"/>
      <x:c r="G202" s="20"/>
      <x:c r="H202" s="21"/>
      <x:c r="I202" s="20"/>
      <x:c r="J202" s="20"/>
    </x:row>
    <x:row r="203">
      <x:c r="A203" s="20"/>
      <x:c r="B203" s="20"/>
      <x:c r="C203" s="20"/>
      <x:c r="D203" s="20"/>
      <x:c r="E203" s="20"/>
      <x:c r="F203" s="20"/>
      <x:c r="G203" s="20"/>
      <x:c r="H203" s="21"/>
      <x:c r="I203" s="20"/>
      <x:c r="J203" s="20"/>
    </x:row>
  </x:sheetData>
  <x:mergeCells>
    <x:mergeCell ref="A1:J1"/>
  </x:mergeCells>
  <x:dataValidations count="2">
    <x:dataValidation type="list" sqref="D4:D203">
      <x:formula1>"Low,Moderate,High,Critical"</x:formula1>
    </x:dataValidation>
    <x:dataValidation type="list" sqref="I4:I203">
      <x:formula1>"Not Started,Planned,In Progress,Complete,Accepted"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34" hidden="0" customWidth="1"/>
    <x:col min="5" max="5" width="18" hidden="0" customWidth="1"/>
    <x:col min="6" max="6" width="28" hidden="0" customWidth="1"/>
    <x:col min="7" max="7" width="18" hidden="0" customWidth="1"/>
    <x:col min="8" max="8" width="30" hidden="0" customWidth="1"/>
  </x:cols>
  <x:sheetData>
    <x:row r="1">
      <x:c r="A1" s="4" t="str">
        <x:v>Vendor Evidence Register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Evidence ID</x:v>
      </x:c>
      <x:c r="B3" s="12" t="str">
        <x:v>Vendor ID</x:v>
      </x:c>
      <x:c r="C3" s="12" t="str">
        <x:v>Evidence Type</x:v>
      </x:c>
      <x:c r="D3" s="12" t="str">
        <x:v>Description</x:v>
      </x:c>
      <x:c r="E3" s="12" t="str">
        <x:v>Period / Date</x:v>
      </x:c>
      <x:c r="F3" s="12" t="str">
        <x:v>Storage Location</x:v>
      </x:c>
      <x:c r="G3" s="12" t="str">
        <x:v>Reviewer</x:v>
      </x:c>
      <x:c r="H3" s="12" t="str">
        <x:v>Notes</x:v>
      </x:c>
    </x:row>
    <x:row r="4">
      <x:c r="A4" s="20" t="str">
        <x:v>VE-001</x:v>
      </x:c>
      <x:c r="B4" s="20" t="str">
        <x:v>V-001</x:v>
      </x:c>
      <x:c r="C4" s="20" t="str">
        <x:v>Independent Report</x:v>
      </x:c>
      <x:c r="D4" s="20" t="str">
        <x:v>SOC 2 Type II report</x:v>
      </x:c>
      <x:c r="E4" s="20" t="str">
        <x:v>2025 reporting period</x:v>
      </x:c>
      <x:c r="F4" s="20" t="str">
        <x:v>Restricted GRC repository</x:v>
      </x:c>
      <x:c r="G4" s="20" t="str">
        <x:v>J. Reviewer</x:v>
      </x:c>
      <x:c r="H4" s="20" t="str">
        <x:v>Verify scope and exceptions</x:v>
      </x:c>
    </x:row>
    <x:row r="5">
      <x:c r="A5" s="20" t="str">
        <x:v>VE-002</x:v>
      </x:c>
      <x:c r="B5" s="20" t="str">
        <x:v>V-001</x:v>
      </x:c>
      <x:c r="C5" s="20" t="str">
        <x:v>Certificate</x:v>
      </x:c>
      <x:c r="D5" s="20" t="str">
        <x:v>ISO certificate</x:v>
      </x:c>
      <x:c r="E5" s="20" t="str">
        <x:v>Expires 2027-02-01</x:v>
      </x:c>
      <x:c r="F5" s="20" t="str">
        <x:v>Restricted GRC repository</x:v>
      </x:c>
      <x:c r="G5" s="20" t="str">
        <x:v>J. Reviewer</x:v>
      </x:c>
      <x:c r="H5" s="20" t="str">
        <x:v>Verify issuing body and scope</x:v>
      </x:c>
    </x:row>
    <x:row r="6">
      <x:c r="A6" s="20" t="str">
        <x:v>VE-003</x:v>
      </x:c>
      <x:c r="B6" s="20" t="str">
        <x:v>V-001</x:v>
      </x:c>
      <x:c r="C6" s="20" t="str">
        <x:v>Contract</x:v>
      </x:c>
      <x:c r="D6" s="20" t="str">
        <x:v>Executed service agreement</x:v>
      </x:c>
      <x:c r="E6" s="20" t="str">
        <x:v>Signed 2025-01-01</x:v>
      </x:c>
      <x:c r="F6" s="20" t="str">
        <x:v>Contract repository</x:v>
      </x:c>
      <x:c r="G6" s="20" t="str">
        <x:v>Legal Counsel</x:v>
      </x:c>
      <x:c r="H6" s="20" t="str">
        <x:v>Includes incident notice</x:v>
      </x:c>
    </x:row>
    <x:row r="7">
      <x:c r="A7" s="20" t="str">
        <x:v>VE-004</x:v>
      </x:c>
      <x:c r="B7" s="20" t="str">
        <x:v>V-001</x:v>
      </x:c>
      <x:c r="C7" s="20" t="str">
        <x:v>Questionnaire</x:v>
      </x:c>
      <x:c r="D7" s="20" t="str">
        <x:v>Security questionnaire</x:v>
      </x:c>
      <x:c r="E7" s="20" t="str">
        <x:v>Completed 2026-01-10</x:v>
      </x:c>
      <x:c r="F7" s="20" t="str">
        <x:v>GRC repository</x:v>
      </x:c>
      <x:c r="G7" s="20" t="str">
        <x:v>J. Reviewer</x:v>
      </x:c>
      <x:c r="H7" s="20" t="str"/>
    </x:row>
    <x:row r="8">
      <x:c r="A8" s="20" t="str">
        <x:v>VE-005</x:v>
      </x:c>
      <x:c r="B8" s="20" t="str">
        <x:v>V-003</x:v>
      </x:c>
      <x:c r="C8" s="20" t="str">
        <x:v>Questionnaire</x:v>
      </x:c>
      <x:c r="D8" s="20" t="str">
        <x:v>Renewal questionnaire</x:v>
      </x:c>
      <x:c r="E8" s="20" t="str">
        <x:v>Pending</x:v>
      </x:c>
      <x:c r="F8" s="20" t="str">
        <x:v>GRC repository</x:v>
      </x:c>
      <x:c r="G8" s="20" t="str">
        <x:v>Vendor Owner</x:v>
      </x:c>
      <x:c r="H8" s="20" t="str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18" hidden="0" customWidth="1"/>
    <x:col min="5" max="5" width="14" hidden="0" customWidth="1"/>
    <x:col min="6" max="6" width="20" hidden="0" customWidth="1"/>
    <x:col min="7" max="7" width="16" hidden="0" customWidth="1"/>
    <x:col min="8" max="8" width="30" hidden="0" customWidth="1"/>
  </x:cols>
  <x:sheetData>
    <x:row r="1">
      <x:c r="A1" s="4" t="str">
        <x:v>Vendor Renewal and Reassessment Calendar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Vendor ID</x:v>
      </x:c>
      <x:c r="B3" s="12" t="str">
        <x:v>Vendor Name</x:v>
      </x:c>
      <x:c r="C3" s="12" t="str">
        <x:v>Contract End</x:v>
      </x:c>
      <x:c r="D3" s="12" t="str">
        <x:v>Next Security Review</x:v>
      </x:c>
      <x:c r="E3" s="12" t="str">
        <x:v>Days to Review</x:v>
      </x:c>
      <x:c r="F3" s="12" t="str">
        <x:v>Business Owner</x:v>
      </x:c>
      <x:c r="G3" s="12" t="str">
        <x:v>Review Status</x:v>
      </x:c>
      <x:c r="H3" s="12" t="str">
        <x:v>Notes</x:v>
      </x:c>
    </x:row>
    <x:row r="4">
      <x:c r="A4" t="str">
        <x:f>'Vendor Inventory'!A4</x:f>
        <x:v>V-001</x:v>
      </x:c>
      <x:c r="B4" t="str">
        <x:f>'Vendor Inventory'!B4</x:f>
        <x:v>Example Payroll Cloud</x:v>
      </x:c>
      <x:c r="C4" s="18" t="n">
        <x:f>'Vendor Inventory'!J4</x:f>
        <x:v>46752</x:v>
      </x:c>
      <x:c r="D4" s="18" t="n">
        <x:f>'Vendor Inventory'!M4</x:f>
        <x:v>46402</x:v>
      </x:c>
      <x:c r="E4" s="24" t="n">
        <x:f>IF(D4="","",D4-TODAY())</x:f>
        <x:v>181</x:v>
      </x:c>
      <x:c r="F4" t="str">
        <x:f>'Vendor Inventory'!D4</x:f>
        <x:v>Finance Director</x:v>
      </x:c>
      <x:c r="G4" t="str">
        <x:f>IF(D4="","",IF(E4&lt;0,"Overdue",IF(E4&lt;=30,"Due Soon","Scheduled")))</x:f>
        <x:v>Scheduled</x:v>
      </x:c>
    </x:row>
    <x:row r="5">
      <x:c r="A5" t="str">
        <x:f>'Vendor Inventory'!A5</x:f>
        <x:v>V-002</x:v>
      </x:c>
      <x:c r="B5" t="str">
        <x:f>'Vendor Inventory'!B5</x:f>
        <x:v>Example Analytics Service</x:v>
      </x:c>
      <x:c r="C5" s="18" t="n">
        <x:f>'Vendor Inventory'!J5</x:f>
        <x:v>46388</x:v>
      </x:c>
      <x:c r="D5" s="18" t="n">
        <x:f>'Vendor Inventory'!M5</x:f>
        <x:v>46392</x:v>
      </x:c>
      <x:c r="E5" s="24" t="n">
        <x:f>IF(D5="","",D5-TODAY())</x:f>
        <x:v>171</x:v>
      </x:c>
      <x:c r="F5" t="str">
        <x:f>'Vendor Inventory'!D5</x:f>
        <x:v>Marketing Director</x:v>
      </x:c>
      <x:c r="G5" t="str">
        <x:f>IF(D5="","",IF(E5&lt;0,"Overdue",IF(E5&lt;=30,"Due Soon","Scheduled")))</x:f>
        <x:v>Scheduled</x:v>
      </x:c>
    </x:row>
    <x:row r="6">
      <x:c r="A6" t="str">
        <x:f>'Vendor Inventory'!A6</x:f>
        <x:v>V-003</x:v>
      </x:c>
      <x:c r="B6" t="str">
        <x:f>'Vendor Inventory'!B6</x:f>
        <x:v>Example Maintenance Co.</x:v>
      </x:c>
      <x:c r="C6" s="18" t="n">
        <x:f>'Vendor Inventory'!J6</x:f>
        <x:v>46265</x:v>
      </x:c>
      <x:c r="D6" s="18" t="n">
        <x:f>'Vendor Inventory'!M6</x:f>
        <x:v>46235</x:v>
      </x:c>
      <x:c r="E6" s="24" t="n">
        <x:f>IF(D6="","",D6-TODAY())</x:f>
        <x:v>14</x:v>
      </x:c>
      <x:c r="F6" t="str">
        <x:f>'Vendor Inventory'!D6</x:f>
        <x:v>Facilities Manager</x:v>
      </x:c>
      <x:c r="G6" t="str">
        <x:f>IF(D6="","",IF(E6&lt;0,"Overdue",IF(E6&lt;=30,"Due Soon","Scheduled")))</x:f>
        <x:v>Due Soon</x:v>
      </x:c>
    </x:row>
    <x:row r="7">
      <x:c r="A7" t="n">
        <x:f>'Vendor Inventory'!A7</x:f>
        <x:v>0</x:v>
      </x:c>
      <x:c r="B7" t="n">
        <x:f>'Vendor Inventory'!B7</x:f>
        <x:v>0</x:v>
      </x:c>
      <x:c r="C7" s="18" t="n">
        <x:f>'Vendor Inventory'!J7</x:f>
        <x:v>0</x:v>
      </x:c>
      <x:c r="D7" s="18" t="n">
        <x:f>'Vendor Inventory'!M7</x:f>
        <x:v>0</x:v>
      </x:c>
      <x:c r="E7" s="24" t="str">
        <x:f>IF(D7="","",D7-TODAY())</x:f>
      </x:c>
      <x:c r="F7" t="n">
        <x:f>'Vendor Inventory'!D7</x:f>
        <x:v>0</x:v>
      </x:c>
      <x:c r="G7" t="str">
        <x:f>IF(D7="","",IF(E7&lt;0,"Overdue",IF(E7&lt;=30,"Due Soon","Scheduled")))</x:f>
      </x:c>
    </x:row>
    <x:row r="8">
      <x:c r="A8" t="n">
        <x:f>'Vendor Inventory'!A8</x:f>
        <x:v>0</x:v>
      </x:c>
      <x:c r="B8" t="n">
        <x:f>'Vendor Inventory'!B8</x:f>
        <x:v>0</x:v>
      </x:c>
      <x:c r="C8" s="18" t="n">
        <x:f>'Vendor Inventory'!J8</x:f>
        <x:v>0</x:v>
      </x:c>
      <x:c r="D8" s="18" t="n">
        <x:f>'Vendor Inventory'!M8</x:f>
        <x:v>0</x:v>
      </x:c>
      <x:c r="E8" s="24" t="str">
        <x:f>IF(D8="","",D8-TODAY())</x:f>
      </x:c>
      <x:c r="F8" t="n">
        <x:f>'Vendor Inventory'!D8</x:f>
        <x:v>0</x:v>
      </x:c>
      <x:c r="G8" t="str">
        <x:f>IF(D8="","",IF(E8&lt;0,"Overdue",IF(E8&lt;=30,"Due Soon","Scheduled")))</x:f>
      </x:c>
    </x:row>
    <x:row r="9">
      <x:c r="A9" t="n">
        <x:f>'Vendor Inventory'!A9</x:f>
        <x:v>0</x:v>
      </x:c>
      <x:c r="B9" t="n">
        <x:f>'Vendor Inventory'!B9</x:f>
        <x:v>0</x:v>
      </x:c>
      <x:c r="C9" s="18" t="n">
        <x:f>'Vendor Inventory'!J9</x:f>
        <x:v>0</x:v>
      </x:c>
      <x:c r="D9" s="18" t="n">
        <x:f>'Vendor Inventory'!M9</x:f>
        <x:v>0</x:v>
      </x:c>
      <x:c r="E9" s="24" t="str">
        <x:f>IF(D9="","",D9-TODAY())</x:f>
      </x:c>
      <x:c r="F9" t="n">
        <x:f>'Vendor Inventory'!D9</x:f>
        <x:v>0</x:v>
      </x:c>
      <x:c r="G9" t="str">
        <x:f>IF(D9="","",IF(E9&lt;0,"Overdue",IF(E9&lt;=30,"Due Soon","Scheduled")))</x:f>
      </x:c>
    </x:row>
    <x:row r="10">
      <x:c r="A10" t="n">
        <x:f>'Vendor Inventory'!A10</x:f>
        <x:v>0</x:v>
      </x:c>
      <x:c r="B10" t="n">
        <x:f>'Vendor Inventory'!B10</x:f>
        <x:v>0</x:v>
      </x:c>
      <x:c r="C10" s="18" t="n">
        <x:f>'Vendor Inventory'!J10</x:f>
        <x:v>0</x:v>
      </x:c>
      <x:c r="D10" s="18" t="n">
        <x:f>'Vendor Inventory'!M10</x:f>
        <x:v>0</x:v>
      </x:c>
      <x:c r="E10" s="24" t="str">
        <x:f>IF(D10="","",D10-TODAY())</x:f>
      </x:c>
      <x:c r="F10" t="n">
        <x:f>'Vendor Inventory'!D10</x:f>
        <x:v>0</x:v>
      </x:c>
      <x:c r="G10" t="str">
        <x:f>IF(D10="","",IF(E10&lt;0,"Overdue",IF(E10&lt;=30,"Due Soon","Scheduled")))</x:f>
      </x:c>
    </x:row>
    <x:row r="11">
      <x:c r="A11" t="n">
        <x:f>'Vendor Inventory'!A11</x:f>
        <x:v>0</x:v>
      </x:c>
      <x:c r="B11" t="n">
        <x:f>'Vendor Inventory'!B11</x:f>
        <x:v>0</x:v>
      </x:c>
      <x:c r="C11" s="18" t="n">
        <x:f>'Vendor Inventory'!J11</x:f>
        <x:v>0</x:v>
      </x:c>
      <x:c r="D11" s="18" t="n">
        <x:f>'Vendor Inventory'!M11</x:f>
        <x:v>0</x:v>
      </x:c>
      <x:c r="E11" s="24" t="str">
        <x:f>IF(D11="","",D11-TODAY())</x:f>
      </x:c>
      <x:c r="F11" t="n">
        <x:f>'Vendor Inventory'!D11</x:f>
        <x:v>0</x:v>
      </x:c>
      <x:c r="G11" t="str">
        <x:f>IF(D11="","",IF(E11&lt;0,"Overdue",IF(E11&lt;=30,"Due Soon","Scheduled")))</x:f>
      </x:c>
    </x:row>
    <x:row r="12">
      <x:c r="A12" t="n">
        <x:f>'Vendor Inventory'!A12</x:f>
        <x:v>0</x:v>
      </x:c>
      <x:c r="B12" t="n">
        <x:f>'Vendor Inventory'!B12</x:f>
        <x:v>0</x:v>
      </x:c>
      <x:c r="C12" s="18" t="n">
        <x:f>'Vendor Inventory'!J12</x:f>
        <x:v>0</x:v>
      </x:c>
      <x:c r="D12" s="18" t="n">
        <x:f>'Vendor Inventory'!M12</x:f>
        <x:v>0</x:v>
      </x:c>
      <x:c r="E12" s="24" t="str">
        <x:f>IF(D12="","",D12-TODAY())</x:f>
      </x:c>
      <x:c r="F12" t="n">
        <x:f>'Vendor Inventory'!D12</x:f>
        <x:v>0</x:v>
      </x:c>
      <x:c r="G12" t="str">
        <x:f>IF(D12="","",IF(E12&lt;0,"Overdue",IF(E12&lt;=30,"Due Soon","Scheduled")))</x:f>
      </x:c>
    </x:row>
    <x:row r="13">
      <x:c r="A13" t="n">
        <x:f>'Vendor Inventory'!A13</x:f>
        <x:v>0</x:v>
      </x:c>
      <x:c r="B13" t="n">
        <x:f>'Vendor Inventory'!B13</x:f>
        <x:v>0</x:v>
      </x:c>
      <x:c r="C13" s="18" t="n">
        <x:f>'Vendor Inventory'!J13</x:f>
        <x:v>0</x:v>
      </x:c>
      <x:c r="D13" s="18" t="n">
        <x:f>'Vendor Inventory'!M13</x:f>
        <x:v>0</x:v>
      </x:c>
      <x:c r="E13" s="24" t="str">
        <x:f>IF(D13="","",D13-TODAY())</x:f>
      </x:c>
      <x:c r="F13" t="n">
        <x:f>'Vendor Inventory'!D13</x:f>
        <x:v>0</x:v>
      </x:c>
      <x:c r="G13" t="str">
        <x:f>IF(D13="","",IF(E13&lt;0,"Overdue",IF(E13&lt;=30,"Due Soon","Scheduled")))</x:f>
      </x:c>
    </x:row>
    <x:row r="14">
      <x:c r="A14" t="n">
        <x:f>'Vendor Inventory'!A14</x:f>
        <x:v>0</x:v>
      </x:c>
      <x:c r="B14" t="n">
        <x:f>'Vendor Inventory'!B14</x:f>
        <x:v>0</x:v>
      </x:c>
      <x:c r="C14" s="18" t="n">
        <x:f>'Vendor Inventory'!J14</x:f>
        <x:v>0</x:v>
      </x:c>
      <x:c r="D14" s="18" t="n">
        <x:f>'Vendor Inventory'!M14</x:f>
        <x:v>0</x:v>
      </x:c>
      <x:c r="E14" s="24" t="str">
        <x:f>IF(D14="","",D14-TODAY())</x:f>
      </x:c>
      <x:c r="F14" t="n">
        <x:f>'Vendor Inventory'!D14</x:f>
        <x:v>0</x:v>
      </x:c>
      <x:c r="G14" t="str">
        <x:f>IF(D14="","",IF(E14&lt;0,"Overdue",IF(E14&lt;=30,"Due Soon","Scheduled")))</x:f>
      </x:c>
    </x:row>
    <x:row r="15">
      <x:c r="A15" t="n">
        <x:f>'Vendor Inventory'!A15</x:f>
        <x:v>0</x:v>
      </x:c>
      <x:c r="B15" t="n">
        <x:f>'Vendor Inventory'!B15</x:f>
        <x:v>0</x:v>
      </x:c>
      <x:c r="C15" s="18" t="n">
        <x:f>'Vendor Inventory'!J15</x:f>
        <x:v>0</x:v>
      </x:c>
      <x:c r="D15" s="18" t="n">
        <x:f>'Vendor Inventory'!M15</x:f>
        <x:v>0</x:v>
      </x:c>
      <x:c r="E15" s="24" t="str">
        <x:f>IF(D15="","",D15-TODAY())</x:f>
      </x:c>
      <x:c r="F15" t="n">
        <x:f>'Vendor Inventory'!D15</x:f>
        <x:v>0</x:v>
      </x:c>
      <x:c r="G15" t="str">
        <x:f>IF(D15="","",IF(E15&lt;0,"Overdue",IF(E15&lt;=30,"Due Soon","Scheduled")))</x:f>
      </x:c>
    </x:row>
    <x:row r="16">
      <x:c r="A16" t="n">
        <x:f>'Vendor Inventory'!A16</x:f>
        <x:v>0</x:v>
      </x:c>
      <x:c r="B16" t="n">
        <x:f>'Vendor Inventory'!B16</x:f>
        <x:v>0</x:v>
      </x:c>
      <x:c r="C16" s="18" t="n">
        <x:f>'Vendor Inventory'!J16</x:f>
        <x:v>0</x:v>
      </x:c>
      <x:c r="D16" s="18" t="n">
        <x:f>'Vendor Inventory'!M16</x:f>
        <x:v>0</x:v>
      </x:c>
      <x:c r="E16" s="24" t="str">
        <x:f>IF(D16="","",D16-TODAY())</x:f>
      </x:c>
      <x:c r="F16" t="n">
        <x:f>'Vendor Inventory'!D16</x:f>
        <x:v>0</x:v>
      </x:c>
      <x:c r="G16" t="str">
        <x:f>IF(D16="","",IF(E16&lt;0,"Overdue",IF(E16&lt;=30,"Due Soon","Scheduled")))</x:f>
      </x:c>
    </x:row>
    <x:row r="17">
      <x:c r="A17" t="n">
        <x:f>'Vendor Inventory'!A17</x:f>
        <x:v>0</x:v>
      </x:c>
      <x:c r="B17" t="n">
        <x:f>'Vendor Inventory'!B17</x:f>
        <x:v>0</x:v>
      </x:c>
      <x:c r="C17" s="18" t="n">
        <x:f>'Vendor Inventory'!J17</x:f>
        <x:v>0</x:v>
      </x:c>
      <x:c r="D17" s="18" t="n">
        <x:f>'Vendor Inventory'!M17</x:f>
        <x:v>0</x:v>
      </x:c>
      <x:c r="E17" s="24" t="str">
        <x:f>IF(D17="","",D17-TODAY())</x:f>
      </x:c>
      <x:c r="F17" t="n">
        <x:f>'Vendor Inventory'!D17</x:f>
        <x:v>0</x:v>
      </x:c>
      <x:c r="G17" t="str">
        <x:f>IF(D17="","",IF(E17&lt;0,"Overdue",IF(E17&lt;=30,"Due Soon","Scheduled")))</x:f>
      </x:c>
    </x:row>
    <x:row r="18">
      <x:c r="A18" t="n">
        <x:f>'Vendor Inventory'!A18</x:f>
        <x:v>0</x:v>
      </x:c>
      <x:c r="B18" t="n">
        <x:f>'Vendor Inventory'!B18</x:f>
        <x:v>0</x:v>
      </x:c>
      <x:c r="C18" s="18" t="n">
        <x:f>'Vendor Inventory'!J18</x:f>
        <x:v>0</x:v>
      </x:c>
      <x:c r="D18" s="18" t="n">
        <x:f>'Vendor Inventory'!M18</x:f>
        <x:v>0</x:v>
      </x:c>
      <x:c r="E18" s="24" t="str">
        <x:f>IF(D18="","",D18-TODAY())</x:f>
      </x:c>
      <x:c r="F18" t="n">
        <x:f>'Vendor Inventory'!D18</x:f>
        <x:v>0</x:v>
      </x:c>
      <x:c r="G18" t="str">
        <x:f>IF(D18="","",IF(E18&lt;0,"Overdue",IF(E18&lt;=30,"Due Soon","Scheduled")))</x:f>
      </x:c>
    </x:row>
    <x:row r="19">
      <x:c r="A19" t="n">
        <x:f>'Vendor Inventory'!A19</x:f>
        <x:v>0</x:v>
      </x:c>
      <x:c r="B19" t="n">
        <x:f>'Vendor Inventory'!B19</x:f>
        <x:v>0</x:v>
      </x:c>
      <x:c r="C19" s="18" t="n">
        <x:f>'Vendor Inventory'!J19</x:f>
        <x:v>0</x:v>
      </x:c>
      <x:c r="D19" s="18" t="n">
        <x:f>'Vendor Inventory'!M19</x:f>
        <x:v>0</x:v>
      </x:c>
      <x:c r="E19" s="24" t="str">
        <x:f>IF(D19="","",D19-TODAY())</x:f>
      </x:c>
      <x:c r="F19" t="n">
        <x:f>'Vendor Inventory'!D19</x:f>
        <x:v>0</x:v>
      </x:c>
      <x:c r="G19" t="str">
        <x:f>IF(D19="","",IF(E19&lt;0,"Overdue",IF(E19&lt;=30,"Due Soon","Scheduled")))</x:f>
      </x:c>
    </x:row>
    <x:row r="20">
      <x:c r="A20" t="n">
        <x:f>'Vendor Inventory'!A20</x:f>
        <x:v>0</x:v>
      </x:c>
      <x:c r="B20" t="n">
        <x:f>'Vendor Inventory'!B20</x:f>
        <x:v>0</x:v>
      </x:c>
      <x:c r="C20" s="18" t="n">
        <x:f>'Vendor Inventory'!J20</x:f>
        <x:v>0</x:v>
      </x:c>
      <x:c r="D20" s="18" t="n">
        <x:f>'Vendor Inventory'!M20</x:f>
        <x:v>0</x:v>
      </x:c>
      <x:c r="E20" s="24" t="str">
        <x:f>IF(D20="","",D20-TODAY())</x:f>
      </x:c>
      <x:c r="F20" t="n">
        <x:f>'Vendor Inventory'!D20</x:f>
        <x:v>0</x:v>
      </x:c>
      <x:c r="G20" t="str">
        <x:f>IF(D20="","",IF(E20&lt;0,"Overdue",IF(E20&lt;=30,"Due Soon","Scheduled")))</x:f>
      </x:c>
    </x:row>
    <x:row r="21">
      <x:c r="A21" t="n">
        <x:f>'Vendor Inventory'!A21</x:f>
        <x:v>0</x:v>
      </x:c>
      <x:c r="B21" t="n">
        <x:f>'Vendor Inventory'!B21</x:f>
        <x:v>0</x:v>
      </x:c>
      <x:c r="C21" s="18" t="n">
        <x:f>'Vendor Inventory'!J21</x:f>
        <x:v>0</x:v>
      </x:c>
      <x:c r="D21" s="18" t="n">
        <x:f>'Vendor Inventory'!M21</x:f>
        <x:v>0</x:v>
      </x:c>
      <x:c r="E21" s="24" t="str">
        <x:f>IF(D21="","",D21-TODAY())</x:f>
      </x:c>
      <x:c r="F21" t="n">
        <x:f>'Vendor Inventory'!D21</x:f>
        <x:v>0</x:v>
      </x:c>
      <x:c r="G21" t="str">
        <x:f>IF(D21="","",IF(E21&lt;0,"Overdue",IF(E21&lt;=30,"Due Soon","Scheduled")))</x:f>
      </x:c>
    </x:row>
    <x:row r="22">
      <x:c r="A22" t="n">
        <x:f>'Vendor Inventory'!A22</x:f>
        <x:v>0</x:v>
      </x:c>
      <x:c r="B22" t="n">
        <x:f>'Vendor Inventory'!B22</x:f>
        <x:v>0</x:v>
      </x:c>
      <x:c r="C22" s="18" t="n">
        <x:f>'Vendor Inventory'!J22</x:f>
        <x:v>0</x:v>
      </x:c>
      <x:c r="D22" s="18" t="n">
        <x:f>'Vendor Inventory'!M22</x:f>
        <x:v>0</x:v>
      </x:c>
      <x:c r="E22" s="24" t="str">
        <x:f>IF(D22="","",D22-TODAY())</x:f>
      </x:c>
      <x:c r="F22" t="n">
        <x:f>'Vendor Inventory'!D22</x:f>
        <x:v>0</x:v>
      </x:c>
      <x:c r="G22" t="str">
        <x:f>IF(D22="","",IF(E22&lt;0,"Overdue",IF(E22&lt;=30,"Due Soon","Scheduled")))</x:f>
      </x:c>
    </x:row>
    <x:row r="23">
      <x:c r="A23" t="n">
        <x:f>'Vendor Inventory'!A23</x:f>
        <x:v>0</x:v>
      </x:c>
      <x:c r="B23" t="n">
        <x:f>'Vendor Inventory'!B23</x:f>
        <x:v>0</x:v>
      </x:c>
      <x:c r="C23" s="18" t="n">
        <x:f>'Vendor Inventory'!J23</x:f>
        <x:v>0</x:v>
      </x:c>
      <x:c r="D23" s="18" t="n">
        <x:f>'Vendor Inventory'!M23</x:f>
        <x:v>0</x:v>
      </x:c>
      <x:c r="E23" s="24" t="str">
        <x:f>IF(D23="","",D23-TODAY())</x:f>
      </x:c>
      <x:c r="F23" t="n">
        <x:f>'Vendor Inventory'!D23</x:f>
        <x:v>0</x:v>
      </x:c>
      <x:c r="G23" t="str">
        <x:f>IF(D23="","",IF(E23&lt;0,"Overdue",IF(E23&lt;=30,"Due Soon","Scheduled")))</x:f>
      </x:c>
    </x:row>
    <x:row r="24">
      <x:c r="A24" t="n">
        <x:f>'Vendor Inventory'!A24</x:f>
        <x:v>0</x:v>
      </x:c>
      <x:c r="B24" t="n">
        <x:f>'Vendor Inventory'!B24</x:f>
        <x:v>0</x:v>
      </x:c>
      <x:c r="C24" s="18" t="n">
        <x:f>'Vendor Inventory'!J24</x:f>
        <x:v>0</x:v>
      </x:c>
      <x:c r="D24" s="18" t="n">
        <x:f>'Vendor Inventory'!M24</x:f>
        <x:v>0</x:v>
      </x:c>
      <x:c r="E24" s="24" t="str">
        <x:f>IF(D24="","",D24-TODAY())</x:f>
      </x:c>
      <x:c r="F24" t="n">
        <x:f>'Vendor Inventory'!D24</x:f>
        <x:v>0</x:v>
      </x:c>
      <x:c r="G24" t="str">
        <x:f>IF(D24="","",IF(E24&lt;0,"Overdue",IF(E24&lt;=30,"Due Soon","Scheduled")))</x:f>
      </x:c>
    </x:row>
    <x:row r="25">
      <x:c r="A25" t="n">
        <x:f>'Vendor Inventory'!A25</x:f>
        <x:v>0</x:v>
      </x:c>
      <x:c r="B25" t="n">
        <x:f>'Vendor Inventory'!B25</x:f>
        <x:v>0</x:v>
      </x:c>
      <x:c r="C25" s="18" t="n">
        <x:f>'Vendor Inventory'!J25</x:f>
        <x:v>0</x:v>
      </x:c>
      <x:c r="D25" s="18" t="n">
        <x:f>'Vendor Inventory'!M25</x:f>
        <x:v>0</x:v>
      </x:c>
      <x:c r="E25" s="24" t="str">
        <x:f>IF(D25="","",D25-TODAY())</x:f>
      </x:c>
      <x:c r="F25" t="n">
        <x:f>'Vendor Inventory'!D25</x:f>
        <x:v>0</x:v>
      </x:c>
      <x:c r="G25" t="str">
        <x:f>IF(D25="","",IF(E25&lt;0,"Overdue",IF(E25&lt;=30,"Due Soon","Scheduled")))</x:f>
      </x:c>
    </x:row>
    <x:row r="26">
      <x:c r="A26" t="n">
        <x:f>'Vendor Inventory'!A26</x:f>
        <x:v>0</x:v>
      </x:c>
      <x:c r="B26" t="n">
        <x:f>'Vendor Inventory'!B26</x:f>
        <x:v>0</x:v>
      </x:c>
      <x:c r="C26" s="18" t="n">
        <x:f>'Vendor Inventory'!J26</x:f>
        <x:v>0</x:v>
      </x:c>
      <x:c r="D26" s="18" t="n">
        <x:f>'Vendor Inventory'!M26</x:f>
        <x:v>0</x:v>
      </x:c>
      <x:c r="E26" s="24" t="str">
        <x:f>IF(D26="","",D26-TODAY())</x:f>
      </x:c>
      <x:c r="F26" t="n">
        <x:f>'Vendor Inventory'!D26</x:f>
        <x:v>0</x:v>
      </x:c>
      <x:c r="G26" t="str">
        <x:f>IF(D26="","",IF(E26&lt;0,"Overdue",IF(E26&lt;=30,"Due Soon","Scheduled")))</x:f>
      </x:c>
    </x:row>
    <x:row r="27">
      <x:c r="A27" t="n">
        <x:f>'Vendor Inventory'!A27</x:f>
        <x:v>0</x:v>
      </x:c>
      <x:c r="B27" t="n">
        <x:f>'Vendor Inventory'!B27</x:f>
        <x:v>0</x:v>
      </x:c>
      <x:c r="C27" s="18" t="n">
        <x:f>'Vendor Inventory'!J27</x:f>
        <x:v>0</x:v>
      </x:c>
      <x:c r="D27" s="18" t="n">
        <x:f>'Vendor Inventory'!M27</x:f>
        <x:v>0</x:v>
      </x:c>
      <x:c r="E27" s="24" t="str">
        <x:f>IF(D27="","",D27-TODAY())</x:f>
      </x:c>
      <x:c r="F27" t="n">
        <x:f>'Vendor Inventory'!D27</x:f>
        <x:v>0</x:v>
      </x:c>
      <x:c r="G27" t="str">
        <x:f>IF(D27="","",IF(E27&lt;0,"Overdue",IF(E27&lt;=30,"Due Soon","Scheduled")))</x:f>
      </x:c>
    </x:row>
    <x:row r="28">
      <x:c r="A28" t="n">
        <x:f>'Vendor Inventory'!A28</x:f>
        <x:v>0</x:v>
      </x:c>
      <x:c r="B28" t="n">
        <x:f>'Vendor Inventory'!B28</x:f>
        <x:v>0</x:v>
      </x:c>
      <x:c r="C28" s="18" t="n">
        <x:f>'Vendor Inventory'!J28</x:f>
        <x:v>0</x:v>
      </x:c>
      <x:c r="D28" s="18" t="n">
        <x:f>'Vendor Inventory'!M28</x:f>
        <x:v>0</x:v>
      </x:c>
      <x:c r="E28" s="24" t="str">
        <x:f>IF(D28="","",D28-TODAY())</x:f>
      </x:c>
      <x:c r="F28" t="n">
        <x:f>'Vendor Inventory'!D28</x:f>
        <x:v>0</x:v>
      </x:c>
      <x:c r="G28" t="str">
        <x:f>IF(D28="","",IF(E28&lt;0,"Overdue",IF(E28&lt;=30,"Due Soon","Scheduled")))</x:f>
      </x:c>
    </x:row>
    <x:row r="29">
      <x:c r="A29" t="n">
        <x:f>'Vendor Inventory'!A29</x:f>
        <x:v>0</x:v>
      </x:c>
      <x:c r="B29" t="n">
        <x:f>'Vendor Inventory'!B29</x:f>
        <x:v>0</x:v>
      </x:c>
      <x:c r="C29" s="18" t="n">
        <x:f>'Vendor Inventory'!J29</x:f>
        <x:v>0</x:v>
      </x:c>
      <x:c r="D29" s="18" t="n">
        <x:f>'Vendor Inventory'!M29</x:f>
        <x:v>0</x:v>
      </x:c>
      <x:c r="E29" s="24" t="str">
        <x:f>IF(D29="","",D29-TODAY())</x:f>
      </x:c>
      <x:c r="F29" t="n">
        <x:f>'Vendor Inventory'!D29</x:f>
        <x:v>0</x:v>
      </x:c>
      <x:c r="G29" t="str">
        <x:f>IF(D29="","",IF(E29&lt;0,"Overdue",IF(E29&lt;=30,"Due Soon","Scheduled")))</x:f>
      </x:c>
    </x:row>
    <x:row r="30">
      <x:c r="A30" t="n">
        <x:f>'Vendor Inventory'!A30</x:f>
        <x:v>0</x:v>
      </x:c>
      <x:c r="B30" t="n">
        <x:f>'Vendor Inventory'!B30</x:f>
        <x:v>0</x:v>
      </x:c>
      <x:c r="C30" s="18" t="n">
        <x:f>'Vendor Inventory'!J30</x:f>
        <x:v>0</x:v>
      </x:c>
      <x:c r="D30" s="18" t="n">
        <x:f>'Vendor Inventory'!M30</x:f>
        <x:v>0</x:v>
      </x:c>
      <x:c r="E30" s="24" t="str">
        <x:f>IF(D30="","",D30-TODAY())</x:f>
      </x:c>
      <x:c r="F30" t="n">
        <x:f>'Vendor Inventory'!D30</x:f>
        <x:v>0</x:v>
      </x:c>
      <x:c r="G30" t="str">
        <x:f>IF(D30="","",IF(E30&lt;0,"Overdue",IF(E30&lt;=30,"Due Soon","Scheduled")))</x:f>
      </x:c>
    </x:row>
    <x:row r="31">
      <x:c r="A31" t="n">
        <x:f>'Vendor Inventory'!A31</x:f>
        <x:v>0</x:v>
      </x:c>
      <x:c r="B31" t="n">
        <x:f>'Vendor Inventory'!B31</x:f>
        <x:v>0</x:v>
      </x:c>
      <x:c r="C31" s="18" t="n">
        <x:f>'Vendor Inventory'!J31</x:f>
        <x:v>0</x:v>
      </x:c>
      <x:c r="D31" s="18" t="n">
        <x:f>'Vendor Inventory'!M31</x:f>
        <x:v>0</x:v>
      </x:c>
      <x:c r="E31" s="24" t="str">
        <x:f>IF(D31="","",D31-TODAY())</x:f>
      </x:c>
      <x:c r="F31" t="n">
        <x:f>'Vendor Inventory'!D31</x:f>
        <x:v>0</x:v>
      </x:c>
      <x:c r="G31" t="str">
        <x:f>IF(D31="","",IF(E31&lt;0,"Overdue",IF(E31&lt;=30,"Due Soon","Scheduled")))</x:f>
      </x:c>
    </x:row>
    <x:row r="32">
      <x:c r="A32" t="n">
        <x:f>'Vendor Inventory'!A32</x:f>
        <x:v>0</x:v>
      </x:c>
      <x:c r="B32" t="n">
        <x:f>'Vendor Inventory'!B32</x:f>
        <x:v>0</x:v>
      </x:c>
      <x:c r="C32" s="18" t="n">
        <x:f>'Vendor Inventory'!J32</x:f>
        <x:v>0</x:v>
      </x:c>
      <x:c r="D32" s="18" t="n">
        <x:f>'Vendor Inventory'!M32</x:f>
        <x:v>0</x:v>
      </x:c>
      <x:c r="E32" s="24" t="str">
        <x:f>IF(D32="","",D32-TODAY())</x:f>
      </x:c>
      <x:c r="F32" t="n">
        <x:f>'Vendor Inventory'!D32</x:f>
        <x:v>0</x:v>
      </x:c>
      <x:c r="G32" t="str">
        <x:f>IF(D32="","",IF(E32&lt;0,"Overdue",IF(E32&lt;=30,"Due Soon","Scheduled")))</x:f>
      </x:c>
    </x:row>
    <x:row r="33">
      <x:c r="A33" t="n">
        <x:f>'Vendor Inventory'!A33</x:f>
        <x:v>0</x:v>
      </x:c>
      <x:c r="B33" t="n">
        <x:f>'Vendor Inventory'!B33</x:f>
        <x:v>0</x:v>
      </x:c>
      <x:c r="C33" s="18" t="n">
        <x:f>'Vendor Inventory'!J33</x:f>
        <x:v>0</x:v>
      </x:c>
      <x:c r="D33" s="18" t="n">
        <x:f>'Vendor Inventory'!M33</x:f>
        <x:v>0</x:v>
      </x:c>
      <x:c r="E33" s="24" t="str">
        <x:f>IF(D33="","",D33-TODAY())</x:f>
      </x:c>
      <x:c r="F33" t="n">
        <x:f>'Vendor Inventory'!D33</x:f>
        <x:v>0</x:v>
      </x:c>
      <x:c r="G33" t="str">
        <x:f>IF(D33="","",IF(E33&lt;0,"Overdue",IF(E33&lt;=30,"Due Soon","Scheduled")))</x:f>
      </x:c>
    </x:row>
    <x:row r="34">
      <x:c r="A34" t="n">
        <x:f>'Vendor Inventory'!A34</x:f>
        <x:v>0</x:v>
      </x:c>
      <x:c r="B34" t="n">
        <x:f>'Vendor Inventory'!B34</x:f>
        <x:v>0</x:v>
      </x:c>
      <x:c r="C34" s="18" t="n">
        <x:f>'Vendor Inventory'!J34</x:f>
        <x:v>0</x:v>
      </x:c>
      <x:c r="D34" s="18" t="n">
        <x:f>'Vendor Inventory'!M34</x:f>
        <x:v>0</x:v>
      </x:c>
      <x:c r="E34" s="24" t="str">
        <x:f>IF(D34="","",D34-TODAY())</x:f>
      </x:c>
      <x:c r="F34" t="n">
        <x:f>'Vendor Inventory'!D34</x:f>
        <x:v>0</x:v>
      </x:c>
      <x:c r="G34" t="str">
        <x:f>IF(D34="","",IF(E34&lt;0,"Overdue",IF(E34&lt;=30,"Due Soon","Scheduled")))</x:f>
      </x:c>
    </x:row>
    <x:row r="35">
      <x:c r="A35" t="n">
        <x:f>'Vendor Inventory'!A35</x:f>
        <x:v>0</x:v>
      </x:c>
      <x:c r="B35" t="n">
        <x:f>'Vendor Inventory'!B35</x:f>
        <x:v>0</x:v>
      </x:c>
      <x:c r="C35" s="18" t="n">
        <x:f>'Vendor Inventory'!J35</x:f>
        <x:v>0</x:v>
      </x:c>
      <x:c r="D35" s="18" t="n">
        <x:f>'Vendor Inventory'!M35</x:f>
        <x:v>0</x:v>
      </x:c>
      <x:c r="E35" s="24" t="str">
        <x:f>IF(D35="","",D35-TODAY())</x:f>
      </x:c>
      <x:c r="F35" t="n">
        <x:f>'Vendor Inventory'!D35</x:f>
        <x:v>0</x:v>
      </x:c>
      <x:c r="G35" t="str">
        <x:f>IF(D35="","",IF(E35&lt;0,"Overdue",IF(E35&lt;=30,"Due Soon","Scheduled")))</x:f>
      </x:c>
    </x:row>
    <x:row r="36">
      <x:c r="A36" t="n">
        <x:f>'Vendor Inventory'!A36</x:f>
        <x:v>0</x:v>
      </x:c>
      <x:c r="B36" t="n">
        <x:f>'Vendor Inventory'!B36</x:f>
        <x:v>0</x:v>
      </x:c>
      <x:c r="C36" s="18" t="n">
        <x:f>'Vendor Inventory'!J36</x:f>
        <x:v>0</x:v>
      </x:c>
      <x:c r="D36" s="18" t="n">
        <x:f>'Vendor Inventory'!M36</x:f>
        <x:v>0</x:v>
      </x:c>
      <x:c r="E36" s="24" t="str">
        <x:f>IF(D36="","",D36-TODAY())</x:f>
      </x:c>
      <x:c r="F36" t="n">
        <x:f>'Vendor Inventory'!D36</x:f>
        <x:v>0</x:v>
      </x:c>
      <x:c r="G36" t="str">
        <x:f>IF(D36="","",IF(E36&lt;0,"Overdue",IF(E36&lt;=30,"Due Soon","Scheduled")))</x:f>
      </x:c>
    </x:row>
    <x:row r="37">
      <x:c r="A37" t="n">
        <x:f>'Vendor Inventory'!A37</x:f>
        <x:v>0</x:v>
      </x:c>
      <x:c r="B37" t="n">
        <x:f>'Vendor Inventory'!B37</x:f>
        <x:v>0</x:v>
      </x:c>
      <x:c r="C37" s="18" t="n">
        <x:f>'Vendor Inventory'!J37</x:f>
        <x:v>0</x:v>
      </x:c>
      <x:c r="D37" s="18" t="n">
        <x:f>'Vendor Inventory'!M37</x:f>
        <x:v>0</x:v>
      </x:c>
      <x:c r="E37" s="24" t="str">
        <x:f>IF(D37="","",D37-TODAY())</x:f>
      </x:c>
      <x:c r="F37" t="n">
        <x:f>'Vendor Inventory'!D37</x:f>
        <x:v>0</x:v>
      </x:c>
      <x:c r="G37" t="str">
        <x:f>IF(D37="","",IF(E37&lt;0,"Overdue",IF(E37&lt;=30,"Due Soon","Scheduled")))</x:f>
      </x:c>
    </x:row>
    <x:row r="38">
      <x:c r="A38" t="n">
        <x:f>'Vendor Inventory'!A38</x:f>
        <x:v>0</x:v>
      </x:c>
      <x:c r="B38" t="n">
        <x:f>'Vendor Inventory'!B38</x:f>
        <x:v>0</x:v>
      </x:c>
      <x:c r="C38" s="18" t="n">
        <x:f>'Vendor Inventory'!J38</x:f>
        <x:v>0</x:v>
      </x:c>
      <x:c r="D38" s="18" t="n">
        <x:f>'Vendor Inventory'!M38</x:f>
        <x:v>0</x:v>
      </x:c>
      <x:c r="E38" s="24" t="str">
        <x:f>IF(D38="","",D38-TODAY())</x:f>
      </x:c>
      <x:c r="F38" t="n">
        <x:f>'Vendor Inventory'!D38</x:f>
        <x:v>0</x:v>
      </x:c>
      <x:c r="G38" t="str">
        <x:f>IF(D38="","",IF(E38&lt;0,"Overdue",IF(E38&lt;=30,"Due Soon","Scheduled")))</x:f>
      </x:c>
    </x:row>
    <x:row r="39">
      <x:c r="A39" t="n">
        <x:f>'Vendor Inventory'!A39</x:f>
        <x:v>0</x:v>
      </x:c>
      <x:c r="B39" t="n">
        <x:f>'Vendor Inventory'!B39</x:f>
        <x:v>0</x:v>
      </x:c>
      <x:c r="C39" s="18" t="n">
        <x:f>'Vendor Inventory'!J39</x:f>
        <x:v>0</x:v>
      </x:c>
      <x:c r="D39" s="18" t="n">
        <x:f>'Vendor Inventory'!M39</x:f>
        <x:v>0</x:v>
      </x:c>
      <x:c r="E39" s="24" t="str">
        <x:f>IF(D39="","",D39-TODAY())</x:f>
      </x:c>
      <x:c r="F39" t="n">
        <x:f>'Vendor Inventory'!D39</x:f>
        <x:v>0</x:v>
      </x:c>
      <x:c r="G39" t="str">
        <x:f>IF(D39="","",IF(E39&lt;0,"Overdue",IF(E39&lt;=30,"Due Soon","Scheduled")))</x:f>
      </x:c>
    </x:row>
    <x:row r="40">
      <x:c r="A40" t="n">
        <x:f>'Vendor Inventory'!A40</x:f>
        <x:v>0</x:v>
      </x:c>
      <x:c r="B40" t="n">
        <x:f>'Vendor Inventory'!B40</x:f>
        <x:v>0</x:v>
      </x:c>
      <x:c r="C40" s="18" t="n">
        <x:f>'Vendor Inventory'!J40</x:f>
        <x:v>0</x:v>
      </x:c>
      <x:c r="D40" s="18" t="n">
        <x:f>'Vendor Inventory'!M40</x:f>
        <x:v>0</x:v>
      </x:c>
      <x:c r="E40" s="24" t="str">
        <x:f>IF(D40="","",D40-TODAY())</x:f>
      </x:c>
      <x:c r="F40" t="n">
        <x:f>'Vendor Inventory'!D40</x:f>
        <x:v>0</x:v>
      </x:c>
      <x:c r="G40" t="str">
        <x:f>IF(D40="","",IF(E40&lt;0,"Overdue",IF(E40&lt;=30,"Due Soon","Scheduled")))</x:f>
      </x:c>
    </x:row>
    <x:row r="41">
      <x:c r="A41" t="n">
        <x:f>'Vendor Inventory'!A41</x:f>
        <x:v>0</x:v>
      </x:c>
      <x:c r="B41" t="n">
        <x:f>'Vendor Inventory'!B41</x:f>
        <x:v>0</x:v>
      </x:c>
      <x:c r="C41" s="18" t="n">
        <x:f>'Vendor Inventory'!J41</x:f>
        <x:v>0</x:v>
      </x:c>
      <x:c r="D41" s="18" t="n">
        <x:f>'Vendor Inventory'!M41</x:f>
        <x:v>0</x:v>
      </x:c>
      <x:c r="E41" s="24" t="str">
        <x:f>IF(D41="","",D41-TODAY())</x:f>
      </x:c>
      <x:c r="F41" t="n">
        <x:f>'Vendor Inventory'!D41</x:f>
        <x:v>0</x:v>
      </x:c>
      <x:c r="G41" t="str">
        <x:f>IF(D41="","",IF(E41&lt;0,"Overdue",IF(E41&lt;=30,"Due Soon","Scheduled")))</x:f>
      </x:c>
    </x:row>
    <x:row r="42">
      <x:c r="A42" t="n">
        <x:f>'Vendor Inventory'!A42</x:f>
        <x:v>0</x:v>
      </x:c>
      <x:c r="B42" t="n">
        <x:f>'Vendor Inventory'!B42</x:f>
        <x:v>0</x:v>
      </x:c>
      <x:c r="C42" s="18" t="n">
        <x:f>'Vendor Inventory'!J42</x:f>
        <x:v>0</x:v>
      </x:c>
      <x:c r="D42" s="18" t="n">
        <x:f>'Vendor Inventory'!M42</x:f>
        <x:v>0</x:v>
      </x:c>
      <x:c r="E42" s="24" t="str">
        <x:f>IF(D42="","",D42-TODAY())</x:f>
      </x:c>
      <x:c r="F42" t="n">
        <x:f>'Vendor Inventory'!D42</x:f>
        <x:v>0</x:v>
      </x:c>
      <x:c r="G42" t="str">
        <x:f>IF(D42="","",IF(E42&lt;0,"Overdue",IF(E42&lt;=30,"Due Soon","Scheduled")))</x:f>
      </x:c>
    </x:row>
    <x:row r="43">
      <x:c r="A43" t="n">
        <x:f>'Vendor Inventory'!A43</x:f>
        <x:v>0</x:v>
      </x:c>
      <x:c r="B43" t="n">
        <x:f>'Vendor Inventory'!B43</x:f>
        <x:v>0</x:v>
      </x:c>
      <x:c r="C43" s="18" t="n">
        <x:f>'Vendor Inventory'!J43</x:f>
        <x:v>0</x:v>
      </x:c>
      <x:c r="D43" s="18" t="n">
        <x:f>'Vendor Inventory'!M43</x:f>
        <x:v>0</x:v>
      </x:c>
      <x:c r="E43" s="24" t="str">
        <x:f>IF(D43="","",D43-TODAY())</x:f>
      </x:c>
      <x:c r="F43" t="n">
        <x:f>'Vendor Inventory'!D43</x:f>
        <x:v>0</x:v>
      </x:c>
      <x:c r="G43" t="str">
        <x:f>IF(D43="","",IF(E43&lt;0,"Overdue",IF(E43&lt;=30,"Due Soon","Scheduled")))</x:f>
      </x:c>
    </x:row>
    <x:row r="44">
      <x:c r="A44" t="n">
        <x:f>'Vendor Inventory'!A44</x:f>
        <x:v>0</x:v>
      </x:c>
      <x:c r="B44" t="n">
        <x:f>'Vendor Inventory'!B44</x:f>
        <x:v>0</x:v>
      </x:c>
      <x:c r="C44" s="18" t="n">
        <x:f>'Vendor Inventory'!J44</x:f>
        <x:v>0</x:v>
      </x:c>
      <x:c r="D44" s="18" t="n">
        <x:f>'Vendor Inventory'!M44</x:f>
        <x:v>0</x:v>
      </x:c>
      <x:c r="E44" s="24" t="str">
        <x:f>IF(D44="","",D44-TODAY())</x:f>
      </x:c>
      <x:c r="F44" t="n">
        <x:f>'Vendor Inventory'!D44</x:f>
        <x:v>0</x:v>
      </x:c>
      <x:c r="G44" t="str">
        <x:f>IF(D44="","",IF(E44&lt;0,"Overdue",IF(E44&lt;=30,"Due Soon","Scheduled")))</x:f>
      </x:c>
    </x:row>
    <x:row r="45">
      <x:c r="A45" t="n">
        <x:f>'Vendor Inventory'!A45</x:f>
        <x:v>0</x:v>
      </x:c>
      <x:c r="B45" t="n">
        <x:f>'Vendor Inventory'!B45</x:f>
        <x:v>0</x:v>
      </x:c>
      <x:c r="C45" s="18" t="n">
        <x:f>'Vendor Inventory'!J45</x:f>
        <x:v>0</x:v>
      </x:c>
      <x:c r="D45" s="18" t="n">
        <x:f>'Vendor Inventory'!M45</x:f>
        <x:v>0</x:v>
      </x:c>
      <x:c r="E45" s="24" t="str">
        <x:f>IF(D45="","",D45-TODAY())</x:f>
      </x:c>
      <x:c r="F45" t="n">
        <x:f>'Vendor Inventory'!D45</x:f>
        <x:v>0</x:v>
      </x:c>
      <x:c r="G45" t="str">
        <x:f>IF(D45="","",IF(E45&lt;0,"Overdue",IF(E45&lt;=30,"Due Soon","Scheduled")))</x:f>
      </x:c>
    </x:row>
    <x:row r="46">
      <x:c r="A46" t="n">
        <x:f>'Vendor Inventory'!A46</x:f>
        <x:v>0</x:v>
      </x:c>
      <x:c r="B46" t="n">
        <x:f>'Vendor Inventory'!B46</x:f>
        <x:v>0</x:v>
      </x:c>
      <x:c r="C46" s="18" t="n">
        <x:f>'Vendor Inventory'!J46</x:f>
        <x:v>0</x:v>
      </x:c>
      <x:c r="D46" s="18" t="n">
        <x:f>'Vendor Inventory'!M46</x:f>
        <x:v>0</x:v>
      </x:c>
      <x:c r="E46" s="24" t="str">
        <x:f>IF(D46="","",D46-TODAY())</x:f>
      </x:c>
      <x:c r="F46" t="n">
        <x:f>'Vendor Inventory'!D46</x:f>
        <x:v>0</x:v>
      </x:c>
      <x:c r="G46" t="str">
        <x:f>IF(D46="","",IF(E46&lt;0,"Overdue",IF(E46&lt;=30,"Due Soon","Scheduled")))</x:f>
      </x:c>
    </x:row>
    <x:row r="47">
      <x:c r="A47" t="n">
        <x:f>'Vendor Inventory'!A47</x:f>
        <x:v>0</x:v>
      </x:c>
      <x:c r="B47" t="n">
        <x:f>'Vendor Inventory'!B47</x:f>
        <x:v>0</x:v>
      </x:c>
      <x:c r="C47" s="18" t="n">
        <x:f>'Vendor Inventory'!J47</x:f>
        <x:v>0</x:v>
      </x:c>
      <x:c r="D47" s="18" t="n">
        <x:f>'Vendor Inventory'!M47</x:f>
        <x:v>0</x:v>
      </x:c>
      <x:c r="E47" s="24" t="str">
        <x:f>IF(D47="","",D47-TODAY())</x:f>
      </x:c>
      <x:c r="F47" t="n">
        <x:f>'Vendor Inventory'!D47</x:f>
        <x:v>0</x:v>
      </x:c>
      <x:c r="G47" t="str">
        <x:f>IF(D47="","",IF(E47&lt;0,"Overdue",IF(E47&lt;=30,"Due Soon","Scheduled")))</x:f>
      </x:c>
    </x:row>
    <x:row r="48">
      <x:c r="A48" t="n">
        <x:f>'Vendor Inventory'!A48</x:f>
        <x:v>0</x:v>
      </x:c>
      <x:c r="B48" t="n">
        <x:f>'Vendor Inventory'!B48</x:f>
        <x:v>0</x:v>
      </x:c>
      <x:c r="C48" s="18" t="n">
        <x:f>'Vendor Inventory'!J48</x:f>
        <x:v>0</x:v>
      </x:c>
      <x:c r="D48" s="18" t="n">
        <x:f>'Vendor Inventory'!M48</x:f>
        <x:v>0</x:v>
      </x:c>
      <x:c r="E48" s="24" t="str">
        <x:f>IF(D48="","",D48-TODAY())</x:f>
      </x:c>
      <x:c r="F48" t="n">
        <x:f>'Vendor Inventory'!D48</x:f>
        <x:v>0</x:v>
      </x:c>
      <x:c r="G48" t="str">
        <x:f>IF(D48="","",IF(E48&lt;0,"Overdue",IF(E48&lt;=30,"Due Soon","Scheduled")))</x:f>
      </x:c>
    </x:row>
    <x:row r="49">
      <x:c r="A49" t="n">
        <x:f>'Vendor Inventory'!A49</x:f>
        <x:v>0</x:v>
      </x:c>
      <x:c r="B49" t="n">
        <x:f>'Vendor Inventory'!B49</x:f>
        <x:v>0</x:v>
      </x:c>
      <x:c r="C49" s="18" t="n">
        <x:f>'Vendor Inventory'!J49</x:f>
        <x:v>0</x:v>
      </x:c>
      <x:c r="D49" s="18" t="n">
        <x:f>'Vendor Inventory'!M49</x:f>
        <x:v>0</x:v>
      </x:c>
      <x:c r="E49" s="24" t="str">
        <x:f>IF(D49="","",D49-TODAY())</x:f>
      </x:c>
      <x:c r="F49" t="n">
        <x:f>'Vendor Inventory'!D49</x:f>
        <x:v>0</x:v>
      </x:c>
      <x:c r="G49" t="str">
        <x:f>IF(D49="","",IF(E49&lt;0,"Overdue",IF(E49&lt;=30,"Due Soon","Scheduled")))</x:f>
      </x:c>
    </x:row>
    <x:row r="50">
      <x:c r="A50" t="n">
        <x:f>'Vendor Inventory'!A50</x:f>
        <x:v>0</x:v>
      </x:c>
      <x:c r="B50" t="n">
        <x:f>'Vendor Inventory'!B50</x:f>
        <x:v>0</x:v>
      </x:c>
      <x:c r="C50" s="18" t="n">
        <x:f>'Vendor Inventory'!J50</x:f>
        <x:v>0</x:v>
      </x:c>
      <x:c r="D50" s="18" t="n">
        <x:f>'Vendor Inventory'!M50</x:f>
        <x:v>0</x:v>
      </x:c>
      <x:c r="E50" s="24" t="str">
        <x:f>IF(D50="","",D50-TODAY())</x:f>
      </x:c>
      <x:c r="F50" t="n">
        <x:f>'Vendor Inventory'!D50</x:f>
        <x:v>0</x:v>
      </x:c>
      <x:c r="G50" t="str">
        <x:f>IF(D50="","",IF(E50&lt;0,"Overdue",IF(E50&lt;=30,"Due Soon","Scheduled")))</x:f>
      </x:c>
    </x:row>
    <x:row r="51">
      <x:c r="A51" t="n">
        <x:f>'Vendor Inventory'!A51</x:f>
        <x:v>0</x:v>
      </x:c>
      <x:c r="B51" t="n">
        <x:f>'Vendor Inventory'!B51</x:f>
        <x:v>0</x:v>
      </x:c>
      <x:c r="C51" s="18" t="n">
        <x:f>'Vendor Inventory'!J51</x:f>
        <x:v>0</x:v>
      </x:c>
      <x:c r="D51" s="18" t="n">
        <x:f>'Vendor Inventory'!M51</x:f>
        <x:v>0</x:v>
      </x:c>
      <x:c r="E51" s="24" t="str">
        <x:f>IF(D51="","",D51-TODAY())</x:f>
      </x:c>
      <x:c r="F51" t="n">
        <x:f>'Vendor Inventory'!D51</x:f>
        <x:v>0</x:v>
      </x:c>
      <x:c r="G51" t="str">
        <x:f>IF(D51="","",IF(E51&lt;0,"Overdue",IF(E51&lt;=30,"Due Soon","Scheduled")))</x:f>
      </x:c>
    </x:row>
    <x:row r="52">
      <x:c r="A52" t="n">
        <x:f>'Vendor Inventory'!A52</x:f>
        <x:v>0</x:v>
      </x:c>
      <x:c r="B52" t="n">
        <x:f>'Vendor Inventory'!B52</x:f>
        <x:v>0</x:v>
      </x:c>
      <x:c r="C52" s="18" t="n">
        <x:f>'Vendor Inventory'!J52</x:f>
        <x:v>0</x:v>
      </x:c>
      <x:c r="D52" s="18" t="n">
        <x:f>'Vendor Inventory'!M52</x:f>
        <x:v>0</x:v>
      </x:c>
      <x:c r="E52" s="24" t="str">
        <x:f>IF(D52="","",D52-TODAY())</x:f>
      </x:c>
      <x:c r="F52" t="n">
        <x:f>'Vendor Inventory'!D52</x:f>
        <x:v>0</x:v>
      </x:c>
      <x:c r="G52" t="str">
        <x:f>IF(D52="","",IF(E52&lt;0,"Overdue",IF(E52&lt;=30,"Due Soon","Scheduled")))</x:f>
      </x:c>
    </x:row>
    <x:row r="53">
      <x:c r="A53" t="n">
        <x:f>'Vendor Inventory'!A53</x:f>
        <x:v>0</x:v>
      </x:c>
      <x:c r="B53" t="n">
        <x:f>'Vendor Inventory'!B53</x:f>
        <x:v>0</x:v>
      </x:c>
      <x:c r="C53" s="18" t="n">
        <x:f>'Vendor Inventory'!J53</x:f>
        <x:v>0</x:v>
      </x:c>
      <x:c r="D53" s="18" t="n">
        <x:f>'Vendor Inventory'!M53</x:f>
        <x:v>0</x:v>
      </x:c>
      <x:c r="E53" s="24" t="str">
        <x:f>IF(D53="","",D53-TODAY())</x:f>
      </x:c>
      <x:c r="F53" t="n">
        <x:f>'Vendor Inventory'!D53</x:f>
        <x:v>0</x:v>
      </x:c>
      <x:c r="G53" t="str">
        <x:f>IF(D53="","",IF(E53&lt;0,"Overdue",IF(E53&lt;=30,"Due Soon","Scheduled")))</x:f>
      </x:c>
    </x:row>
    <x:row r="54">
      <x:c r="A54" t="n">
        <x:f>'Vendor Inventory'!A54</x:f>
        <x:v>0</x:v>
      </x:c>
      <x:c r="B54" t="n">
        <x:f>'Vendor Inventory'!B54</x:f>
        <x:v>0</x:v>
      </x:c>
      <x:c r="C54" s="18" t="n">
        <x:f>'Vendor Inventory'!J54</x:f>
        <x:v>0</x:v>
      </x:c>
      <x:c r="D54" s="18" t="n">
        <x:f>'Vendor Inventory'!M54</x:f>
        <x:v>0</x:v>
      </x:c>
      <x:c r="E54" s="24" t="str">
        <x:f>IF(D54="","",D54-TODAY())</x:f>
      </x:c>
      <x:c r="F54" t="n">
        <x:f>'Vendor Inventory'!D54</x:f>
        <x:v>0</x:v>
      </x:c>
      <x:c r="G54" t="str">
        <x:f>IF(D54="","",IF(E54&lt;0,"Overdue",IF(E54&lt;=30,"Due Soon","Scheduled")))</x:f>
      </x:c>
    </x:row>
    <x:row r="55">
      <x:c r="A55" t="n">
        <x:f>'Vendor Inventory'!A55</x:f>
        <x:v>0</x:v>
      </x:c>
      <x:c r="B55" t="n">
        <x:f>'Vendor Inventory'!B55</x:f>
        <x:v>0</x:v>
      </x:c>
      <x:c r="C55" s="18" t="n">
        <x:f>'Vendor Inventory'!J55</x:f>
        <x:v>0</x:v>
      </x:c>
      <x:c r="D55" s="18" t="n">
        <x:f>'Vendor Inventory'!M55</x:f>
        <x:v>0</x:v>
      </x:c>
      <x:c r="E55" s="24" t="str">
        <x:f>IF(D55="","",D55-TODAY())</x:f>
      </x:c>
      <x:c r="F55" t="n">
        <x:f>'Vendor Inventory'!D55</x:f>
        <x:v>0</x:v>
      </x:c>
      <x:c r="G55" t="str">
        <x:f>IF(D55="","",IF(E55&lt;0,"Overdue",IF(E55&lt;=30,"Due Soon","Scheduled")))</x:f>
      </x:c>
    </x:row>
    <x:row r="56">
      <x:c r="A56" t="n">
        <x:f>'Vendor Inventory'!A56</x:f>
        <x:v>0</x:v>
      </x:c>
      <x:c r="B56" t="n">
        <x:f>'Vendor Inventory'!B56</x:f>
        <x:v>0</x:v>
      </x:c>
      <x:c r="C56" s="18" t="n">
        <x:f>'Vendor Inventory'!J56</x:f>
        <x:v>0</x:v>
      </x:c>
      <x:c r="D56" s="18" t="n">
        <x:f>'Vendor Inventory'!M56</x:f>
        <x:v>0</x:v>
      </x:c>
      <x:c r="E56" s="24" t="str">
        <x:f>IF(D56="","",D56-TODAY())</x:f>
      </x:c>
      <x:c r="F56" t="n">
        <x:f>'Vendor Inventory'!D56</x:f>
        <x:v>0</x:v>
      </x:c>
      <x:c r="G56" t="str">
        <x:f>IF(D56="","",IF(E56&lt;0,"Overdue",IF(E56&lt;=30,"Due Soon","Scheduled")))</x:f>
      </x:c>
    </x:row>
    <x:row r="57">
      <x:c r="A57" t="n">
        <x:f>'Vendor Inventory'!A57</x:f>
        <x:v>0</x:v>
      </x:c>
      <x:c r="B57" t="n">
        <x:f>'Vendor Inventory'!B57</x:f>
        <x:v>0</x:v>
      </x:c>
      <x:c r="C57" s="18" t="n">
        <x:f>'Vendor Inventory'!J57</x:f>
        <x:v>0</x:v>
      </x:c>
      <x:c r="D57" s="18" t="n">
        <x:f>'Vendor Inventory'!M57</x:f>
        <x:v>0</x:v>
      </x:c>
      <x:c r="E57" s="24" t="str">
        <x:f>IF(D57="","",D57-TODAY())</x:f>
      </x:c>
      <x:c r="F57" t="n">
        <x:f>'Vendor Inventory'!D57</x:f>
        <x:v>0</x:v>
      </x:c>
      <x:c r="G57" t="str">
        <x:f>IF(D57="","",IF(E57&lt;0,"Overdue",IF(E57&lt;=30,"Due Soon","Scheduled")))</x:f>
      </x:c>
    </x:row>
    <x:row r="58">
      <x:c r="A58" t="n">
        <x:f>'Vendor Inventory'!A58</x:f>
        <x:v>0</x:v>
      </x:c>
      <x:c r="B58" t="n">
        <x:f>'Vendor Inventory'!B58</x:f>
        <x:v>0</x:v>
      </x:c>
      <x:c r="C58" s="18" t="n">
        <x:f>'Vendor Inventory'!J58</x:f>
        <x:v>0</x:v>
      </x:c>
      <x:c r="D58" s="18" t="n">
        <x:f>'Vendor Inventory'!M58</x:f>
        <x:v>0</x:v>
      </x:c>
      <x:c r="E58" s="24" t="str">
        <x:f>IF(D58="","",D58-TODAY())</x:f>
      </x:c>
      <x:c r="F58" t="n">
        <x:f>'Vendor Inventory'!D58</x:f>
        <x:v>0</x:v>
      </x:c>
      <x:c r="G58" t="str">
        <x:f>IF(D58="","",IF(E58&lt;0,"Overdue",IF(E58&lt;=30,"Due Soon","Scheduled")))</x:f>
      </x:c>
    </x:row>
    <x:row r="59">
      <x:c r="A59" t="n">
        <x:f>'Vendor Inventory'!A59</x:f>
        <x:v>0</x:v>
      </x:c>
      <x:c r="B59" t="n">
        <x:f>'Vendor Inventory'!B59</x:f>
        <x:v>0</x:v>
      </x:c>
      <x:c r="C59" s="18" t="n">
        <x:f>'Vendor Inventory'!J59</x:f>
        <x:v>0</x:v>
      </x:c>
      <x:c r="D59" s="18" t="n">
        <x:f>'Vendor Inventory'!M59</x:f>
        <x:v>0</x:v>
      </x:c>
      <x:c r="E59" s="24" t="str">
        <x:f>IF(D59="","",D59-TODAY())</x:f>
      </x:c>
      <x:c r="F59" t="n">
        <x:f>'Vendor Inventory'!D59</x:f>
        <x:v>0</x:v>
      </x:c>
      <x:c r="G59" t="str">
        <x:f>IF(D59="","",IF(E59&lt;0,"Overdue",IF(E59&lt;=30,"Due Soon","Scheduled")))</x:f>
      </x:c>
    </x:row>
    <x:row r="60">
      <x:c r="A60" t="n">
        <x:f>'Vendor Inventory'!A60</x:f>
        <x:v>0</x:v>
      </x:c>
      <x:c r="B60" t="n">
        <x:f>'Vendor Inventory'!B60</x:f>
        <x:v>0</x:v>
      </x:c>
      <x:c r="C60" s="18" t="n">
        <x:f>'Vendor Inventory'!J60</x:f>
        <x:v>0</x:v>
      </x:c>
      <x:c r="D60" s="18" t="n">
        <x:f>'Vendor Inventory'!M60</x:f>
        <x:v>0</x:v>
      </x:c>
      <x:c r="E60" s="24" t="str">
        <x:f>IF(D60="","",D60-TODAY())</x:f>
      </x:c>
      <x:c r="F60" t="n">
        <x:f>'Vendor Inventory'!D60</x:f>
        <x:v>0</x:v>
      </x:c>
      <x:c r="G60" t="str">
        <x:f>IF(D60="","",IF(E60&lt;0,"Overdue",IF(E60&lt;=30,"Due Soon","Scheduled")))</x:f>
      </x:c>
    </x:row>
    <x:row r="61">
      <x:c r="A61" t="n">
        <x:f>'Vendor Inventory'!A61</x:f>
        <x:v>0</x:v>
      </x:c>
      <x:c r="B61" t="n">
        <x:f>'Vendor Inventory'!B61</x:f>
        <x:v>0</x:v>
      </x:c>
      <x:c r="C61" s="18" t="n">
        <x:f>'Vendor Inventory'!J61</x:f>
        <x:v>0</x:v>
      </x:c>
      <x:c r="D61" s="18" t="n">
        <x:f>'Vendor Inventory'!M61</x:f>
        <x:v>0</x:v>
      </x:c>
      <x:c r="E61" s="24" t="str">
        <x:f>IF(D61="","",D61-TODAY())</x:f>
      </x:c>
      <x:c r="F61" t="n">
        <x:f>'Vendor Inventory'!D61</x:f>
        <x:v>0</x:v>
      </x:c>
      <x:c r="G61" t="str">
        <x:f>IF(D61="","",IF(E61&lt;0,"Overdue",IF(E61&lt;=30,"Due Soon","Scheduled")))</x:f>
      </x:c>
    </x:row>
    <x:row r="62">
      <x:c r="A62" t="n">
        <x:f>'Vendor Inventory'!A62</x:f>
        <x:v>0</x:v>
      </x:c>
      <x:c r="B62" t="n">
        <x:f>'Vendor Inventory'!B62</x:f>
        <x:v>0</x:v>
      </x:c>
      <x:c r="C62" s="18" t="n">
        <x:f>'Vendor Inventory'!J62</x:f>
        <x:v>0</x:v>
      </x:c>
      <x:c r="D62" s="18" t="n">
        <x:f>'Vendor Inventory'!M62</x:f>
        <x:v>0</x:v>
      </x:c>
      <x:c r="E62" s="24" t="str">
        <x:f>IF(D62="","",D62-TODAY())</x:f>
      </x:c>
      <x:c r="F62" t="n">
        <x:f>'Vendor Inventory'!D62</x:f>
        <x:v>0</x:v>
      </x:c>
      <x:c r="G62" t="str">
        <x:f>IF(D62="","",IF(E62&lt;0,"Overdue",IF(E62&lt;=30,"Due Soon","Scheduled")))</x:f>
      </x:c>
    </x:row>
    <x:row r="63">
      <x:c r="A63" t="n">
        <x:f>'Vendor Inventory'!A63</x:f>
        <x:v>0</x:v>
      </x:c>
      <x:c r="B63" t="n">
        <x:f>'Vendor Inventory'!B63</x:f>
        <x:v>0</x:v>
      </x:c>
      <x:c r="C63" s="18" t="n">
        <x:f>'Vendor Inventory'!J63</x:f>
        <x:v>0</x:v>
      </x:c>
      <x:c r="D63" s="18" t="n">
        <x:f>'Vendor Inventory'!M63</x:f>
        <x:v>0</x:v>
      </x:c>
      <x:c r="E63" s="24" t="str">
        <x:f>IF(D63="","",D63-TODAY())</x:f>
      </x:c>
      <x:c r="F63" t="n">
        <x:f>'Vendor Inventory'!D63</x:f>
        <x:v>0</x:v>
      </x:c>
      <x:c r="G63" t="str">
        <x:f>IF(D63="","",IF(E63&lt;0,"Overdue",IF(E63&lt;=30,"Due Soon","Scheduled")))</x:f>
      </x:c>
    </x:row>
    <x:row r="64">
      <x:c r="A64" t="n">
        <x:f>'Vendor Inventory'!A64</x:f>
        <x:v>0</x:v>
      </x:c>
      <x:c r="B64" t="n">
        <x:f>'Vendor Inventory'!B64</x:f>
        <x:v>0</x:v>
      </x:c>
      <x:c r="C64" s="18" t="n">
        <x:f>'Vendor Inventory'!J64</x:f>
        <x:v>0</x:v>
      </x:c>
      <x:c r="D64" s="18" t="n">
        <x:f>'Vendor Inventory'!M64</x:f>
        <x:v>0</x:v>
      </x:c>
      <x:c r="E64" s="24" t="str">
        <x:f>IF(D64="","",D64-TODAY())</x:f>
      </x:c>
      <x:c r="F64" t="n">
        <x:f>'Vendor Inventory'!D64</x:f>
        <x:v>0</x:v>
      </x:c>
      <x:c r="G64" t="str">
        <x:f>IF(D64="","",IF(E64&lt;0,"Overdue",IF(E64&lt;=30,"Due Soon","Scheduled")))</x:f>
      </x:c>
    </x:row>
    <x:row r="65">
      <x:c r="A65" t="n">
        <x:f>'Vendor Inventory'!A65</x:f>
        <x:v>0</x:v>
      </x:c>
      <x:c r="B65" t="n">
        <x:f>'Vendor Inventory'!B65</x:f>
        <x:v>0</x:v>
      </x:c>
      <x:c r="C65" s="18" t="n">
        <x:f>'Vendor Inventory'!J65</x:f>
        <x:v>0</x:v>
      </x:c>
      <x:c r="D65" s="18" t="n">
        <x:f>'Vendor Inventory'!M65</x:f>
        <x:v>0</x:v>
      </x:c>
      <x:c r="E65" s="24" t="str">
        <x:f>IF(D65="","",D65-TODAY())</x:f>
      </x:c>
      <x:c r="F65" t="n">
        <x:f>'Vendor Inventory'!D65</x:f>
        <x:v>0</x:v>
      </x:c>
      <x:c r="G65" t="str">
        <x:f>IF(D65="","",IF(E65&lt;0,"Overdue",IF(E65&lt;=30,"Due Soon","Scheduled")))</x:f>
      </x:c>
    </x:row>
    <x:row r="66">
      <x:c r="A66" t="n">
        <x:f>'Vendor Inventory'!A66</x:f>
        <x:v>0</x:v>
      </x:c>
      <x:c r="B66" t="n">
        <x:f>'Vendor Inventory'!B66</x:f>
        <x:v>0</x:v>
      </x:c>
      <x:c r="C66" s="18" t="n">
        <x:f>'Vendor Inventory'!J66</x:f>
        <x:v>0</x:v>
      </x:c>
      <x:c r="D66" s="18" t="n">
        <x:f>'Vendor Inventory'!M66</x:f>
        <x:v>0</x:v>
      </x:c>
      <x:c r="E66" s="24" t="str">
        <x:f>IF(D66="","",D66-TODAY())</x:f>
      </x:c>
      <x:c r="F66" t="n">
        <x:f>'Vendor Inventory'!D66</x:f>
        <x:v>0</x:v>
      </x:c>
      <x:c r="G66" t="str">
        <x:f>IF(D66="","",IF(E66&lt;0,"Overdue",IF(E66&lt;=30,"Due Soon","Scheduled")))</x:f>
      </x:c>
    </x:row>
    <x:row r="67">
      <x:c r="A67" t="n">
        <x:f>'Vendor Inventory'!A67</x:f>
        <x:v>0</x:v>
      </x:c>
      <x:c r="B67" t="n">
        <x:f>'Vendor Inventory'!B67</x:f>
        <x:v>0</x:v>
      </x:c>
      <x:c r="C67" s="18" t="n">
        <x:f>'Vendor Inventory'!J67</x:f>
        <x:v>0</x:v>
      </x:c>
      <x:c r="D67" s="18" t="n">
        <x:f>'Vendor Inventory'!M67</x:f>
        <x:v>0</x:v>
      </x:c>
      <x:c r="E67" s="24" t="str">
        <x:f>IF(D67="","",D67-TODAY())</x:f>
      </x:c>
      <x:c r="F67" t="n">
        <x:f>'Vendor Inventory'!D67</x:f>
        <x:v>0</x:v>
      </x:c>
      <x:c r="G67" t="str">
        <x:f>IF(D67="","",IF(E67&lt;0,"Overdue",IF(E67&lt;=30,"Due Soon","Scheduled")))</x:f>
      </x:c>
    </x:row>
    <x:row r="68">
      <x:c r="A68" t="n">
        <x:f>'Vendor Inventory'!A68</x:f>
        <x:v>0</x:v>
      </x:c>
      <x:c r="B68" t="n">
        <x:f>'Vendor Inventory'!B68</x:f>
        <x:v>0</x:v>
      </x:c>
      <x:c r="C68" s="18" t="n">
        <x:f>'Vendor Inventory'!J68</x:f>
        <x:v>0</x:v>
      </x:c>
      <x:c r="D68" s="18" t="n">
        <x:f>'Vendor Inventory'!M68</x:f>
        <x:v>0</x:v>
      </x:c>
      <x:c r="E68" s="24" t="str">
        <x:f>IF(D68="","",D68-TODAY())</x:f>
      </x:c>
      <x:c r="F68" t="n">
        <x:f>'Vendor Inventory'!D68</x:f>
        <x:v>0</x:v>
      </x:c>
      <x:c r="G68" t="str">
        <x:f>IF(D68="","",IF(E68&lt;0,"Overdue",IF(E68&lt;=30,"Due Soon","Scheduled")))</x:f>
      </x:c>
    </x:row>
    <x:row r="69">
      <x:c r="A69" t="n">
        <x:f>'Vendor Inventory'!A69</x:f>
        <x:v>0</x:v>
      </x:c>
      <x:c r="B69" t="n">
        <x:f>'Vendor Inventory'!B69</x:f>
        <x:v>0</x:v>
      </x:c>
      <x:c r="C69" s="18" t="n">
        <x:f>'Vendor Inventory'!J69</x:f>
        <x:v>0</x:v>
      </x:c>
      <x:c r="D69" s="18" t="n">
        <x:f>'Vendor Inventory'!M69</x:f>
        <x:v>0</x:v>
      </x:c>
      <x:c r="E69" s="24" t="str">
        <x:f>IF(D69="","",D69-TODAY())</x:f>
      </x:c>
      <x:c r="F69" t="n">
        <x:f>'Vendor Inventory'!D69</x:f>
        <x:v>0</x:v>
      </x:c>
      <x:c r="G69" t="str">
        <x:f>IF(D69="","",IF(E69&lt;0,"Overdue",IF(E69&lt;=30,"Due Soon","Scheduled")))</x:f>
      </x:c>
    </x:row>
    <x:row r="70">
      <x:c r="A70" t="n">
        <x:f>'Vendor Inventory'!A70</x:f>
        <x:v>0</x:v>
      </x:c>
      <x:c r="B70" t="n">
        <x:f>'Vendor Inventory'!B70</x:f>
        <x:v>0</x:v>
      </x:c>
      <x:c r="C70" s="18" t="n">
        <x:f>'Vendor Inventory'!J70</x:f>
        <x:v>0</x:v>
      </x:c>
      <x:c r="D70" s="18" t="n">
        <x:f>'Vendor Inventory'!M70</x:f>
        <x:v>0</x:v>
      </x:c>
      <x:c r="E70" s="24" t="str">
        <x:f>IF(D70="","",D70-TODAY())</x:f>
      </x:c>
      <x:c r="F70" t="n">
        <x:f>'Vendor Inventory'!D70</x:f>
        <x:v>0</x:v>
      </x:c>
      <x:c r="G70" t="str">
        <x:f>IF(D70="","",IF(E70&lt;0,"Overdue",IF(E70&lt;=30,"Due Soon","Scheduled")))</x:f>
      </x:c>
    </x:row>
    <x:row r="71">
      <x:c r="A71" t="n">
        <x:f>'Vendor Inventory'!A71</x:f>
        <x:v>0</x:v>
      </x:c>
      <x:c r="B71" t="n">
        <x:f>'Vendor Inventory'!B71</x:f>
        <x:v>0</x:v>
      </x:c>
      <x:c r="C71" s="18" t="n">
        <x:f>'Vendor Inventory'!J71</x:f>
        <x:v>0</x:v>
      </x:c>
      <x:c r="D71" s="18" t="n">
        <x:f>'Vendor Inventory'!M71</x:f>
        <x:v>0</x:v>
      </x:c>
      <x:c r="E71" s="24" t="str">
        <x:f>IF(D71="","",D71-TODAY())</x:f>
      </x:c>
      <x:c r="F71" t="n">
        <x:f>'Vendor Inventory'!D71</x:f>
        <x:v>0</x:v>
      </x:c>
      <x:c r="G71" t="str">
        <x:f>IF(D71="","",IF(E71&lt;0,"Overdue",IF(E71&lt;=30,"Due Soon","Scheduled")))</x:f>
      </x:c>
    </x:row>
    <x:row r="72">
      <x:c r="A72" t="n">
        <x:f>'Vendor Inventory'!A72</x:f>
        <x:v>0</x:v>
      </x:c>
      <x:c r="B72" t="n">
        <x:f>'Vendor Inventory'!B72</x:f>
        <x:v>0</x:v>
      </x:c>
      <x:c r="C72" s="18" t="n">
        <x:f>'Vendor Inventory'!J72</x:f>
        <x:v>0</x:v>
      </x:c>
      <x:c r="D72" s="18" t="n">
        <x:f>'Vendor Inventory'!M72</x:f>
        <x:v>0</x:v>
      </x:c>
      <x:c r="E72" s="24" t="str">
        <x:f>IF(D72="","",D72-TODAY())</x:f>
      </x:c>
      <x:c r="F72" t="n">
        <x:f>'Vendor Inventory'!D72</x:f>
        <x:v>0</x:v>
      </x:c>
      <x:c r="G72" t="str">
        <x:f>IF(D72="","",IF(E72&lt;0,"Overdue",IF(E72&lt;=30,"Due Soon","Scheduled")))</x:f>
      </x:c>
    </x:row>
    <x:row r="73">
      <x:c r="A73" t="n">
        <x:f>'Vendor Inventory'!A73</x:f>
        <x:v>0</x:v>
      </x:c>
      <x:c r="B73" t="n">
        <x:f>'Vendor Inventory'!B73</x:f>
        <x:v>0</x:v>
      </x:c>
      <x:c r="C73" s="18" t="n">
        <x:f>'Vendor Inventory'!J73</x:f>
        <x:v>0</x:v>
      </x:c>
      <x:c r="D73" s="18" t="n">
        <x:f>'Vendor Inventory'!M73</x:f>
        <x:v>0</x:v>
      </x:c>
      <x:c r="E73" s="24" t="str">
        <x:f>IF(D73="","",D73-TODAY())</x:f>
      </x:c>
      <x:c r="F73" t="n">
        <x:f>'Vendor Inventory'!D73</x:f>
        <x:v>0</x:v>
      </x:c>
      <x:c r="G73" t="str">
        <x:f>IF(D73="","",IF(E73&lt;0,"Overdue",IF(E73&lt;=30,"Due Soon","Scheduled")))</x:f>
      </x:c>
    </x:row>
    <x:row r="74">
      <x:c r="A74" t="n">
        <x:f>'Vendor Inventory'!A74</x:f>
        <x:v>0</x:v>
      </x:c>
      <x:c r="B74" t="n">
        <x:f>'Vendor Inventory'!B74</x:f>
        <x:v>0</x:v>
      </x:c>
      <x:c r="C74" s="18" t="n">
        <x:f>'Vendor Inventory'!J74</x:f>
        <x:v>0</x:v>
      </x:c>
      <x:c r="D74" s="18" t="n">
        <x:f>'Vendor Inventory'!M74</x:f>
        <x:v>0</x:v>
      </x:c>
      <x:c r="E74" s="24" t="str">
        <x:f>IF(D74="","",D74-TODAY())</x:f>
      </x:c>
      <x:c r="F74" t="n">
        <x:f>'Vendor Inventory'!D74</x:f>
        <x:v>0</x:v>
      </x:c>
      <x:c r="G74" t="str">
        <x:f>IF(D74="","",IF(E74&lt;0,"Overdue",IF(E74&lt;=30,"Due Soon","Scheduled")))</x:f>
      </x:c>
    </x:row>
    <x:row r="75">
      <x:c r="A75" t="n">
        <x:f>'Vendor Inventory'!A75</x:f>
        <x:v>0</x:v>
      </x:c>
      <x:c r="B75" t="n">
        <x:f>'Vendor Inventory'!B75</x:f>
        <x:v>0</x:v>
      </x:c>
      <x:c r="C75" s="18" t="n">
        <x:f>'Vendor Inventory'!J75</x:f>
        <x:v>0</x:v>
      </x:c>
      <x:c r="D75" s="18" t="n">
        <x:f>'Vendor Inventory'!M75</x:f>
        <x:v>0</x:v>
      </x:c>
      <x:c r="E75" s="24" t="str">
        <x:f>IF(D75="","",D75-TODAY())</x:f>
      </x:c>
      <x:c r="F75" t="n">
        <x:f>'Vendor Inventory'!D75</x:f>
        <x:v>0</x:v>
      </x:c>
      <x:c r="G75" t="str">
        <x:f>IF(D75="","",IF(E75&lt;0,"Overdue",IF(E75&lt;=30,"Due Soon","Scheduled")))</x:f>
      </x:c>
    </x:row>
    <x:row r="76">
      <x:c r="A76" t="n">
        <x:f>'Vendor Inventory'!A76</x:f>
        <x:v>0</x:v>
      </x:c>
      <x:c r="B76" t="n">
        <x:f>'Vendor Inventory'!B76</x:f>
        <x:v>0</x:v>
      </x:c>
      <x:c r="C76" s="18" t="n">
        <x:f>'Vendor Inventory'!J76</x:f>
        <x:v>0</x:v>
      </x:c>
      <x:c r="D76" s="18" t="n">
        <x:f>'Vendor Inventory'!M76</x:f>
        <x:v>0</x:v>
      </x:c>
      <x:c r="E76" s="24" t="str">
        <x:f>IF(D76="","",D76-TODAY())</x:f>
      </x:c>
      <x:c r="F76" t="n">
        <x:f>'Vendor Inventory'!D76</x:f>
        <x:v>0</x:v>
      </x:c>
      <x:c r="G76" t="str">
        <x:f>IF(D76="","",IF(E76&lt;0,"Overdue",IF(E76&lt;=30,"Due Soon","Scheduled")))</x:f>
      </x:c>
    </x:row>
    <x:row r="77">
      <x:c r="A77" t="n">
        <x:f>'Vendor Inventory'!A77</x:f>
        <x:v>0</x:v>
      </x:c>
      <x:c r="B77" t="n">
        <x:f>'Vendor Inventory'!B77</x:f>
        <x:v>0</x:v>
      </x:c>
      <x:c r="C77" s="18" t="n">
        <x:f>'Vendor Inventory'!J77</x:f>
        <x:v>0</x:v>
      </x:c>
      <x:c r="D77" s="18" t="n">
        <x:f>'Vendor Inventory'!M77</x:f>
        <x:v>0</x:v>
      </x:c>
      <x:c r="E77" s="24" t="str">
        <x:f>IF(D77="","",D77-TODAY())</x:f>
      </x:c>
      <x:c r="F77" t="n">
        <x:f>'Vendor Inventory'!D77</x:f>
        <x:v>0</x:v>
      </x:c>
      <x:c r="G77" t="str">
        <x:f>IF(D77="","",IF(E77&lt;0,"Overdue",IF(E77&lt;=30,"Due Soon","Scheduled")))</x:f>
      </x:c>
    </x:row>
    <x:row r="78">
      <x:c r="A78" t="n">
        <x:f>'Vendor Inventory'!A78</x:f>
        <x:v>0</x:v>
      </x:c>
      <x:c r="B78" t="n">
        <x:f>'Vendor Inventory'!B78</x:f>
        <x:v>0</x:v>
      </x:c>
      <x:c r="C78" s="18" t="n">
        <x:f>'Vendor Inventory'!J78</x:f>
        <x:v>0</x:v>
      </x:c>
      <x:c r="D78" s="18" t="n">
        <x:f>'Vendor Inventory'!M78</x:f>
        <x:v>0</x:v>
      </x:c>
      <x:c r="E78" s="24" t="str">
        <x:f>IF(D78="","",D78-TODAY())</x:f>
      </x:c>
      <x:c r="F78" t="n">
        <x:f>'Vendor Inventory'!D78</x:f>
        <x:v>0</x:v>
      </x:c>
      <x:c r="G78" t="str">
        <x:f>IF(D78="","",IF(E78&lt;0,"Overdue",IF(E78&lt;=30,"Due Soon","Scheduled")))</x:f>
      </x:c>
    </x:row>
    <x:row r="79">
      <x:c r="A79" t="n">
        <x:f>'Vendor Inventory'!A79</x:f>
        <x:v>0</x:v>
      </x:c>
      <x:c r="B79" t="n">
        <x:f>'Vendor Inventory'!B79</x:f>
        <x:v>0</x:v>
      </x:c>
      <x:c r="C79" s="18" t="n">
        <x:f>'Vendor Inventory'!J79</x:f>
        <x:v>0</x:v>
      </x:c>
      <x:c r="D79" s="18" t="n">
        <x:f>'Vendor Inventory'!M79</x:f>
        <x:v>0</x:v>
      </x:c>
      <x:c r="E79" s="24" t="str">
        <x:f>IF(D79="","",D79-TODAY())</x:f>
      </x:c>
      <x:c r="F79" t="n">
        <x:f>'Vendor Inventory'!D79</x:f>
        <x:v>0</x:v>
      </x:c>
      <x:c r="G79" t="str">
        <x:f>IF(D79="","",IF(E79&lt;0,"Overdue",IF(E79&lt;=30,"Due Soon","Scheduled")))</x:f>
      </x:c>
    </x:row>
    <x:row r="80">
      <x:c r="A80" t="n">
        <x:f>'Vendor Inventory'!A80</x:f>
        <x:v>0</x:v>
      </x:c>
      <x:c r="B80" t="n">
        <x:f>'Vendor Inventory'!B80</x:f>
        <x:v>0</x:v>
      </x:c>
      <x:c r="C80" s="18" t="n">
        <x:f>'Vendor Inventory'!J80</x:f>
        <x:v>0</x:v>
      </x:c>
      <x:c r="D80" s="18" t="n">
        <x:f>'Vendor Inventory'!M80</x:f>
        <x:v>0</x:v>
      </x:c>
      <x:c r="E80" s="24" t="str">
        <x:f>IF(D80="","",D80-TODAY())</x:f>
      </x:c>
      <x:c r="F80" t="n">
        <x:f>'Vendor Inventory'!D80</x:f>
        <x:v>0</x:v>
      </x:c>
      <x:c r="G80" t="str">
        <x:f>IF(D80="","",IF(E80&lt;0,"Overdue",IF(E80&lt;=30,"Due Soon","Scheduled")))</x:f>
      </x:c>
    </x:row>
    <x:row r="81">
      <x:c r="A81" t="n">
        <x:f>'Vendor Inventory'!A81</x:f>
        <x:v>0</x:v>
      </x:c>
      <x:c r="B81" t="n">
        <x:f>'Vendor Inventory'!B81</x:f>
        <x:v>0</x:v>
      </x:c>
      <x:c r="C81" s="18" t="n">
        <x:f>'Vendor Inventory'!J81</x:f>
        <x:v>0</x:v>
      </x:c>
      <x:c r="D81" s="18" t="n">
        <x:f>'Vendor Inventory'!M81</x:f>
        <x:v>0</x:v>
      </x:c>
      <x:c r="E81" s="24" t="str">
        <x:f>IF(D81="","",D81-TODAY())</x:f>
      </x:c>
      <x:c r="F81" t="n">
        <x:f>'Vendor Inventory'!D81</x:f>
        <x:v>0</x:v>
      </x:c>
      <x:c r="G81" t="str">
        <x:f>IF(D81="","",IF(E81&lt;0,"Overdue",IF(E81&lt;=30,"Due Soon","Scheduled")))</x:f>
      </x:c>
    </x:row>
    <x:row r="82">
      <x:c r="A82" t="n">
        <x:f>'Vendor Inventory'!A82</x:f>
        <x:v>0</x:v>
      </x:c>
      <x:c r="B82" t="n">
        <x:f>'Vendor Inventory'!B82</x:f>
        <x:v>0</x:v>
      </x:c>
      <x:c r="C82" s="18" t="n">
        <x:f>'Vendor Inventory'!J82</x:f>
        <x:v>0</x:v>
      </x:c>
      <x:c r="D82" s="18" t="n">
        <x:f>'Vendor Inventory'!M82</x:f>
        <x:v>0</x:v>
      </x:c>
      <x:c r="E82" s="24" t="str">
        <x:f>IF(D82="","",D82-TODAY())</x:f>
      </x:c>
      <x:c r="F82" t="n">
        <x:f>'Vendor Inventory'!D82</x:f>
        <x:v>0</x:v>
      </x:c>
      <x:c r="G82" t="str">
        <x:f>IF(D82="","",IF(E82&lt;0,"Overdue",IF(E82&lt;=30,"Due Soon","Scheduled")))</x:f>
      </x:c>
    </x:row>
    <x:row r="83">
      <x:c r="A83" t="n">
        <x:f>'Vendor Inventory'!A83</x:f>
        <x:v>0</x:v>
      </x:c>
      <x:c r="B83" t="n">
        <x:f>'Vendor Inventory'!B83</x:f>
        <x:v>0</x:v>
      </x:c>
      <x:c r="C83" s="18" t="n">
        <x:f>'Vendor Inventory'!J83</x:f>
        <x:v>0</x:v>
      </x:c>
      <x:c r="D83" s="18" t="n">
        <x:f>'Vendor Inventory'!M83</x:f>
        <x:v>0</x:v>
      </x:c>
      <x:c r="E83" s="24" t="str">
        <x:f>IF(D83="","",D83-TODAY())</x:f>
      </x:c>
      <x:c r="F83" t="n">
        <x:f>'Vendor Inventory'!D83</x:f>
        <x:v>0</x:v>
      </x:c>
      <x:c r="G83" t="str">
        <x:f>IF(D83="","",IF(E83&lt;0,"Overdue",IF(E83&lt;=30,"Due Soon","Scheduled")))</x:f>
      </x:c>
    </x:row>
    <x:row r="84">
      <x:c r="A84" t="n">
        <x:f>'Vendor Inventory'!A84</x:f>
        <x:v>0</x:v>
      </x:c>
      <x:c r="B84" t="n">
        <x:f>'Vendor Inventory'!B84</x:f>
        <x:v>0</x:v>
      </x:c>
      <x:c r="C84" s="18" t="n">
        <x:f>'Vendor Inventory'!J84</x:f>
        <x:v>0</x:v>
      </x:c>
      <x:c r="D84" s="18" t="n">
        <x:f>'Vendor Inventory'!M84</x:f>
        <x:v>0</x:v>
      </x:c>
      <x:c r="E84" s="24" t="str">
        <x:f>IF(D84="","",D84-TODAY())</x:f>
      </x:c>
      <x:c r="F84" t="n">
        <x:f>'Vendor Inventory'!D84</x:f>
        <x:v>0</x:v>
      </x:c>
      <x:c r="G84" t="str">
        <x:f>IF(D84="","",IF(E84&lt;0,"Overdue",IF(E84&lt;=30,"Due Soon","Scheduled")))</x:f>
      </x:c>
    </x:row>
    <x:row r="85">
      <x:c r="A85" t="n">
        <x:f>'Vendor Inventory'!A85</x:f>
        <x:v>0</x:v>
      </x:c>
      <x:c r="B85" t="n">
        <x:f>'Vendor Inventory'!B85</x:f>
        <x:v>0</x:v>
      </x:c>
      <x:c r="C85" s="18" t="n">
        <x:f>'Vendor Inventory'!J85</x:f>
        <x:v>0</x:v>
      </x:c>
      <x:c r="D85" s="18" t="n">
        <x:f>'Vendor Inventory'!M85</x:f>
        <x:v>0</x:v>
      </x:c>
      <x:c r="E85" s="24" t="str">
        <x:f>IF(D85="","",D85-TODAY())</x:f>
      </x:c>
      <x:c r="F85" t="n">
        <x:f>'Vendor Inventory'!D85</x:f>
        <x:v>0</x:v>
      </x:c>
      <x:c r="G85" t="str">
        <x:f>IF(D85="","",IF(E85&lt;0,"Overdue",IF(E85&lt;=30,"Due Soon","Scheduled")))</x:f>
      </x:c>
    </x:row>
    <x:row r="86">
      <x:c r="A86" t="n">
        <x:f>'Vendor Inventory'!A86</x:f>
        <x:v>0</x:v>
      </x:c>
      <x:c r="B86" t="n">
        <x:f>'Vendor Inventory'!B86</x:f>
        <x:v>0</x:v>
      </x:c>
      <x:c r="C86" s="18" t="n">
        <x:f>'Vendor Inventory'!J86</x:f>
        <x:v>0</x:v>
      </x:c>
      <x:c r="D86" s="18" t="n">
        <x:f>'Vendor Inventory'!M86</x:f>
        <x:v>0</x:v>
      </x:c>
      <x:c r="E86" s="24" t="str">
        <x:f>IF(D86="","",D86-TODAY())</x:f>
      </x:c>
      <x:c r="F86" t="n">
        <x:f>'Vendor Inventory'!D86</x:f>
        <x:v>0</x:v>
      </x:c>
      <x:c r="G86" t="str">
        <x:f>IF(D86="","",IF(E86&lt;0,"Overdue",IF(E86&lt;=30,"Due Soon","Scheduled")))</x:f>
      </x:c>
    </x:row>
    <x:row r="87">
      <x:c r="A87" t="n">
        <x:f>'Vendor Inventory'!A87</x:f>
        <x:v>0</x:v>
      </x:c>
      <x:c r="B87" t="n">
        <x:f>'Vendor Inventory'!B87</x:f>
        <x:v>0</x:v>
      </x:c>
      <x:c r="C87" s="18" t="n">
        <x:f>'Vendor Inventory'!J87</x:f>
        <x:v>0</x:v>
      </x:c>
      <x:c r="D87" s="18" t="n">
        <x:f>'Vendor Inventory'!M87</x:f>
        <x:v>0</x:v>
      </x:c>
      <x:c r="E87" s="24" t="str">
        <x:f>IF(D87="","",D87-TODAY())</x:f>
      </x:c>
      <x:c r="F87" t="n">
        <x:f>'Vendor Inventory'!D87</x:f>
        <x:v>0</x:v>
      </x:c>
      <x:c r="G87" t="str">
        <x:f>IF(D87="","",IF(E87&lt;0,"Overdue",IF(E87&lt;=30,"Due Soon","Scheduled")))</x:f>
      </x:c>
    </x:row>
    <x:row r="88">
      <x:c r="A88" t="n">
        <x:f>'Vendor Inventory'!A88</x:f>
        <x:v>0</x:v>
      </x:c>
      <x:c r="B88" t="n">
        <x:f>'Vendor Inventory'!B88</x:f>
        <x:v>0</x:v>
      </x:c>
      <x:c r="C88" s="18" t="n">
        <x:f>'Vendor Inventory'!J88</x:f>
        <x:v>0</x:v>
      </x:c>
      <x:c r="D88" s="18" t="n">
        <x:f>'Vendor Inventory'!M88</x:f>
        <x:v>0</x:v>
      </x:c>
      <x:c r="E88" s="24" t="str">
        <x:f>IF(D88="","",D88-TODAY())</x:f>
      </x:c>
      <x:c r="F88" t="n">
        <x:f>'Vendor Inventory'!D88</x:f>
        <x:v>0</x:v>
      </x:c>
      <x:c r="G88" t="str">
        <x:f>IF(D88="","",IF(E88&lt;0,"Overdue",IF(E88&lt;=30,"Due Soon","Scheduled")))</x:f>
      </x:c>
    </x:row>
    <x:row r="89">
      <x:c r="A89" t="n">
        <x:f>'Vendor Inventory'!A89</x:f>
        <x:v>0</x:v>
      </x:c>
      <x:c r="B89" t="n">
        <x:f>'Vendor Inventory'!B89</x:f>
        <x:v>0</x:v>
      </x:c>
      <x:c r="C89" s="18" t="n">
        <x:f>'Vendor Inventory'!J89</x:f>
        <x:v>0</x:v>
      </x:c>
      <x:c r="D89" s="18" t="n">
        <x:f>'Vendor Inventory'!M89</x:f>
        <x:v>0</x:v>
      </x:c>
      <x:c r="E89" s="24" t="str">
        <x:f>IF(D89="","",D89-TODAY())</x:f>
      </x:c>
      <x:c r="F89" t="n">
        <x:f>'Vendor Inventory'!D89</x:f>
        <x:v>0</x:v>
      </x:c>
      <x:c r="G89" t="str">
        <x:f>IF(D89="","",IF(E89&lt;0,"Overdue",IF(E89&lt;=30,"Due Soon","Scheduled")))</x:f>
      </x:c>
    </x:row>
    <x:row r="90">
      <x:c r="A90" t="n">
        <x:f>'Vendor Inventory'!A90</x:f>
        <x:v>0</x:v>
      </x:c>
      <x:c r="B90" t="n">
        <x:f>'Vendor Inventory'!B90</x:f>
        <x:v>0</x:v>
      </x:c>
      <x:c r="C90" s="18" t="n">
        <x:f>'Vendor Inventory'!J90</x:f>
        <x:v>0</x:v>
      </x:c>
      <x:c r="D90" s="18" t="n">
        <x:f>'Vendor Inventory'!M90</x:f>
        <x:v>0</x:v>
      </x:c>
      <x:c r="E90" s="24" t="str">
        <x:f>IF(D90="","",D90-TODAY())</x:f>
      </x:c>
      <x:c r="F90" t="n">
        <x:f>'Vendor Inventory'!D90</x:f>
        <x:v>0</x:v>
      </x:c>
      <x:c r="G90" t="str">
        <x:f>IF(D90="","",IF(E90&lt;0,"Overdue",IF(E90&lt;=30,"Due Soon","Scheduled")))</x:f>
      </x:c>
    </x:row>
    <x:row r="91">
      <x:c r="A91" t="n">
        <x:f>'Vendor Inventory'!A91</x:f>
        <x:v>0</x:v>
      </x:c>
      <x:c r="B91" t="n">
        <x:f>'Vendor Inventory'!B91</x:f>
        <x:v>0</x:v>
      </x:c>
      <x:c r="C91" s="18" t="n">
        <x:f>'Vendor Inventory'!J91</x:f>
        <x:v>0</x:v>
      </x:c>
      <x:c r="D91" s="18" t="n">
        <x:f>'Vendor Inventory'!M91</x:f>
        <x:v>0</x:v>
      </x:c>
      <x:c r="E91" s="24" t="str">
        <x:f>IF(D91="","",D91-TODAY())</x:f>
      </x:c>
      <x:c r="F91" t="n">
        <x:f>'Vendor Inventory'!D91</x:f>
        <x:v>0</x:v>
      </x:c>
      <x:c r="G91" t="str">
        <x:f>IF(D91="","",IF(E91&lt;0,"Overdue",IF(E91&lt;=30,"Due Soon","Scheduled")))</x:f>
      </x:c>
    </x:row>
    <x:row r="92">
      <x:c r="A92" t="n">
        <x:f>'Vendor Inventory'!A92</x:f>
        <x:v>0</x:v>
      </x:c>
      <x:c r="B92" t="n">
        <x:f>'Vendor Inventory'!B92</x:f>
        <x:v>0</x:v>
      </x:c>
      <x:c r="C92" s="18" t="n">
        <x:f>'Vendor Inventory'!J92</x:f>
        <x:v>0</x:v>
      </x:c>
      <x:c r="D92" s="18" t="n">
        <x:f>'Vendor Inventory'!M92</x:f>
        <x:v>0</x:v>
      </x:c>
      <x:c r="E92" s="24" t="str">
        <x:f>IF(D92="","",D92-TODAY())</x:f>
      </x:c>
      <x:c r="F92" t="n">
        <x:f>'Vendor Inventory'!D92</x:f>
        <x:v>0</x:v>
      </x:c>
      <x:c r="G92" t="str">
        <x:f>IF(D92="","",IF(E92&lt;0,"Overdue",IF(E92&lt;=30,"Due Soon","Scheduled")))</x:f>
      </x:c>
    </x:row>
    <x:row r="93">
      <x:c r="A93" t="n">
        <x:f>'Vendor Inventory'!A93</x:f>
        <x:v>0</x:v>
      </x:c>
      <x:c r="B93" t="n">
        <x:f>'Vendor Inventory'!B93</x:f>
        <x:v>0</x:v>
      </x:c>
      <x:c r="C93" s="18" t="n">
        <x:f>'Vendor Inventory'!J93</x:f>
        <x:v>0</x:v>
      </x:c>
      <x:c r="D93" s="18" t="n">
        <x:f>'Vendor Inventory'!M93</x:f>
        <x:v>0</x:v>
      </x:c>
      <x:c r="E93" s="24" t="str">
        <x:f>IF(D93="","",D93-TODAY())</x:f>
      </x:c>
      <x:c r="F93" t="n">
        <x:f>'Vendor Inventory'!D93</x:f>
        <x:v>0</x:v>
      </x:c>
      <x:c r="G93" t="str">
        <x:f>IF(D93="","",IF(E93&lt;0,"Overdue",IF(E93&lt;=30,"Due Soon","Scheduled")))</x:f>
      </x:c>
    </x:row>
    <x:row r="94">
      <x:c r="A94" t="n">
        <x:f>'Vendor Inventory'!A94</x:f>
        <x:v>0</x:v>
      </x:c>
      <x:c r="B94" t="n">
        <x:f>'Vendor Inventory'!B94</x:f>
        <x:v>0</x:v>
      </x:c>
      <x:c r="C94" s="18" t="n">
        <x:f>'Vendor Inventory'!J94</x:f>
        <x:v>0</x:v>
      </x:c>
      <x:c r="D94" s="18" t="n">
        <x:f>'Vendor Inventory'!M94</x:f>
        <x:v>0</x:v>
      </x:c>
      <x:c r="E94" s="24" t="str">
        <x:f>IF(D94="","",D94-TODAY())</x:f>
      </x:c>
      <x:c r="F94" t="n">
        <x:f>'Vendor Inventory'!D94</x:f>
        <x:v>0</x:v>
      </x:c>
      <x:c r="G94" t="str">
        <x:f>IF(D94="","",IF(E94&lt;0,"Overdue",IF(E94&lt;=30,"Due Soon","Scheduled")))</x:f>
      </x:c>
    </x:row>
    <x:row r="95">
      <x:c r="A95" t="n">
        <x:f>'Vendor Inventory'!A95</x:f>
        <x:v>0</x:v>
      </x:c>
      <x:c r="B95" t="n">
        <x:f>'Vendor Inventory'!B95</x:f>
        <x:v>0</x:v>
      </x:c>
      <x:c r="C95" s="18" t="n">
        <x:f>'Vendor Inventory'!J95</x:f>
        <x:v>0</x:v>
      </x:c>
      <x:c r="D95" s="18" t="n">
        <x:f>'Vendor Inventory'!M95</x:f>
        <x:v>0</x:v>
      </x:c>
      <x:c r="E95" s="24" t="str">
        <x:f>IF(D95="","",D95-TODAY())</x:f>
      </x:c>
      <x:c r="F95" t="n">
        <x:f>'Vendor Inventory'!D95</x:f>
        <x:v>0</x:v>
      </x:c>
      <x:c r="G95" t="str">
        <x:f>IF(D95="","",IF(E95&lt;0,"Overdue",IF(E95&lt;=30,"Due Soon","Scheduled")))</x:f>
      </x:c>
    </x:row>
    <x:row r="96">
      <x:c r="A96" t="n">
        <x:f>'Vendor Inventory'!A96</x:f>
        <x:v>0</x:v>
      </x:c>
      <x:c r="B96" t="n">
        <x:f>'Vendor Inventory'!B96</x:f>
        <x:v>0</x:v>
      </x:c>
      <x:c r="C96" s="18" t="n">
        <x:f>'Vendor Inventory'!J96</x:f>
        <x:v>0</x:v>
      </x:c>
      <x:c r="D96" s="18" t="n">
        <x:f>'Vendor Inventory'!M96</x:f>
        <x:v>0</x:v>
      </x:c>
      <x:c r="E96" s="24" t="str">
        <x:f>IF(D96="","",D96-TODAY())</x:f>
      </x:c>
      <x:c r="F96" t="n">
        <x:f>'Vendor Inventory'!D96</x:f>
        <x:v>0</x:v>
      </x:c>
      <x:c r="G96" t="str">
        <x:f>IF(D96="","",IF(E96&lt;0,"Overdue",IF(E96&lt;=30,"Due Soon","Scheduled")))</x:f>
      </x:c>
    </x:row>
    <x:row r="97">
      <x:c r="A97" t="n">
        <x:f>'Vendor Inventory'!A97</x:f>
        <x:v>0</x:v>
      </x:c>
      <x:c r="B97" t="n">
        <x:f>'Vendor Inventory'!B97</x:f>
        <x:v>0</x:v>
      </x:c>
      <x:c r="C97" s="18" t="n">
        <x:f>'Vendor Inventory'!J97</x:f>
        <x:v>0</x:v>
      </x:c>
      <x:c r="D97" s="18" t="n">
        <x:f>'Vendor Inventory'!M97</x:f>
        <x:v>0</x:v>
      </x:c>
      <x:c r="E97" s="24" t="str">
        <x:f>IF(D97="","",D97-TODAY())</x:f>
      </x:c>
      <x:c r="F97" t="n">
        <x:f>'Vendor Inventory'!D97</x:f>
        <x:v>0</x:v>
      </x:c>
      <x:c r="G97" t="str">
        <x:f>IF(D97="","",IF(E97&lt;0,"Overdue",IF(E97&lt;=30,"Due Soon","Scheduled")))</x:f>
      </x:c>
    </x:row>
    <x:row r="98">
      <x:c r="A98" t="n">
        <x:f>'Vendor Inventory'!A98</x:f>
        <x:v>0</x:v>
      </x:c>
      <x:c r="B98" t="n">
        <x:f>'Vendor Inventory'!B98</x:f>
        <x:v>0</x:v>
      </x:c>
      <x:c r="C98" s="18" t="n">
        <x:f>'Vendor Inventory'!J98</x:f>
        <x:v>0</x:v>
      </x:c>
      <x:c r="D98" s="18" t="n">
        <x:f>'Vendor Inventory'!M98</x:f>
        <x:v>0</x:v>
      </x:c>
      <x:c r="E98" s="24" t="str">
        <x:f>IF(D98="","",D98-TODAY())</x:f>
      </x:c>
      <x:c r="F98" t="n">
        <x:f>'Vendor Inventory'!D98</x:f>
        <x:v>0</x:v>
      </x:c>
      <x:c r="G98" t="str">
        <x:f>IF(D98="","",IF(E98&lt;0,"Overdue",IF(E98&lt;=30,"Due Soon","Scheduled")))</x:f>
      </x:c>
    </x:row>
    <x:row r="99">
      <x:c r="A99" t="n">
        <x:f>'Vendor Inventory'!A99</x:f>
        <x:v>0</x:v>
      </x:c>
      <x:c r="B99" t="n">
        <x:f>'Vendor Inventory'!B99</x:f>
        <x:v>0</x:v>
      </x:c>
      <x:c r="C99" s="18" t="n">
        <x:f>'Vendor Inventory'!J99</x:f>
        <x:v>0</x:v>
      </x:c>
      <x:c r="D99" s="18" t="n">
        <x:f>'Vendor Inventory'!M99</x:f>
        <x:v>0</x:v>
      </x:c>
      <x:c r="E99" s="24" t="str">
        <x:f>IF(D99="","",D99-TODAY())</x:f>
      </x:c>
      <x:c r="F99" t="n">
        <x:f>'Vendor Inventory'!D99</x:f>
        <x:v>0</x:v>
      </x:c>
      <x:c r="G99" t="str">
        <x:f>IF(D99="","",IF(E99&lt;0,"Overdue",IF(E99&lt;=30,"Due Soon","Scheduled")))</x:f>
      </x:c>
    </x:row>
    <x:row r="100">
      <x:c r="A100" t="n">
        <x:f>'Vendor Inventory'!A100</x:f>
        <x:v>0</x:v>
      </x:c>
      <x:c r="B100" t="n">
        <x:f>'Vendor Inventory'!B100</x:f>
        <x:v>0</x:v>
      </x:c>
      <x:c r="C100" s="18" t="n">
        <x:f>'Vendor Inventory'!J100</x:f>
        <x:v>0</x:v>
      </x:c>
      <x:c r="D100" s="18" t="n">
        <x:f>'Vendor Inventory'!M100</x:f>
        <x:v>0</x:v>
      </x:c>
      <x:c r="E100" s="24" t="str">
        <x:f>IF(D100="","",D100-TODAY())</x:f>
      </x:c>
      <x:c r="F100" t="n">
        <x:f>'Vendor Inventory'!D100</x:f>
        <x:v>0</x:v>
      </x:c>
      <x:c r="G100" t="str">
        <x:f>IF(D100="","",IF(E100&lt;0,"Overdue",IF(E100&lt;=30,"Due Soon","Scheduled")))</x:f>
      </x:c>
    </x:row>
    <x:row r="101">
      <x:c r="A101" t="n">
        <x:f>'Vendor Inventory'!A101</x:f>
        <x:v>0</x:v>
      </x:c>
      <x:c r="B101" t="n">
        <x:f>'Vendor Inventory'!B101</x:f>
        <x:v>0</x:v>
      </x:c>
      <x:c r="C101" s="18" t="n">
        <x:f>'Vendor Inventory'!J101</x:f>
        <x:v>0</x:v>
      </x:c>
      <x:c r="D101" s="18" t="n">
        <x:f>'Vendor Inventory'!M101</x:f>
        <x:v>0</x:v>
      </x:c>
      <x:c r="E101" s="24" t="str">
        <x:f>IF(D101="","",D101-TODAY())</x:f>
      </x:c>
      <x:c r="F101" t="n">
        <x:f>'Vendor Inventory'!D101</x:f>
        <x:v>0</x:v>
      </x:c>
      <x:c r="G101" t="str">
        <x:f>IF(D101="","",IF(E101&lt;0,"Overdue",IF(E101&lt;=30,"Due Soon","Scheduled")))</x:f>
      </x:c>
    </x:row>
    <x:row r="102">
      <x:c r="A102" t="n">
        <x:f>'Vendor Inventory'!A102</x:f>
        <x:v>0</x:v>
      </x:c>
      <x:c r="B102" t="n">
        <x:f>'Vendor Inventory'!B102</x:f>
        <x:v>0</x:v>
      </x:c>
      <x:c r="C102" s="18" t="n">
        <x:f>'Vendor Inventory'!J102</x:f>
        <x:v>0</x:v>
      </x:c>
      <x:c r="D102" s="18" t="n">
        <x:f>'Vendor Inventory'!M102</x:f>
        <x:v>0</x:v>
      </x:c>
      <x:c r="E102" s="24" t="str">
        <x:f>IF(D102="","",D102-TODAY())</x:f>
      </x:c>
      <x:c r="F102" t="n">
        <x:f>'Vendor Inventory'!D102</x:f>
        <x:v>0</x:v>
      </x:c>
      <x:c r="G102" t="str">
        <x:f>IF(D102="","",IF(E102&lt;0,"Overdue",IF(E102&lt;=30,"Due Soon","Scheduled")))</x:f>
      </x:c>
    </x:row>
    <x:row r="103">
      <x:c r="A103" t="n">
        <x:f>'Vendor Inventory'!A103</x:f>
        <x:v>0</x:v>
      </x:c>
      <x:c r="B103" t="n">
        <x:f>'Vendor Inventory'!B103</x:f>
        <x:v>0</x:v>
      </x:c>
      <x:c r="C103" s="18" t="n">
        <x:f>'Vendor Inventory'!J103</x:f>
        <x:v>0</x:v>
      </x:c>
      <x:c r="D103" s="18" t="n">
        <x:f>'Vendor Inventory'!M103</x:f>
        <x:v>0</x:v>
      </x:c>
      <x:c r="E103" s="24" t="str">
        <x:f>IF(D103="","",D103-TODAY())</x:f>
      </x:c>
      <x:c r="F103" t="n">
        <x:f>'Vendor Inventory'!D103</x:f>
        <x:v>0</x:v>
      </x:c>
      <x:c r="G103" t="str">
        <x:f>IF(D103="","",IF(E103&lt;0,"Overdue",IF(E103&lt;=30,"Due Soon","Scheduled")))</x:f>
      </x:c>
    </x:row>
    <x:row r="104">
      <x:c r="A104" t="n">
        <x:f>'Vendor Inventory'!A104</x:f>
        <x:v>0</x:v>
      </x:c>
      <x:c r="B104" t="n">
        <x:f>'Vendor Inventory'!B104</x:f>
        <x:v>0</x:v>
      </x:c>
      <x:c r="C104" s="18" t="n">
        <x:f>'Vendor Inventory'!J104</x:f>
        <x:v>0</x:v>
      </x:c>
      <x:c r="D104" s="18" t="n">
        <x:f>'Vendor Inventory'!M104</x:f>
        <x:v>0</x:v>
      </x:c>
      <x:c r="E104" s="24" t="str">
        <x:f>IF(D104="","",D104-TODAY())</x:f>
      </x:c>
      <x:c r="F104" t="n">
        <x:f>'Vendor Inventory'!D104</x:f>
        <x:v>0</x:v>
      </x:c>
      <x:c r="G104" t="str">
        <x:f>IF(D104="","",IF(E104&lt;0,"Overdue",IF(E104&lt;=30,"Due Soon","Scheduled")))</x:f>
      </x:c>
    </x:row>
    <x:row r="105">
      <x:c r="A105" t="n">
        <x:f>'Vendor Inventory'!A105</x:f>
        <x:v>0</x:v>
      </x:c>
      <x:c r="B105" t="n">
        <x:f>'Vendor Inventory'!B105</x:f>
        <x:v>0</x:v>
      </x:c>
      <x:c r="C105" s="18" t="n">
        <x:f>'Vendor Inventory'!J105</x:f>
        <x:v>0</x:v>
      </x:c>
      <x:c r="D105" s="18" t="n">
        <x:f>'Vendor Inventory'!M105</x:f>
        <x:v>0</x:v>
      </x:c>
      <x:c r="E105" s="24" t="str">
        <x:f>IF(D105="","",D105-TODAY())</x:f>
      </x:c>
      <x:c r="F105" t="n">
        <x:f>'Vendor Inventory'!D105</x:f>
        <x:v>0</x:v>
      </x:c>
      <x:c r="G105" t="str">
        <x:f>IF(D105="","",IF(E105&lt;0,"Overdue",IF(E105&lt;=30,"Due Soon","Scheduled")))</x:f>
      </x:c>
    </x:row>
    <x:row r="106">
      <x:c r="A106" t="n">
        <x:f>'Vendor Inventory'!A106</x:f>
        <x:v>0</x:v>
      </x:c>
      <x:c r="B106" t="n">
        <x:f>'Vendor Inventory'!B106</x:f>
        <x:v>0</x:v>
      </x:c>
      <x:c r="C106" s="18" t="n">
        <x:f>'Vendor Inventory'!J106</x:f>
        <x:v>0</x:v>
      </x:c>
      <x:c r="D106" s="18" t="n">
        <x:f>'Vendor Inventory'!M106</x:f>
        <x:v>0</x:v>
      </x:c>
      <x:c r="E106" s="24" t="str">
        <x:f>IF(D106="","",D106-TODAY())</x:f>
      </x:c>
      <x:c r="F106" t="n">
        <x:f>'Vendor Inventory'!D106</x:f>
        <x:v>0</x:v>
      </x:c>
      <x:c r="G106" t="str">
        <x:f>IF(D106="","",IF(E106&lt;0,"Overdue",IF(E106&lt;=30,"Due Soon","Scheduled")))</x:f>
      </x:c>
    </x:row>
    <x:row r="107">
      <x:c r="A107" t="n">
        <x:f>'Vendor Inventory'!A107</x:f>
        <x:v>0</x:v>
      </x:c>
      <x:c r="B107" t="n">
        <x:f>'Vendor Inventory'!B107</x:f>
        <x:v>0</x:v>
      </x:c>
      <x:c r="C107" s="18" t="n">
        <x:f>'Vendor Inventory'!J107</x:f>
        <x:v>0</x:v>
      </x:c>
      <x:c r="D107" s="18" t="n">
        <x:f>'Vendor Inventory'!M107</x:f>
        <x:v>0</x:v>
      </x:c>
      <x:c r="E107" s="24" t="str">
        <x:f>IF(D107="","",D107-TODAY())</x:f>
      </x:c>
      <x:c r="F107" t="n">
        <x:f>'Vendor Inventory'!D107</x:f>
        <x:v>0</x:v>
      </x:c>
      <x:c r="G107" t="str">
        <x:f>IF(D107="","",IF(E107&lt;0,"Overdue",IF(E107&lt;=30,"Due Soon","Scheduled")))</x:f>
      </x:c>
    </x:row>
    <x:row r="108">
      <x:c r="A108" t="n">
        <x:f>'Vendor Inventory'!A108</x:f>
        <x:v>0</x:v>
      </x:c>
      <x:c r="B108" t="n">
        <x:f>'Vendor Inventory'!B108</x:f>
        <x:v>0</x:v>
      </x:c>
      <x:c r="C108" s="18" t="n">
        <x:f>'Vendor Inventory'!J108</x:f>
        <x:v>0</x:v>
      </x:c>
      <x:c r="D108" s="18" t="n">
        <x:f>'Vendor Inventory'!M108</x:f>
        <x:v>0</x:v>
      </x:c>
      <x:c r="E108" s="24" t="str">
        <x:f>IF(D108="","",D108-TODAY())</x:f>
      </x:c>
      <x:c r="F108" t="n">
        <x:f>'Vendor Inventory'!D108</x:f>
        <x:v>0</x:v>
      </x:c>
      <x:c r="G108" t="str">
        <x:f>IF(D108="","",IF(E108&lt;0,"Overdue",IF(E108&lt;=30,"Due Soon","Scheduled")))</x:f>
      </x:c>
    </x:row>
    <x:row r="109">
      <x:c r="A109" t="n">
        <x:f>'Vendor Inventory'!A109</x:f>
        <x:v>0</x:v>
      </x:c>
      <x:c r="B109" t="n">
        <x:f>'Vendor Inventory'!B109</x:f>
        <x:v>0</x:v>
      </x:c>
      <x:c r="C109" s="18" t="n">
        <x:f>'Vendor Inventory'!J109</x:f>
        <x:v>0</x:v>
      </x:c>
      <x:c r="D109" s="18" t="n">
        <x:f>'Vendor Inventory'!M109</x:f>
        <x:v>0</x:v>
      </x:c>
      <x:c r="E109" s="24" t="str">
        <x:f>IF(D109="","",D109-TODAY())</x:f>
      </x:c>
      <x:c r="F109" t="n">
        <x:f>'Vendor Inventory'!D109</x:f>
        <x:v>0</x:v>
      </x:c>
      <x:c r="G109" t="str">
        <x:f>IF(D109="","",IF(E109&lt;0,"Overdue",IF(E109&lt;=30,"Due Soon","Scheduled")))</x:f>
      </x:c>
    </x:row>
    <x:row r="110">
      <x:c r="A110" t="n">
        <x:f>'Vendor Inventory'!A110</x:f>
        <x:v>0</x:v>
      </x:c>
      <x:c r="B110" t="n">
        <x:f>'Vendor Inventory'!B110</x:f>
        <x:v>0</x:v>
      </x:c>
      <x:c r="C110" s="18" t="n">
        <x:f>'Vendor Inventory'!J110</x:f>
        <x:v>0</x:v>
      </x:c>
      <x:c r="D110" s="18" t="n">
        <x:f>'Vendor Inventory'!M110</x:f>
        <x:v>0</x:v>
      </x:c>
      <x:c r="E110" s="24" t="str">
        <x:f>IF(D110="","",D110-TODAY())</x:f>
      </x:c>
      <x:c r="F110" t="n">
        <x:f>'Vendor Inventory'!D110</x:f>
        <x:v>0</x:v>
      </x:c>
      <x:c r="G110" t="str">
        <x:f>IF(D110="","",IF(E110&lt;0,"Overdue",IF(E110&lt;=30,"Due Soon","Scheduled")))</x:f>
      </x:c>
    </x:row>
    <x:row r="111">
      <x:c r="A111" t="n">
        <x:f>'Vendor Inventory'!A111</x:f>
        <x:v>0</x:v>
      </x:c>
      <x:c r="B111" t="n">
        <x:f>'Vendor Inventory'!B111</x:f>
        <x:v>0</x:v>
      </x:c>
      <x:c r="C111" s="18" t="n">
        <x:f>'Vendor Inventory'!J111</x:f>
        <x:v>0</x:v>
      </x:c>
      <x:c r="D111" s="18" t="n">
        <x:f>'Vendor Inventory'!M111</x:f>
        <x:v>0</x:v>
      </x:c>
      <x:c r="E111" s="24" t="str">
        <x:f>IF(D111="","",D111-TODAY())</x:f>
      </x:c>
      <x:c r="F111" t="n">
        <x:f>'Vendor Inventory'!D111</x:f>
        <x:v>0</x:v>
      </x:c>
      <x:c r="G111" t="str">
        <x:f>IF(D111="","",IF(E111&lt;0,"Overdue",IF(E111&lt;=30,"Due Soon","Scheduled")))</x:f>
      </x:c>
    </x:row>
    <x:row r="112">
      <x:c r="A112" t="n">
        <x:f>'Vendor Inventory'!A112</x:f>
        <x:v>0</x:v>
      </x:c>
      <x:c r="B112" t="n">
        <x:f>'Vendor Inventory'!B112</x:f>
        <x:v>0</x:v>
      </x:c>
      <x:c r="C112" s="18" t="n">
        <x:f>'Vendor Inventory'!J112</x:f>
        <x:v>0</x:v>
      </x:c>
      <x:c r="D112" s="18" t="n">
        <x:f>'Vendor Inventory'!M112</x:f>
        <x:v>0</x:v>
      </x:c>
      <x:c r="E112" s="24" t="str">
        <x:f>IF(D112="","",D112-TODAY())</x:f>
      </x:c>
      <x:c r="F112" t="n">
        <x:f>'Vendor Inventory'!D112</x:f>
        <x:v>0</x:v>
      </x:c>
      <x:c r="G112" t="str">
        <x:f>IF(D112="","",IF(E112&lt;0,"Overdue",IF(E112&lt;=30,"Due Soon","Scheduled")))</x:f>
      </x:c>
    </x:row>
    <x:row r="113">
      <x:c r="A113" t="n">
        <x:f>'Vendor Inventory'!A113</x:f>
        <x:v>0</x:v>
      </x:c>
      <x:c r="B113" t="n">
        <x:f>'Vendor Inventory'!B113</x:f>
        <x:v>0</x:v>
      </x:c>
      <x:c r="C113" s="18" t="n">
        <x:f>'Vendor Inventory'!J113</x:f>
        <x:v>0</x:v>
      </x:c>
      <x:c r="D113" s="18" t="n">
        <x:f>'Vendor Inventory'!M113</x:f>
        <x:v>0</x:v>
      </x:c>
      <x:c r="E113" s="24" t="str">
        <x:f>IF(D113="","",D113-TODAY())</x:f>
      </x:c>
      <x:c r="F113" t="n">
        <x:f>'Vendor Inventory'!D113</x:f>
        <x:v>0</x:v>
      </x:c>
      <x:c r="G113" t="str">
        <x:f>IF(D113="","",IF(E113&lt;0,"Overdue",IF(E113&lt;=30,"Due Soon","Scheduled")))</x:f>
      </x:c>
    </x:row>
    <x:row r="114">
      <x:c r="A114" t="n">
        <x:f>'Vendor Inventory'!A114</x:f>
        <x:v>0</x:v>
      </x:c>
      <x:c r="B114" t="n">
        <x:f>'Vendor Inventory'!B114</x:f>
        <x:v>0</x:v>
      </x:c>
      <x:c r="C114" s="18" t="n">
        <x:f>'Vendor Inventory'!J114</x:f>
        <x:v>0</x:v>
      </x:c>
      <x:c r="D114" s="18" t="n">
        <x:f>'Vendor Inventory'!M114</x:f>
        <x:v>0</x:v>
      </x:c>
      <x:c r="E114" s="24" t="str">
        <x:f>IF(D114="","",D114-TODAY())</x:f>
      </x:c>
      <x:c r="F114" t="n">
        <x:f>'Vendor Inventory'!D114</x:f>
        <x:v>0</x:v>
      </x:c>
      <x:c r="G114" t="str">
        <x:f>IF(D114="","",IF(E114&lt;0,"Overdue",IF(E114&lt;=30,"Due Soon","Scheduled")))</x:f>
      </x:c>
    </x:row>
    <x:row r="115">
      <x:c r="A115" t="n">
        <x:f>'Vendor Inventory'!A115</x:f>
        <x:v>0</x:v>
      </x:c>
      <x:c r="B115" t="n">
        <x:f>'Vendor Inventory'!B115</x:f>
        <x:v>0</x:v>
      </x:c>
      <x:c r="C115" s="18" t="n">
        <x:f>'Vendor Inventory'!J115</x:f>
        <x:v>0</x:v>
      </x:c>
      <x:c r="D115" s="18" t="n">
        <x:f>'Vendor Inventory'!M115</x:f>
        <x:v>0</x:v>
      </x:c>
      <x:c r="E115" s="24" t="str">
        <x:f>IF(D115="","",D115-TODAY())</x:f>
      </x:c>
      <x:c r="F115" t="n">
        <x:f>'Vendor Inventory'!D115</x:f>
        <x:v>0</x:v>
      </x:c>
      <x:c r="G115" t="str">
        <x:f>IF(D115="","",IF(E115&lt;0,"Overdue",IF(E115&lt;=30,"Due Soon","Scheduled")))</x:f>
      </x:c>
    </x:row>
    <x:row r="116">
      <x:c r="A116" t="n">
        <x:f>'Vendor Inventory'!A116</x:f>
        <x:v>0</x:v>
      </x:c>
      <x:c r="B116" t="n">
        <x:f>'Vendor Inventory'!B116</x:f>
        <x:v>0</x:v>
      </x:c>
      <x:c r="C116" s="18" t="n">
        <x:f>'Vendor Inventory'!J116</x:f>
        <x:v>0</x:v>
      </x:c>
      <x:c r="D116" s="18" t="n">
        <x:f>'Vendor Inventory'!M116</x:f>
        <x:v>0</x:v>
      </x:c>
      <x:c r="E116" s="24" t="str">
        <x:f>IF(D116="","",D116-TODAY())</x:f>
      </x:c>
      <x:c r="F116" t="n">
        <x:f>'Vendor Inventory'!D116</x:f>
        <x:v>0</x:v>
      </x:c>
      <x:c r="G116" t="str">
        <x:f>IF(D116="","",IF(E116&lt;0,"Overdue",IF(E116&lt;=30,"Due Soon","Scheduled")))</x:f>
      </x:c>
    </x:row>
    <x:row r="117">
      <x:c r="A117" t="n">
        <x:f>'Vendor Inventory'!A117</x:f>
        <x:v>0</x:v>
      </x:c>
      <x:c r="B117" t="n">
        <x:f>'Vendor Inventory'!B117</x:f>
        <x:v>0</x:v>
      </x:c>
      <x:c r="C117" s="18" t="n">
        <x:f>'Vendor Inventory'!J117</x:f>
        <x:v>0</x:v>
      </x:c>
      <x:c r="D117" s="18" t="n">
        <x:f>'Vendor Inventory'!M117</x:f>
        <x:v>0</x:v>
      </x:c>
      <x:c r="E117" s="24" t="str">
        <x:f>IF(D117="","",D117-TODAY())</x:f>
      </x:c>
      <x:c r="F117" t="n">
        <x:f>'Vendor Inventory'!D117</x:f>
        <x:v>0</x:v>
      </x:c>
      <x:c r="G117" t="str">
        <x:f>IF(D117="","",IF(E117&lt;0,"Overdue",IF(E117&lt;=30,"Due Soon","Scheduled")))</x:f>
      </x:c>
    </x:row>
    <x:row r="118">
      <x:c r="A118" t="n">
        <x:f>'Vendor Inventory'!A118</x:f>
        <x:v>0</x:v>
      </x:c>
      <x:c r="B118" t="n">
        <x:f>'Vendor Inventory'!B118</x:f>
        <x:v>0</x:v>
      </x:c>
      <x:c r="C118" s="18" t="n">
        <x:f>'Vendor Inventory'!J118</x:f>
        <x:v>0</x:v>
      </x:c>
      <x:c r="D118" s="18" t="n">
        <x:f>'Vendor Inventory'!M118</x:f>
        <x:v>0</x:v>
      </x:c>
      <x:c r="E118" s="24" t="str">
        <x:f>IF(D118="","",D118-TODAY())</x:f>
      </x:c>
      <x:c r="F118" t="n">
        <x:f>'Vendor Inventory'!D118</x:f>
        <x:v>0</x:v>
      </x:c>
      <x:c r="G118" t="str">
        <x:f>IF(D118="","",IF(E118&lt;0,"Overdue",IF(E118&lt;=30,"Due Soon","Scheduled")))</x:f>
      </x:c>
    </x:row>
    <x:row r="119">
      <x:c r="A119" t="n">
        <x:f>'Vendor Inventory'!A119</x:f>
        <x:v>0</x:v>
      </x:c>
      <x:c r="B119" t="n">
        <x:f>'Vendor Inventory'!B119</x:f>
        <x:v>0</x:v>
      </x:c>
      <x:c r="C119" s="18" t="n">
        <x:f>'Vendor Inventory'!J119</x:f>
        <x:v>0</x:v>
      </x:c>
      <x:c r="D119" s="18" t="n">
        <x:f>'Vendor Inventory'!M119</x:f>
        <x:v>0</x:v>
      </x:c>
      <x:c r="E119" s="24" t="str">
        <x:f>IF(D119="","",D119-TODAY())</x:f>
      </x:c>
      <x:c r="F119" t="n">
        <x:f>'Vendor Inventory'!D119</x:f>
        <x:v>0</x:v>
      </x:c>
      <x:c r="G119" t="str">
        <x:f>IF(D119="","",IF(E119&lt;0,"Overdue",IF(E119&lt;=30,"Due Soon","Scheduled")))</x:f>
      </x:c>
    </x:row>
    <x:row r="120">
      <x:c r="A120" t="n">
        <x:f>'Vendor Inventory'!A120</x:f>
        <x:v>0</x:v>
      </x:c>
      <x:c r="B120" t="n">
        <x:f>'Vendor Inventory'!B120</x:f>
        <x:v>0</x:v>
      </x:c>
      <x:c r="C120" s="18" t="n">
        <x:f>'Vendor Inventory'!J120</x:f>
        <x:v>0</x:v>
      </x:c>
      <x:c r="D120" s="18" t="n">
        <x:f>'Vendor Inventory'!M120</x:f>
        <x:v>0</x:v>
      </x:c>
      <x:c r="E120" s="24" t="str">
        <x:f>IF(D120="","",D120-TODAY())</x:f>
      </x:c>
      <x:c r="F120" t="n">
        <x:f>'Vendor Inventory'!D120</x:f>
        <x:v>0</x:v>
      </x:c>
      <x:c r="G120" t="str">
        <x:f>IF(D120="","",IF(E120&lt;0,"Overdue",IF(E120&lt;=30,"Due Soon","Scheduled")))</x:f>
      </x:c>
    </x:row>
    <x:row r="121">
      <x:c r="A121" t="n">
        <x:f>'Vendor Inventory'!A121</x:f>
        <x:v>0</x:v>
      </x:c>
      <x:c r="B121" t="n">
        <x:f>'Vendor Inventory'!B121</x:f>
        <x:v>0</x:v>
      </x:c>
      <x:c r="C121" s="18" t="n">
        <x:f>'Vendor Inventory'!J121</x:f>
        <x:v>0</x:v>
      </x:c>
      <x:c r="D121" s="18" t="n">
        <x:f>'Vendor Inventory'!M121</x:f>
        <x:v>0</x:v>
      </x:c>
      <x:c r="E121" s="24" t="str">
        <x:f>IF(D121="","",D121-TODAY())</x:f>
      </x:c>
      <x:c r="F121" t="n">
        <x:f>'Vendor Inventory'!D121</x:f>
        <x:v>0</x:v>
      </x:c>
      <x:c r="G121" t="str">
        <x:f>IF(D121="","",IF(E121&lt;0,"Overdue",IF(E121&lt;=30,"Due Soon","Scheduled")))</x:f>
      </x:c>
    </x:row>
    <x:row r="122">
      <x:c r="A122" t="n">
        <x:f>'Vendor Inventory'!A122</x:f>
        <x:v>0</x:v>
      </x:c>
      <x:c r="B122" t="n">
        <x:f>'Vendor Inventory'!B122</x:f>
        <x:v>0</x:v>
      </x:c>
      <x:c r="C122" s="18" t="n">
        <x:f>'Vendor Inventory'!J122</x:f>
        <x:v>0</x:v>
      </x:c>
      <x:c r="D122" s="18" t="n">
        <x:f>'Vendor Inventory'!M122</x:f>
        <x:v>0</x:v>
      </x:c>
      <x:c r="E122" s="24" t="str">
        <x:f>IF(D122="","",D122-TODAY())</x:f>
      </x:c>
      <x:c r="F122" t="n">
        <x:f>'Vendor Inventory'!D122</x:f>
        <x:v>0</x:v>
      </x:c>
      <x:c r="G122" t="str">
        <x:f>IF(D122="","",IF(E122&lt;0,"Overdue",IF(E122&lt;=30,"Due Soon","Scheduled")))</x:f>
      </x:c>
    </x:row>
    <x:row r="123">
      <x:c r="A123" t="n">
        <x:f>'Vendor Inventory'!A123</x:f>
        <x:v>0</x:v>
      </x:c>
      <x:c r="B123" t="n">
        <x:f>'Vendor Inventory'!B123</x:f>
        <x:v>0</x:v>
      </x:c>
      <x:c r="C123" s="18" t="n">
        <x:f>'Vendor Inventory'!J123</x:f>
        <x:v>0</x:v>
      </x:c>
      <x:c r="D123" s="18" t="n">
        <x:f>'Vendor Inventory'!M123</x:f>
        <x:v>0</x:v>
      </x:c>
      <x:c r="E123" s="24" t="str">
        <x:f>IF(D123="","",D123-TODAY())</x:f>
      </x:c>
      <x:c r="F123" t="n">
        <x:f>'Vendor Inventory'!D123</x:f>
        <x:v>0</x:v>
      </x:c>
      <x:c r="G123" t="str">
        <x:f>IF(D123="","",IF(E123&lt;0,"Overdue",IF(E123&lt;=30,"Due Soon","Scheduled")))</x:f>
      </x:c>
    </x:row>
    <x:row r="124">
      <x:c r="A124" t="n">
        <x:f>'Vendor Inventory'!A124</x:f>
        <x:v>0</x:v>
      </x:c>
      <x:c r="B124" t="n">
        <x:f>'Vendor Inventory'!B124</x:f>
        <x:v>0</x:v>
      </x:c>
      <x:c r="C124" s="18" t="n">
        <x:f>'Vendor Inventory'!J124</x:f>
        <x:v>0</x:v>
      </x:c>
      <x:c r="D124" s="18" t="n">
        <x:f>'Vendor Inventory'!M124</x:f>
        <x:v>0</x:v>
      </x:c>
      <x:c r="E124" s="24" t="str">
        <x:f>IF(D124="","",D124-TODAY())</x:f>
      </x:c>
      <x:c r="F124" t="n">
        <x:f>'Vendor Inventory'!D124</x:f>
        <x:v>0</x:v>
      </x:c>
      <x:c r="G124" t="str">
        <x:f>IF(D124="","",IF(E124&lt;0,"Overdue",IF(E124&lt;=30,"Due Soon","Scheduled")))</x:f>
      </x:c>
    </x:row>
    <x:row r="125">
      <x:c r="A125" t="n">
        <x:f>'Vendor Inventory'!A125</x:f>
        <x:v>0</x:v>
      </x:c>
      <x:c r="B125" t="n">
        <x:f>'Vendor Inventory'!B125</x:f>
        <x:v>0</x:v>
      </x:c>
      <x:c r="C125" s="18" t="n">
        <x:f>'Vendor Inventory'!J125</x:f>
        <x:v>0</x:v>
      </x:c>
      <x:c r="D125" s="18" t="n">
        <x:f>'Vendor Inventory'!M125</x:f>
        <x:v>0</x:v>
      </x:c>
      <x:c r="E125" s="24" t="str">
        <x:f>IF(D125="","",D125-TODAY())</x:f>
      </x:c>
      <x:c r="F125" t="n">
        <x:f>'Vendor Inventory'!D125</x:f>
        <x:v>0</x:v>
      </x:c>
      <x:c r="G125" t="str">
        <x:f>IF(D125="","",IF(E125&lt;0,"Overdue",IF(E125&lt;=30,"Due Soon","Scheduled")))</x:f>
      </x:c>
    </x:row>
    <x:row r="126">
      <x:c r="A126" t="n">
        <x:f>'Vendor Inventory'!A126</x:f>
        <x:v>0</x:v>
      </x:c>
      <x:c r="B126" t="n">
        <x:f>'Vendor Inventory'!B126</x:f>
        <x:v>0</x:v>
      </x:c>
      <x:c r="C126" s="18" t="n">
        <x:f>'Vendor Inventory'!J126</x:f>
        <x:v>0</x:v>
      </x:c>
      <x:c r="D126" s="18" t="n">
        <x:f>'Vendor Inventory'!M126</x:f>
        <x:v>0</x:v>
      </x:c>
      <x:c r="E126" s="24" t="str">
        <x:f>IF(D126="","",D126-TODAY())</x:f>
      </x:c>
      <x:c r="F126" t="n">
        <x:f>'Vendor Inventory'!D126</x:f>
        <x:v>0</x:v>
      </x:c>
      <x:c r="G126" t="str">
        <x:f>IF(D126="","",IF(E126&lt;0,"Overdue",IF(E126&lt;=30,"Due Soon","Scheduled")))</x:f>
      </x:c>
    </x:row>
    <x:row r="127">
      <x:c r="A127" t="n">
        <x:f>'Vendor Inventory'!A127</x:f>
        <x:v>0</x:v>
      </x:c>
      <x:c r="B127" t="n">
        <x:f>'Vendor Inventory'!B127</x:f>
        <x:v>0</x:v>
      </x:c>
      <x:c r="C127" s="18" t="n">
        <x:f>'Vendor Inventory'!J127</x:f>
        <x:v>0</x:v>
      </x:c>
      <x:c r="D127" s="18" t="n">
        <x:f>'Vendor Inventory'!M127</x:f>
        <x:v>0</x:v>
      </x:c>
      <x:c r="E127" s="24" t="str">
        <x:f>IF(D127="","",D127-TODAY())</x:f>
      </x:c>
      <x:c r="F127" t="n">
        <x:f>'Vendor Inventory'!D127</x:f>
        <x:v>0</x:v>
      </x:c>
      <x:c r="G127" t="str">
        <x:f>IF(D127="","",IF(E127&lt;0,"Overdue",IF(E127&lt;=30,"Due Soon","Scheduled")))</x:f>
      </x:c>
    </x:row>
    <x:row r="128">
      <x:c r="A128" t="n">
        <x:f>'Vendor Inventory'!A128</x:f>
        <x:v>0</x:v>
      </x:c>
      <x:c r="B128" t="n">
        <x:f>'Vendor Inventory'!B128</x:f>
        <x:v>0</x:v>
      </x:c>
      <x:c r="C128" s="18" t="n">
        <x:f>'Vendor Inventory'!J128</x:f>
        <x:v>0</x:v>
      </x:c>
      <x:c r="D128" s="18" t="n">
        <x:f>'Vendor Inventory'!M128</x:f>
        <x:v>0</x:v>
      </x:c>
      <x:c r="E128" s="24" t="str">
        <x:f>IF(D128="","",D128-TODAY())</x:f>
      </x:c>
      <x:c r="F128" t="n">
        <x:f>'Vendor Inventory'!D128</x:f>
        <x:v>0</x:v>
      </x:c>
      <x:c r="G128" t="str">
        <x:f>IF(D128="","",IF(E128&lt;0,"Overdue",IF(E128&lt;=30,"Due Soon","Scheduled")))</x:f>
      </x:c>
    </x:row>
    <x:row r="129">
      <x:c r="A129" t="n">
        <x:f>'Vendor Inventory'!A129</x:f>
        <x:v>0</x:v>
      </x:c>
      <x:c r="B129" t="n">
        <x:f>'Vendor Inventory'!B129</x:f>
        <x:v>0</x:v>
      </x:c>
      <x:c r="C129" s="18" t="n">
        <x:f>'Vendor Inventory'!J129</x:f>
        <x:v>0</x:v>
      </x:c>
      <x:c r="D129" s="18" t="n">
        <x:f>'Vendor Inventory'!M129</x:f>
        <x:v>0</x:v>
      </x:c>
      <x:c r="E129" s="24" t="str">
        <x:f>IF(D129="","",D129-TODAY())</x:f>
      </x:c>
      <x:c r="F129" t="n">
        <x:f>'Vendor Inventory'!D129</x:f>
        <x:v>0</x:v>
      </x:c>
      <x:c r="G129" t="str">
        <x:f>IF(D129="","",IF(E129&lt;0,"Overdue",IF(E129&lt;=30,"Due Soon","Scheduled")))</x:f>
      </x:c>
    </x:row>
    <x:row r="130">
      <x:c r="A130" t="n">
        <x:f>'Vendor Inventory'!A130</x:f>
        <x:v>0</x:v>
      </x:c>
      <x:c r="B130" t="n">
        <x:f>'Vendor Inventory'!B130</x:f>
        <x:v>0</x:v>
      </x:c>
      <x:c r="C130" s="18" t="n">
        <x:f>'Vendor Inventory'!J130</x:f>
        <x:v>0</x:v>
      </x:c>
      <x:c r="D130" s="18" t="n">
        <x:f>'Vendor Inventory'!M130</x:f>
        <x:v>0</x:v>
      </x:c>
      <x:c r="E130" s="24" t="str">
        <x:f>IF(D130="","",D130-TODAY())</x:f>
      </x:c>
      <x:c r="F130" t="n">
        <x:f>'Vendor Inventory'!D130</x:f>
        <x:v>0</x:v>
      </x:c>
      <x:c r="G130" t="str">
        <x:f>IF(D130="","",IF(E130&lt;0,"Overdue",IF(E130&lt;=30,"Due Soon","Scheduled")))</x:f>
      </x:c>
    </x:row>
    <x:row r="131">
      <x:c r="A131" t="n">
        <x:f>'Vendor Inventory'!A131</x:f>
        <x:v>0</x:v>
      </x:c>
      <x:c r="B131" t="n">
        <x:f>'Vendor Inventory'!B131</x:f>
        <x:v>0</x:v>
      </x:c>
      <x:c r="C131" s="18" t="n">
        <x:f>'Vendor Inventory'!J131</x:f>
        <x:v>0</x:v>
      </x:c>
      <x:c r="D131" s="18" t="n">
        <x:f>'Vendor Inventory'!M131</x:f>
        <x:v>0</x:v>
      </x:c>
      <x:c r="E131" s="24" t="str">
        <x:f>IF(D131="","",D131-TODAY())</x:f>
      </x:c>
      <x:c r="F131" t="n">
        <x:f>'Vendor Inventory'!D131</x:f>
        <x:v>0</x:v>
      </x:c>
      <x:c r="G131" t="str">
        <x:f>IF(D131="","",IF(E131&lt;0,"Overdue",IF(E131&lt;=30,"Due Soon","Scheduled")))</x:f>
      </x:c>
    </x:row>
    <x:row r="132">
      <x:c r="A132" t="n">
        <x:f>'Vendor Inventory'!A132</x:f>
        <x:v>0</x:v>
      </x:c>
      <x:c r="B132" t="n">
        <x:f>'Vendor Inventory'!B132</x:f>
        <x:v>0</x:v>
      </x:c>
      <x:c r="C132" s="18" t="n">
        <x:f>'Vendor Inventory'!J132</x:f>
        <x:v>0</x:v>
      </x:c>
      <x:c r="D132" s="18" t="n">
        <x:f>'Vendor Inventory'!M132</x:f>
        <x:v>0</x:v>
      </x:c>
      <x:c r="E132" s="24" t="str">
        <x:f>IF(D132="","",D132-TODAY())</x:f>
      </x:c>
      <x:c r="F132" t="n">
        <x:f>'Vendor Inventory'!D132</x:f>
        <x:v>0</x:v>
      </x:c>
      <x:c r="G132" t="str">
        <x:f>IF(D132="","",IF(E132&lt;0,"Overdue",IF(E132&lt;=30,"Due Soon","Scheduled")))</x:f>
      </x:c>
    </x:row>
    <x:row r="133">
      <x:c r="A133" t="n">
        <x:f>'Vendor Inventory'!A133</x:f>
        <x:v>0</x:v>
      </x:c>
      <x:c r="B133" t="n">
        <x:f>'Vendor Inventory'!B133</x:f>
        <x:v>0</x:v>
      </x:c>
      <x:c r="C133" s="18" t="n">
        <x:f>'Vendor Inventory'!J133</x:f>
        <x:v>0</x:v>
      </x:c>
      <x:c r="D133" s="18" t="n">
        <x:f>'Vendor Inventory'!M133</x:f>
        <x:v>0</x:v>
      </x:c>
      <x:c r="E133" s="24" t="str">
        <x:f>IF(D133="","",D133-TODAY())</x:f>
      </x:c>
      <x:c r="F133" t="n">
        <x:f>'Vendor Inventory'!D133</x:f>
        <x:v>0</x:v>
      </x:c>
      <x:c r="G133" t="str">
        <x:f>IF(D133="","",IF(E133&lt;0,"Overdue",IF(E133&lt;=30,"Due Soon","Scheduled")))</x:f>
      </x:c>
    </x:row>
    <x:row r="134">
      <x:c r="A134" t="n">
        <x:f>'Vendor Inventory'!A134</x:f>
        <x:v>0</x:v>
      </x:c>
      <x:c r="B134" t="n">
        <x:f>'Vendor Inventory'!B134</x:f>
        <x:v>0</x:v>
      </x:c>
      <x:c r="C134" s="18" t="n">
        <x:f>'Vendor Inventory'!J134</x:f>
        <x:v>0</x:v>
      </x:c>
      <x:c r="D134" s="18" t="n">
        <x:f>'Vendor Inventory'!M134</x:f>
        <x:v>0</x:v>
      </x:c>
      <x:c r="E134" s="24" t="str">
        <x:f>IF(D134="","",D134-TODAY())</x:f>
      </x:c>
      <x:c r="F134" t="n">
        <x:f>'Vendor Inventory'!D134</x:f>
        <x:v>0</x:v>
      </x:c>
      <x:c r="G134" t="str">
        <x:f>IF(D134="","",IF(E134&lt;0,"Overdue",IF(E134&lt;=30,"Due Soon","Scheduled")))</x:f>
      </x:c>
    </x:row>
    <x:row r="135">
      <x:c r="A135" t="n">
        <x:f>'Vendor Inventory'!A135</x:f>
        <x:v>0</x:v>
      </x:c>
      <x:c r="B135" t="n">
        <x:f>'Vendor Inventory'!B135</x:f>
        <x:v>0</x:v>
      </x:c>
      <x:c r="C135" s="18" t="n">
        <x:f>'Vendor Inventory'!J135</x:f>
        <x:v>0</x:v>
      </x:c>
      <x:c r="D135" s="18" t="n">
        <x:f>'Vendor Inventory'!M135</x:f>
        <x:v>0</x:v>
      </x:c>
      <x:c r="E135" s="24" t="str">
        <x:f>IF(D135="","",D135-TODAY())</x:f>
      </x:c>
      <x:c r="F135" t="n">
        <x:f>'Vendor Inventory'!D135</x:f>
        <x:v>0</x:v>
      </x:c>
      <x:c r="G135" t="str">
        <x:f>IF(D135="","",IF(E135&lt;0,"Overdue",IF(E135&lt;=30,"Due Soon","Scheduled")))</x:f>
      </x:c>
    </x:row>
    <x:row r="136">
      <x:c r="A136" t="n">
        <x:f>'Vendor Inventory'!A136</x:f>
        <x:v>0</x:v>
      </x:c>
      <x:c r="B136" t="n">
        <x:f>'Vendor Inventory'!B136</x:f>
        <x:v>0</x:v>
      </x:c>
      <x:c r="C136" s="18" t="n">
        <x:f>'Vendor Inventory'!J136</x:f>
        <x:v>0</x:v>
      </x:c>
      <x:c r="D136" s="18" t="n">
        <x:f>'Vendor Inventory'!M136</x:f>
        <x:v>0</x:v>
      </x:c>
      <x:c r="E136" s="24" t="str">
        <x:f>IF(D136="","",D136-TODAY())</x:f>
      </x:c>
      <x:c r="F136" t="n">
        <x:f>'Vendor Inventory'!D136</x:f>
        <x:v>0</x:v>
      </x:c>
      <x:c r="G136" t="str">
        <x:f>IF(D136="","",IF(E136&lt;0,"Overdue",IF(E136&lt;=30,"Due Soon","Scheduled")))</x:f>
      </x:c>
    </x:row>
    <x:row r="137">
      <x:c r="A137" t="n">
        <x:f>'Vendor Inventory'!A137</x:f>
        <x:v>0</x:v>
      </x:c>
      <x:c r="B137" t="n">
        <x:f>'Vendor Inventory'!B137</x:f>
        <x:v>0</x:v>
      </x:c>
      <x:c r="C137" s="18" t="n">
        <x:f>'Vendor Inventory'!J137</x:f>
        <x:v>0</x:v>
      </x:c>
      <x:c r="D137" s="18" t="n">
        <x:f>'Vendor Inventory'!M137</x:f>
        <x:v>0</x:v>
      </x:c>
      <x:c r="E137" s="24" t="str">
        <x:f>IF(D137="","",D137-TODAY())</x:f>
      </x:c>
      <x:c r="F137" t="n">
        <x:f>'Vendor Inventory'!D137</x:f>
        <x:v>0</x:v>
      </x:c>
      <x:c r="G137" t="str">
        <x:f>IF(D137="","",IF(E137&lt;0,"Overdue",IF(E137&lt;=30,"Due Soon","Scheduled")))</x:f>
      </x:c>
    </x:row>
    <x:row r="138">
      <x:c r="A138" t="n">
        <x:f>'Vendor Inventory'!A138</x:f>
        <x:v>0</x:v>
      </x:c>
      <x:c r="B138" t="n">
        <x:f>'Vendor Inventory'!B138</x:f>
        <x:v>0</x:v>
      </x:c>
      <x:c r="C138" s="18" t="n">
        <x:f>'Vendor Inventory'!J138</x:f>
        <x:v>0</x:v>
      </x:c>
      <x:c r="D138" s="18" t="n">
        <x:f>'Vendor Inventory'!M138</x:f>
        <x:v>0</x:v>
      </x:c>
      <x:c r="E138" s="24" t="str">
        <x:f>IF(D138="","",D138-TODAY())</x:f>
      </x:c>
      <x:c r="F138" t="n">
        <x:f>'Vendor Inventory'!D138</x:f>
        <x:v>0</x:v>
      </x:c>
      <x:c r="G138" t="str">
        <x:f>IF(D138="","",IF(E138&lt;0,"Overdue",IF(E138&lt;=30,"Due Soon","Scheduled")))</x:f>
      </x:c>
    </x:row>
    <x:row r="139">
      <x:c r="A139" t="n">
        <x:f>'Vendor Inventory'!A139</x:f>
        <x:v>0</x:v>
      </x:c>
      <x:c r="B139" t="n">
        <x:f>'Vendor Inventory'!B139</x:f>
        <x:v>0</x:v>
      </x:c>
      <x:c r="C139" s="18" t="n">
        <x:f>'Vendor Inventory'!J139</x:f>
        <x:v>0</x:v>
      </x:c>
      <x:c r="D139" s="18" t="n">
        <x:f>'Vendor Inventory'!M139</x:f>
        <x:v>0</x:v>
      </x:c>
      <x:c r="E139" s="24" t="str">
        <x:f>IF(D139="","",D139-TODAY())</x:f>
      </x:c>
      <x:c r="F139" t="n">
        <x:f>'Vendor Inventory'!D139</x:f>
        <x:v>0</x:v>
      </x:c>
      <x:c r="G139" t="str">
        <x:f>IF(D139="","",IF(E139&lt;0,"Overdue",IF(E139&lt;=30,"Due Soon","Scheduled")))</x:f>
      </x:c>
    </x:row>
    <x:row r="140">
      <x:c r="A140" t="n">
        <x:f>'Vendor Inventory'!A140</x:f>
        <x:v>0</x:v>
      </x:c>
      <x:c r="B140" t="n">
        <x:f>'Vendor Inventory'!B140</x:f>
        <x:v>0</x:v>
      </x:c>
      <x:c r="C140" s="18" t="n">
        <x:f>'Vendor Inventory'!J140</x:f>
        <x:v>0</x:v>
      </x:c>
      <x:c r="D140" s="18" t="n">
        <x:f>'Vendor Inventory'!M140</x:f>
        <x:v>0</x:v>
      </x:c>
      <x:c r="E140" s="24" t="str">
        <x:f>IF(D140="","",D140-TODAY())</x:f>
      </x:c>
      <x:c r="F140" t="n">
        <x:f>'Vendor Inventory'!D140</x:f>
        <x:v>0</x:v>
      </x:c>
      <x:c r="G140" t="str">
        <x:f>IF(D140="","",IF(E140&lt;0,"Overdue",IF(E140&lt;=30,"Due Soon","Scheduled")))</x:f>
      </x:c>
    </x:row>
    <x:row r="141">
      <x:c r="A141" t="n">
        <x:f>'Vendor Inventory'!A141</x:f>
        <x:v>0</x:v>
      </x:c>
      <x:c r="B141" t="n">
        <x:f>'Vendor Inventory'!B141</x:f>
        <x:v>0</x:v>
      </x:c>
      <x:c r="C141" s="18" t="n">
        <x:f>'Vendor Inventory'!J141</x:f>
        <x:v>0</x:v>
      </x:c>
      <x:c r="D141" s="18" t="n">
        <x:f>'Vendor Inventory'!M141</x:f>
        <x:v>0</x:v>
      </x:c>
      <x:c r="E141" s="24" t="str">
        <x:f>IF(D141="","",D141-TODAY())</x:f>
      </x:c>
      <x:c r="F141" t="n">
        <x:f>'Vendor Inventory'!D141</x:f>
        <x:v>0</x:v>
      </x:c>
      <x:c r="G141" t="str">
        <x:f>IF(D141="","",IF(E141&lt;0,"Overdue",IF(E141&lt;=30,"Due Soon","Scheduled")))</x:f>
      </x:c>
    </x:row>
    <x:row r="142">
      <x:c r="A142" t="n">
        <x:f>'Vendor Inventory'!A142</x:f>
        <x:v>0</x:v>
      </x:c>
      <x:c r="B142" t="n">
        <x:f>'Vendor Inventory'!B142</x:f>
        <x:v>0</x:v>
      </x:c>
      <x:c r="C142" s="18" t="n">
        <x:f>'Vendor Inventory'!J142</x:f>
        <x:v>0</x:v>
      </x:c>
      <x:c r="D142" s="18" t="n">
        <x:f>'Vendor Inventory'!M142</x:f>
        <x:v>0</x:v>
      </x:c>
      <x:c r="E142" s="24" t="str">
        <x:f>IF(D142="","",D142-TODAY())</x:f>
      </x:c>
      <x:c r="F142" t="n">
        <x:f>'Vendor Inventory'!D142</x:f>
        <x:v>0</x:v>
      </x:c>
      <x:c r="G142" t="str">
        <x:f>IF(D142="","",IF(E142&lt;0,"Overdue",IF(E142&lt;=30,"Due Soon","Scheduled")))</x:f>
      </x:c>
    </x:row>
    <x:row r="143">
      <x:c r="A143" t="n">
        <x:f>'Vendor Inventory'!A143</x:f>
        <x:v>0</x:v>
      </x:c>
      <x:c r="B143" t="n">
        <x:f>'Vendor Inventory'!B143</x:f>
        <x:v>0</x:v>
      </x:c>
      <x:c r="C143" s="18" t="n">
        <x:f>'Vendor Inventory'!J143</x:f>
        <x:v>0</x:v>
      </x:c>
      <x:c r="D143" s="18" t="n">
        <x:f>'Vendor Inventory'!M143</x:f>
        <x:v>0</x:v>
      </x:c>
      <x:c r="E143" s="24" t="str">
        <x:f>IF(D143="","",D143-TODAY())</x:f>
      </x:c>
      <x:c r="F143" t="n">
        <x:f>'Vendor Inventory'!D143</x:f>
        <x:v>0</x:v>
      </x:c>
      <x:c r="G143" t="str">
        <x:f>IF(D143="","",IF(E143&lt;0,"Overdue",IF(E143&lt;=30,"Due Soon","Scheduled")))</x:f>
      </x:c>
    </x:row>
    <x:row r="144">
      <x:c r="A144" t="n">
        <x:f>'Vendor Inventory'!A144</x:f>
        <x:v>0</x:v>
      </x:c>
      <x:c r="B144" t="n">
        <x:f>'Vendor Inventory'!B144</x:f>
        <x:v>0</x:v>
      </x:c>
      <x:c r="C144" s="18" t="n">
        <x:f>'Vendor Inventory'!J144</x:f>
        <x:v>0</x:v>
      </x:c>
      <x:c r="D144" s="18" t="n">
        <x:f>'Vendor Inventory'!M144</x:f>
        <x:v>0</x:v>
      </x:c>
      <x:c r="E144" s="24" t="str">
        <x:f>IF(D144="","",D144-TODAY())</x:f>
      </x:c>
      <x:c r="F144" t="n">
        <x:f>'Vendor Inventory'!D144</x:f>
        <x:v>0</x:v>
      </x:c>
      <x:c r="G144" t="str">
        <x:f>IF(D144="","",IF(E144&lt;0,"Overdue",IF(E144&lt;=30,"Due Soon","Scheduled")))</x:f>
      </x:c>
    </x:row>
    <x:row r="145">
      <x:c r="A145" t="n">
        <x:f>'Vendor Inventory'!A145</x:f>
        <x:v>0</x:v>
      </x:c>
      <x:c r="B145" t="n">
        <x:f>'Vendor Inventory'!B145</x:f>
        <x:v>0</x:v>
      </x:c>
      <x:c r="C145" s="18" t="n">
        <x:f>'Vendor Inventory'!J145</x:f>
        <x:v>0</x:v>
      </x:c>
      <x:c r="D145" s="18" t="n">
        <x:f>'Vendor Inventory'!M145</x:f>
        <x:v>0</x:v>
      </x:c>
      <x:c r="E145" s="24" t="str">
        <x:f>IF(D145="","",D145-TODAY())</x:f>
      </x:c>
      <x:c r="F145" t="n">
        <x:f>'Vendor Inventory'!D145</x:f>
        <x:v>0</x:v>
      </x:c>
      <x:c r="G145" t="str">
        <x:f>IF(D145="","",IF(E145&lt;0,"Overdue",IF(E145&lt;=30,"Due Soon","Scheduled")))</x:f>
      </x:c>
    </x:row>
    <x:row r="146">
      <x:c r="A146" t="n">
        <x:f>'Vendor Inventory'!A146</x:f>
        <x:v>0</x:v>
      </x:c>
      <x:c r="B146" t="n">
        <x:f>'Vendor Inventory'!B146</x:f>
        <x:v>0</x:v>
      </x:c>
      <x:c r="C146" s="18" t="n">
        <x:f>'Vendor Inventory'!J146</x:f>
        <x:v>0</x:v>
      </x:c>
      <x:c r="D146" s="18" t="n">
        <x:f>'Vendor Inventory'!M146</x:f>
        <x:v>0</x:v>
      </x:c>
      <x:c r="E146" s="24" t="str">
        <x:f>IF(D146="","",D146-TODAY())</x:f>
      </x:c>
      <x:c r="F146" t="n">
        <x:f>'Vendor Inventory'!D146</x:f>
        <x:v>0</x:v>
      </x:c>
      <x:c r="G146" t="str">
        <x:f>IF(D146="","",IF(E146&lt;0,"Overdue",IF(E146&lt;=30,"Due Soon","Scheduled")))</x:f>
      </x:c>
    </x:row>
    <x:row r="147">
      <x:c r="A147" t="n">
        <x:f>'Vendor Inventory'!A147</x:f>
        <x:v>0</x:v>
      </x:c>
      <x:c r="B147" t="n">
        <x:f>'Vendor Inventory'!B147</x:f>
        <x:v>0</x:v>
      </x:c>
      <x:c r="C147" s="18" t="n">
        <x:f>'Vendor Inventory'!J147</x:f>
        <x:v>0</x:v>
      </x:c>
      <x:c r="D147" s="18" t="n">
        <x:f>'Vendor Inventory'!M147</x:f>
        <x:v>0</x:v>
      </x:c>
      <x:c r="E147" s="24" t="str">
        <x:f>IF(D147="","",D147-TODAY())</x:f>
      </x:c>
      <x:c r="F147" t="n">
        <x:f>'Vendor Inventory'!D147</x:f>
        <x:v>0</x:v>
      </x:c>
      <x:c r="G147" t="str">
        <x:f>IF(D147="","",IF(E147&lt;0,"Overdue",IF(E147&lt;=30,"Due Soon","Scheduled")))</x:f>
      </x:c>
    </x:row>
    <x:row r="148">
      <x:c r="A148" t="n">
        <x:f>'Vendor Inventory'!A148</x:f>
        <x:v>0</x:v>
      </x:c>
      <x:c r="B148" t="n">
        <x:f>'Vendor Inventory'!B148</x:f>
        <x:v>0</x:v>
      </x:c>
      <x:c r="C148" s="18" t="n">
        <x:f>'Vendor Inventory'!J148</x:f>
        <x:v>0</x:v>
      </x:c>
      <x:c r="D148" s="18" t="n">
        <x:f>'Vendor Inventory'!M148</x:f>
        <x:v>0</x:v>
      </x:c>
      <x:c r="E148" s="24" t="str">
        <x:f>IF(D148="","",D148-TODAY())</x:f>
      </x:c>
      <x:c r="F148" t="n">
        <x:f>'Vendor Inventory'!D148</x:f>
        <x:v>0</x:v>
      </x:c>
      <x:c r="G148" t="str">
        <x:f>IF(D148="","",IF(E148&lt;0,"Overdue",IF(E148&lt;=30,"Due Soon","Scheduled")))</x:f>
      </x:c>
    </x:row>
    <x:row r="149">
      <x:c r="A149" t="n">
        <x:f>'Vendor Inventory'!A149</x:f>
        <x:v>0</x:v>
      </x:c>
      <x:c r="B149" t="n">
        <x:f>'Vendor Inventory'!B149</x:f>
        <x:v>0</x:v>
      </x:c>
      <x:c r="C149" s="18" t="n">
        <x:f>'Vendor Inventory'!J149</x:f>
        <x:v>0</x:v>
      </x:c>
      <x:c r="D149" s="18" t="n">
        <x:f>'Vendor Inventory'!M149</x:f>
        <x:v>0</x:v>
      </x:c>
      <x:c r="E149" s="24" t="str">
        <x:f>IF(D149="","",D149-TODAY())</x:f>
      </x:c>
      <x:c r="F149" t="n">
        <x:f>'Vendor Inventory'!D149</x:f>
        <x:v>0</x:v>
      </x:c>
      <x:c r="G149" t="str">
        <x:f>IF(D149="","",IF(E149&lt;0,"Overdue",IF(E149&lt;=30,"Due Soon","Scheduled")))</x:f>
      </x:c>
    </x:row>
    <x:row r="150">
      <x:c r="A150" t="n">
        <x:f>'Vendor Inventory'!A150</x:f>
        <x:v>0</x:v>
      </x:c>
      <x:c r="B150" t="n">
        <x:f>'Vendor Inventory'!B150</x:f>
        <x:v>0</x:v>
      </x:c>
      <x:c r="C150" s="18" t="n">
        <x:f>'Vendor Inventory'!J150</x:f>
        <x:v>0</x:v>
      </x:c>
      <x:c r="D150" s="18" t="n">
        <x:f>'Vendor Inventory'!M150</x:f>
        <x:v>0</x:v>
      </x:c>
      <x:c r="E150" s="24" t="str">
        <x:f>IF(D150="","",D150-TODAY())</x:f>
      </x:c>
      <x:c r="F150" t="n">
        <x:f>'Vendor Inventory'!D150</x:f>
        <x:v>0</x:v>
      </x:c>
      <x:c r="G150" t="str">
        <x:f>IF(D150="","",IF(E150&lt;0,"Overdue",IF(E150&lt;=30,"Due Soon","Scheduled")))</x:f>
      </x:c>
    </x:row>
    <x:row r="151">
      <x:c r="A151" t="n">
        <x:f>'Vendor Inventory'!A151</x:f>
        <x:v>0</x:v>
      </x:c>
      <x:c r="B151" t="n">
        <x:f>'Vendor Inventory'!B151</x:f>
        <x:v>0</x:v>
      </x:c>
      <x:c r="C151" s="18" t="n">
        <x:f>'Vendor Inventory'!J151</x:f>
        <x:v>0</x:v>
      </x:c>
      <x:c r="D151" s="18" t="n">
        <x:f>'Vendor Inventory'!M151</x:f>
        <x:v>0</x:v>
      </x:c>
      <x:c r="E151" s="24" t="str">
        <x:f>IF(D151="","",D151-TODAY())</x:f>
      </x:c>
      <x:c r="F151" t="n">
        <x:f>'Vendor Inventory'!D151</x:f>
        <x:v>0</x:v>
      </x:c>
      <x:c r="G151" t="str">
        <x:f>IF(D151="","",IF(E151&lt;0,"Overdue",IF(E151&lt;=30,"Due Soon","Scheduled")))</x:f>
      </x:c>
    </x:row>
    <x:row r="152">
      <x:c r="A152" t="n">
        <x:f>'Vendor Inventory'!A152</x:f>
        <x:v>0</x:v>
      </x:c>
      <x:c r="B152" t="n">
        <x:f>'Vendor Inventory'!B152</x:f>
        <x:v>0</x:v>
      </x:c>
      <x:c r="C152" s="18" t="n">
        <x:f>'Vendor Inventory'!J152</x:f>
        <x:v>0</x:v>
      </x:c>
      <x:c r="D152" s="18" t="n">
        <x:f>'Vendor Inventory'!M152</x:f>
        <x:v>0</x:v>
      </x:c>
      <x:c r="E152" s="24" t="str">
        <x:f>IF(D152="","",D152-TODAY())</x:f>
      </x:c>
      <x:c r="F152" t="n">
        <x:f>'Vendor Inventory'!D152</x:f>
        <x:v>0</x:v>
      </x:c>
      <x:c r="G152" t="str">
        <x:f>IF(D152="","",IF(E152&lt;0,"Overdue",IF(E152&lt;=30,"Due Soon","Scheduled")))</x:f>
      </x:c>
    </x:row>
    <x:row r="153">
      <x:c r="A153" t="n">
        <x:f>'Vendor Inventory'!A153</x:f>
        <x:v>0</x:v>
      </x:c>
      <x:c r="B153" t="n">
        <x:f>'Vendor Inventory'!B153</x:f>
        <x:v>0</x:v>
      </x:c>
      <x:c r="C153" s="18" t="n">
        <x:f>'Vendor Inventory'!J153</x:f>
        <x:v>0</x:v>
      </x:c>
      <x:c r="D153" s="18" t="n">
        <x:f>'Vendor Inventory'!M153</x:f>
        <x:v>0</x:v>
      </x:c>
      <x:c r="E153" s="24" t="str">
        <x:f>IF(D153="","",D153-TODAY())</x:f>
      </x:c>
      <x:c r="F153" t="n">
        <x:f>'Vendor Inventory'!D153</x:f>
        <x:v>0</x:v>
      </x:c>
      <x:c r="G153" t="str">
        <x:f>IF(D153="","",IF(E153&lt;0,"Overdue",IF(E153&lt;=30,"Due Soon","Scheduled")))</x:f>
      </x:c>
    </x:row>
    <x:row r="154">
      <x:c r="A154" t="n">
        <x:f>'Vendor Inventory'!A154</x:f>
        <x:v>0</x:v>
      </x:c>
      <x:c r="B154" t="n">
        <x:f>'Vendor Inventory'!B154</x:f>
        <x:v>0</x:v>
      </x:c>
      <x:c r="C154" s="18" t="n">
        <x:f>'Vendor Inventory'!J154</x:f>
        <x:v>0</x:v>
      </x:c>
      <x:c r="D154" s="18" t="n">
        <x:f>'Vendor Inventory'!M154</x:f>
        <x:v>0</x:v>
      </x:c>
      <x:c r="E154" s="24" t="str">
        <x:f>IF(D154="","",D154-TODAY())</x:f>
      </x:c>
      <x:c r="F154" t="n">
        <x:f>'Vendor Inventory'!D154</x:f>
        <x:v>0</x:v>
      </x:c>
      <x:c r="G154" t="str">
        <x:f>IF(D154="","",IF(E154&lt;0,"Overdue",IF(E154&lt;=30,"Due Soon","Scheduled")))</x:f>
      </x:c>
    </x:row>
    <x:row r="155">
      <x:c r="A155" t="n">
        <x:f>'Vendor Inventory'!A155</x:f>
        <x:v>0</x:v>
      </x:c>
      <x:c r="B155" t="n">
        <x:f>'Vendor Inventory'!B155</x:f>
        <x:v>0</x:v>
      </x:c>
      <x:c r="C155" s="18" t="n">
        <x:f>'Vendor Inventory'!J155</x:f>
        <x:v>0</x:v>
      </x:c>
      <x:c r="D155" s="18" t="n">
        <x:f>'Vendor Inventory'!M155</x:f>
        <x:v>0</x:v>
      </x:c>
      <x:c r="E155" s="24" t="str">
        <x:f>IF(D155="","",D155-TODAY())</x:f>
      </x:c>
      <x:c r="F155" t="n">
        <x:f>'Vendor Inventory'!D155</x:f>
        <x:v>0</x:v>
      </x:c>
      <x:c r="G155" t="str">
        <x:f>IF(D155="","",IF(E155&lt;0,"Overdue",IF(E155&lt;=30,"Due Soon","Scheduled")))</x:f>
      </x:c>
    </x:row>
    <x:row r="156">
      <x:c r="A156" t="n">
        <x:f>'Vendor Inventory'!A156</x:f>
        <x:v>0</x:v>
      </x:c>
      <x:c r="B156" t="n">
        <x:f>'Vendor Inventory'!B156</x:f>
        <x:v>0</x:v>
      </x:c>
      <x:c r="C156" s="18" t="n">
        <x:f>'Vendor Inventory'!J156</x:f>
        <x:v>0</x:v>
      </x:c>
      <x:c r="D156" s="18" t="n">
        <x:f>'Vendor Inventory'!M156</x:f>
        <x:v>0</x:v>
      </x:c>
      <x:c r="E156" s="24" t="str">
        <x:f>IF(D156="","",D156-TODAY())</x:f>
      </x:c>
      <x:c r="F156" t="n">
        <x:f>'Vendor Inventory'!D156</x:f>
        <x:v>0</x:v>
      </x:c>
      <x:c r="G156" t="str">
        <x:f>IF(D156="","",IF(E156&lt;0,"Overdue",IF(E156&lt;=30,"Due Soon","Scheduled")))</x:f>
      </x:c>
    </x:row>
    <x:row r="157">
      <x:c r="A157" t="n">
        <x:f>'Vendor Inventory'!A157</x:f>
        <x:v>0</x:v>
      </x:c>
      <x:c r="B157" t="n">
        <x:f>'Vendor Inventory'!B157</x:f>
        <x:v>0</x:v>
      </x:c>
      <x:c r="C157" s="18" t="n">
        <x:f>'Vendor Inventory'!J157</x:f>
        <x:v>0</x:v>
      </x:c>
      <x:c r="D157" s="18" t="n">
        <x:f>'Vendor Inventory'!M157</x:f>
        <x:v>0</x:v>
      </x:c>
      <x:c r="E157" s="24" t="str">
        <x:f>IF(D157="","",D157-TODAY())</x:f>
      </x:c>
      <x:c r="F157" t="n">
        <x:f>'Vendor Inventory'!D157</x:f>
        <x:v>0</x:v>
      </x:c>
      <x:c r="G157" t="str">
        <x:f>IF(D157="","",IF(E157&lt;0,"Overdue",IF(E157&lt;=30,"Due Soon","Scheduled")))</x:f>
      </x:c>
    </x:row>
    <x:row r="158">
      <x:c r="A158" t="n">
        <x:f>'Vendor Inventory'!A158</x:f>
        <x:v>0</x:v>
      </x:c>
      <x:c r="B158" t="n">
        <x:f>'Vendor Inventory'!B158</x:f>
        <x:v>0</x:v>
      </x:c>
      <x:c r="C158" s="18" t="n">
        <x:f>'Vendor Inventory'!J158</x:f>
        <x:v>0</x:v>
      </x:c>
      <x:c r="D158" s="18" t="n">
        <x:f>'Vendor Inventory'!M158</x:f>
        <x:v>0</x:v>
      </x:c>
      <x:c r="E158" s="24" t="str">
        <x:f>IF(D158="","",D158-TODAY())</x:f>
      </x:c>
      <x:c r="F158" t="n">
        <x:f>'Vendor Inventory'!D158</x:f>
        <x:v>0</x:v>
      </x:c>
      <x:c r="G158" t="str">
        <x:f>IF(D158="","",IF(E158&lt;0,"Overdue",IF(E158&lt;=30,"Due Soon","Scheduled")))</x:f>
      </x:c>
    </x:row>
    <x:row r="159">
      <x:c r="A159" t="n">
        <x:f>'Vendor Inventory'!A159</x:f>
        <x:v>0</x:v>
      </x:c>
      <x:c r="B159" t="n">
        <x:f>'Vendor Inventory'!B159</x:f>
        <x:v>0</x:v>
      </x:c>
      <x:c r="C159" s="18" t="n">
        <x:f>'Vendor Inventory'!J159</x:f>
        <x:v>0</x:v>
      </x:c>
      <x:c r="D159" s="18" t="n">
        <x:f>'Vendor Inventory'!M159</x:f>
        <x:v>0</x:v>
      </x:c>
      <x:c r="E159" s="24" t="str">
        <x:f>IF(D159="","",D159-TODAY())</x:f>
      </x:c>
      <x:c r="F159" t="n">
        <x:f>'Vendor Inventory'!D159</x:f>
        <x:v>0</x:v>
      </x:c>
      <x:c r="G159" t="str">
        <x:f>IF(D159="","",IF(E159&lt;0,"Overdue",IF(E159&lt;=30,"Due Soon","Scheduled")))</x:f>
      </x:c>
    </x:row>
    <x:row r="160">
      <x:c r="A160" t="n">
        <x:f>'Vendor Inventory'!A160</x:f>
        <x:v>0</x:v>
      </x:c>
      <x:c r="B160" t="n">
        <x:f>'Vendor Inventory'!B160</x:f>
        <x:v>0</x:v>
      </x:c>
      <x:c r="C160" s="18" t="n">
        <x:f>'Vendor Inventory'!J160</x:f>
        <x:v>0</x:v>
      </x:c>
      <x:c r="D160" s="18" t="n">
        <x:f>'Vendor Inventory'!M160</x:f>
        <x:v>0</x:v>
      </x:c>
      <x:c r="E160" s="24" t="str">
        <x:f>IF(D160="","",D160-TODAY())</x:f>
      </x:c>
      <x:c r="F160" t="n">
        <x:f>'Vendor Inventory'!D160</x:f>
        <x:v>0</x:v>
      </x:c>
      <x:c r="G160" t="str">
        <x:f>IF(D160="","",IF(E160&lt;0,"Overdue",IF(E160&lt;=30,"Due Soon","Scheduled")))</x:f>
      </x:c>
    </x:row>
    <x:row r="161">
      <x:c r="A161" t="n">
        <x:f>'Vendor Inventory'!A161</x:f>
        <x:v>0</x:v>
      </x:c>
      <x:c r="B161" t="n">
        <x:f>'Vendor Inventory'!B161</x:f>
        <x:v>0</x:v>
      </x:c>
      <x:c r="C161" s="18" t="n">
        <x:f>'Vendor Inventory'!J161</x:f>
        <x:v>0</x:v>
      </x:c>
      <x:c r="D161" s="18" t="n">
        <x:f>'Vendor Inventory'!M161</x:f>
        <x:v>0</x:v>
      </x:c>
      <x:c r="E161" s="24" t="str">
        <x:f>IF(D161="","",D161-TODAY())</x:f>
      </x:c>
      <x:c r="F161" t="n">
        <x:f>'Vendor Inventory'!D161</x:f>
        <x:v>0</x:v>
      </x:c>
      <x:c r="G161" t="str">
        <x:f>IF(D161="","",IF(E161&lt;0,"Overdue",IF(E161&lt;=30,"Due Soon","Scheduled")))</x:f>
      </x:c>
    </x:row>
    <x:row r="162">
      <x:c r="A162" t="n">
        <x:f>'Vendor Inventory'!A162</x:f>
        <x:v>0</x:v>
      </x:c>
      <x:c r="B162" t="n">
        <x:f>'Vendor Inventory'!B162</x:f>
        <x:v>0</x:v>
      </x:c>
      <x:c r="C162" s="18" t="n">
        <x:f>'Vendor Inventory'!J162</x:f>
        <x:v>0</x:v>
      </x:c>
      <x:c r="D162" s="18" t="n">
        <x:f>'Vendor Inventory'!M162</x:f>
        <x:v>0</x:v>
      </x:c>
      <x:c r="E162" s="24" t="str">
        <x:f>IF(D162="","",D162-TODAY())</x:f>
      </x:c>
      <x:c r="F162" t="n">
        <x:f>'Vendor Inventory'!D162</x:f>
        <x:v>0</x:v>
      </x:c>
      <x:c r="G162" t="str">
        <x:f>IF(D162="","",IF(E162&lt;0,"Overdue",IF(E162&lt;=30,"Due Soon","Scheduled")))</x:f>
      </x:c>
    </x:row>
    <x:row r="163">
      <x:c r="A163" t="n">
        <x:f>'Vendor Inventory'!A163</x:f>
        <x:v>0</x:v>
      </x:c>
      <x:c r="B163" t="n">
        <x:f>'Vendor Inventory'!B163</x:f>
        <x:v>0</x:v>
      </x:c>
      <x:c r="C163" s="18" t="n">
        <x:f>'Vendor Inventory'!J163</x:f>
        <x:v>0</x:v>
      </x:c>
      <x:c r="D163" s="18" t="n">
        <x:f>'Vendor Inventory'!M163</x:f>
        <x:v>0</x:v>
      </x:c>
      <x:c r="E163" s="24" t="str">
        <x:f>IF(D163="","",D163-TODAY())</x:f>
      </x:c>
      <x:c r="F163" t="n">
        <x:f>'Vendor Inventory'!D163</x:f>
        <x:v>0</x:v>
      </x:c>
      <x:c r="G163" t="str">
        <x:f>IF(D163="","",IF(E163&lt;0,"Overdue",IF(E163&lt;=30,"Due Soon","Scheduled")))</x:f>
      </x:c>
    </x:row>
    <x:row r="164">
      <x:c r="A164" t="n">
        <x:f>'Vendor Inventory'!A164</x:f>
        <x:v>0</x:v>
      </x:c>
      <x:c r="B164" t="n">
        <x:f>'Vendor Inventory'!B164</x:f>
        <x:v>0</x:v>
      </x:c>
      <x:c r="C164" s="18" t="n">
        <x:f>'Vendor Inventory'!J164</x:f>
        <x:v>0</x:v>
      </x:c>
      <x:c r="D164" s="18" t="n">
        <x:f>'Vendor Inventory'!M164</x:f>
        <x:v>0</x:v>
      </x:c>
      <x:c r="E164" s="24" t="str">
        <x:f>IF(D164="","",D164-TODAY())</x:f>
      </x:c>
      <x:c r="F164" t="n">
        <x:f>'Vendor Inventory'!D164</x:f>
        <x:v>0</x:v>
      </x:c>
      <x:c r="G164" t="str">
        <x:f>IF(D164="","",IF(E164&lt;0,"Overdue",IF(E164&lt;=30,"Due Soon","Scheduled")))</x:f>
      </x:c>
    </x:row>
    <x:row r="165">
      <x:c r="A165" t="n">
        <x:f>'Vendor Inventory'!A165</x:f>
        <x:v>0</x:v>
      </x:c>
      <x:c r="B165" t="n">
        <x:f>'Vendor Inventory'!B165</x:f>
        <x:v>0</x:v>
      </x:c>
      <x:c r="C165" s="18" t="n">
        <x:f>'Vendor Inventory'!J165</x:f>
        <x:v>0</x:v>
      </x:c>
      <x:c r="D165" s="18" t="n">
        <x:f>'Vendor Inventory'!M165</x:f>
        <x:v>0</x:v>
      </x:c>
      <x:c r="E165" s="24" t="str">
        <x:f>IF(D165="","",D165-TODAY())</x:f>
      </x:c>
      <x:c r="F165" t="n">
        <x:f>'Vendor Inventory'!D165</x:f>
        <x:v>0</x:v>
      </x:c>
      <x:c r="G165" t="str">
        <x:f>IF(D165="","",IF(E165&lt;0,"Overdue",IF(E165&lt;=30,"Due Soon","Scheduled")))</x:f>
      </x:c>
    </x:row>
    <x:row r="166">
      <x:c r="A166" t="n">
        <x:f>'Vendor Inventory'!A166</x:f>
        <x:v>0</x:v>
      </x:c>
      <x:c r="B166" t="n">
        <x:f>'Vendor Inventory'!B166</x:f>
        <x:v>0</x:v>
      </x:c>
      <x:c r="C166" s="18" t="n">
        <x:f>'Vendor Inventory'!J166</x:f>
        <x:v>0</x:v>
      </x:c>
      <x:c r="D166" s="18" t="n">
        <x:f>'Vendor Inventory'!M166</x:f>
        <x:v>0</x:v>
      </x:c>
      <x:c r="E166" s="24" t="str">
        <x:f>IF(D166="","",D166-TODAY())</x:f>
      </x:c>
      <x:c r="F166" t="n">
        <x:f>'Vendor Inventory'!D166</x:f>
        <x:v>0</x:v>
      </x:c>
      <x:c r="G166" t="str">
        <x:f>IF(D166="","",IF(E166&lt;0,"Overdue",IF(E166&lt;=30,"Due Soon","Scheduled")))</x:f>
      </x:c>
    </x:row>
    <x:row r="167">
      <x:c r="A167" t="n">
        <x:f>'Vendor Inventory'!A167</x:f>
        <x:v>0</x:v>
      </x:c>
      <x:c r="B167" t="n">
        <x:f>'Vendor Inventory'!B167</x:f>
        <x:v>0</x:v>
      </x:c>
      <x:c r="C167" s="18" t="n">
        <x:f>'Vendor Inventory'!J167</x:f>
        <x:v>0</x:v>
      </x:c>
      <x:c r="D167" s="18" t="n">
        <x:f>'Vendor Inventory'!M167</x:f>
        <x:v>0</x:v>
      </x:c>
      <x:c r="E167" s="24" t="str">
        <x:f>IF(D167="","",D167-TODAY())</x:f>
      </x:c>
      <x:c r="F167" t="n">
        <x:f>'Vendor Inventory'!D167</x:f>
        <x:v>0</x:v>
      </x:c>
      <x:c r="G167" t="str">
        <x:f>IF(D167="","",IF(E167&lt;0,"Overdue",IF(E167&lt;=30,"Due Soon","Scheduled")))</x:f>
      </x:c>
    </x:row>
    <x:row r="168">
      <x:c r="A168" t="n">
        <x:f>'Vendor Inventory'!A168</x:f>
        <x:v>0</x:v>
      </x:c>
      <x:c r="B168" t="n">
        <x:f>'Vendor Inventory'!B168</x:f>
        <x:v>0</x:v>
      </x:c>
      <x:c r="C168" s="18" t="n">
        <x:f>'Vendor Inventory'!J168</x:f>
        <x:v>0</x:v>
      </x:c>
      <x:c r="D168" s="18" t="n">
        <x:f>'Vendor Inventory'!M168</x:f>
        <x:v>0</x:v>
      </x:c>
      <x:c r="E168" s="24" t="str">
        <x:f>IF(D168="","",D168-TODAY())</x:f>
      </x:c>
      <x:c r="F168" t="n">
        <x:f>'Vendor Inventory'!D168</x:f>
        <x:v>0</x:v>
      </x:c>
      <x:c r="G168" t="str">
        <x:f>IF(D168="","",IF(E168&lt;0,"Overdue",IF(E168&lt;=30,"Due Soon","Scheduled")))</x:f>
      </x:c>
    </x:row>
    <x:row r="169">
      <x:c r="A169" t="n">
        <x:f>'Vendor Inventory'!A169</x:f>
        <x:v>0</x:v>
      </x:c>
      <x:c r="B169" t="n">
        <x:f>'Vendor Inventory'!B169</x:f>
        <x:v>0</x:v>
      </x:c>
      <x:c r="C169" s="18" t="n">
        <x:f>'Vendor Inventory'!J169</x:f>
        <x:v>0</x:v>
      </x:c>
      <x:c r="D169" s="18" t="n">
        <x:f>'Vendor Inventory'!M169</x:f>
        <x:v>0</x:v>
      </x:c>
      <x:c r="E169" s="24" t="str">
        <x:f>IF(D169="","",D169-TODAY())</x:f>
      </x:c>
      <x:c r="F169" t="n">
        <x:f>'Vendor Inventory'!D169</x:f>
        <x:v>0</x:v>
      </x:c>
      <x:c r="G169" t="str">
        <x:f>IF(D169="","",IF(E169&lt;0,"Overdue",IF(E169&lt;=30,"Due Soon","Scheduled")))</x:f>
      </x:c>
    </x:row>
    <x:row r="170">
      <x:c r="A170" t="n">
        <x:f>'Vendor Inventory'!A170</x:f>
        <x:v>0</x:v>
      </x:c>
      <x:c r="B170" t="n">
        <x:f>'Vendor Inventory'!B170</x:f>
        <x:v>0</x:v>
      </x:c>
      <x:c r="C170" s="18" t="n">
        <x:f>'Vendor Inventory'!J170</x:f>
        <x:v>0</x:v>
      </x:c>
      <x:c r="D170" s="18" t="n">
        <x:f>'Vendor Inventory'!M170</x:f>
        <x:v>0</x:v>
      </x:c>
      <x:c r="E170" s="24" t="str">
        <x:f>IF(D170="","",D170-TODAY())</x:f>
      </x:c>
      <x:c r="F170" t="n">
        <x:f>'Vendor Inventory'!D170</x:f>
        <x:v>0</x:v>
      </x:c>
      <x:c r="G170" t="str">
        <x:f>IF(D170="","",IF(E170&lt;0,"Overdue",IF(E170&lt;=30,"Due Soon","Scheduled")))</x:f>
      </x:c>
    </x:row>
    <x:row r="171">
      <x:c r="A171" t="n">
        <x:f>'Vendor Inventory'!A171</x:f>
        <x:v>0</x:v>
      </x:c>
      <x:c r="B171" t="n">
        <x:f>'Vendor Inventory'!B171</x:f>
        <x:v>0</x:v>
      </x:c>
      <x:c r="C171" s="18" t="n">
        <x:f>'Vendor Inventory'!J171</x:f>
        <x:v>0</x:v>
      </x:c>
      <x:c r="D171" s="18" t="n">
        <x:f>'Vendor Inventory'!M171</x:f>
        <x:v>0</x:v>
      </x:c>
      <x:c r="E171" s="24" t="str">
        <x:f>IF(D171="","",D171-TODAY())</x:f>
      </x:c>
      <x:c r="F171" t="n">
        <x:f>'Vendor Inventory'!D171</x:f>
        <x:v>0</x:v>
      </x:c>
      <x:c r="G171" t="str">
        <x:f>IF(D171="","",IF(E171&lt;0,"Overdue",IF(E171&lt;=30,"Due Soon","Scheduled")))</x:f>
      </x:c>
    </x:row>
    <x:row r="172">
      <x:c r="A172" t="n">
        <x:f>'Vendor Inventory'!A172</x:f>
        <x:v>0</x:v>
      </x:c>
      <x:c r="B172" t="n">
        <x:f>'Vendor Inventory'!B172</x:f>
        <x:v>0</x:v>
      </x:c>
      <x:c r="C172" s="18" t="n">
        <x:f>'Vendor Inventory'!J172</x:f>
        <x:v>0</x:v>
      </x:c>
      <x:c r="D172" s="18" t="n">
        <x:f>'Vendor Inventory'!M172</x:f>
        <x:v>0</x:v>
      </x:c>
      <x:c r="E172" s="24" t="str">
        <x:f>IF(D172="","",D172-TODAY())</x:f>
      </x:c>
      <x:c r="F172" t="n">
        <x:f>'Vendor Inventory'!D172</x:f>
        <x:v>0</x:v>
      </x:c>
      <x:c r="G172" t="str">
        <x:f>IF(D172="","",IF(E172&lt;0,"Overdue",IF(E172&lt;=30,"Due Soon","Scheduled")))</x:f>
      </x:c>
    </x:row>
    <x:row r="173">
      <x:c r="A173" t="n">
        <x:f>'Vendor Inventory'!A173</x:f>
        <x:v>0</x:v>
      </x:c>
      <x:c r="B173" t="n">
        <x:f>'Vendor Inventory'!B173</x:f>
        <x:v>0</x:v>
      </x:c>
      <x:c r="C173" s="18" t="n">
        <x:f>'Vendor Inventory'!J173</x:f>
        <x:v>0</x:v>
      </x:c>
      <x:c r="D173" s="18" t="n">
        <x:f>'Vendor Inventory'!M173</x:f>
        <x:v>0</x:v>
      </x:c>
      <x:c r="E173" s="24" t="str">
        <x:f>IF(D173="","",D173-TODAY())</x:f>
      </x:c>
      <x:c r="F173" t="n">
        <x:f>'Vendor Inventory'!D173</x:f>
        <x:v>0</x:v>
      </x:c>
      <x:c r="G173" t="str">
        <x:f>IF(D173="","",IF(E173&lt;0,"Overdue",IF(E173&lt;=30,"Due Soon","Scheduled")))</x:f>
      </x:c>
    </x:row>
    <x:row r="174">
      <x:c r="A174" t="n">
        <x:f>'Vendor Inventory'!A174</x:f>
        <x:v>0</x:v>
      </x:c>
      <x:c r="B174" t="n">
        <x:f>'Vendor Inventory'!B174</x:f>
        <x:v>0</x:v>
      </x:c>
      <x:c r="C174" s="18" t="n">
        <x:f>'Vendor Inventory'!J174</x:f>
        <x:v>0</x:v>
      </x:c>
      <x:c r="D174" s="18" t="n">
        <x:f>'Vendor Inventory'!M174</x:f>
        <x:v>0</x:v>
      </x:c>
      <x:c r="E174" s="24" t="str">
        <x:f>IF(D174="","",D174-TODAY())</x:f>
      </x:c>
      <x:c r="F174" t="n">
        <x:f>'Vendor Inventory'!D174</x:f>
        <x:v>0</x:v>
      </x:c>
      <x:c r="G174" t="str">
        <x:f>IF(D174="","",IF(E174&lt;0,"Overdue",IF(E174&lt;=30,"Due Soon","Scheduled")))</x:f>
      </x:c>
    </x:row>
    <x:row r="175">
      <x:c r="A175" t="n">
        <x:f>'Vendor Inventory'!A175</x:f>
        <x:v>0</x:v>
      </x:c>
      <x:c r="B175" t="n">
        <x:f>'Vendor Inventory'!B175</x:f>
        <x:v>0</x:v>
      </x:c>
      <x:c r="C175" s="18" t="n">
        <x:f>'Vendor Inventory'!J175</x:f>
        <x:v>0</x:v>
      </x:c>
      <x:c r="D175" s="18" t="n">
        <x:f>'Vendor Inventory'!M175</x:f>
        <x:v>0</x:v>
      </x:c>
      <x:c r="E175" s="24" t="str">
        <x:f>IF(D175="","",D175-TODAY())</x:f>
      </x:c>
      <x:c r="F175" t="n">
        <x:f>'Vendor Inventory'!D175</x:f>
        <x:v>0</x:v>
      </x:c>
      <x:c r="G175" t="str">
        <x:f>IF(D175="","",IF(E175&lt;0,"Overdue",IF(E175&lt;=30,"Due Soon","Scheduled")))</x:f>
      </x:c>
    </x:row>
    <x:row r="176">
      <x:c r="A176" t="n">
        <x:f>'Vendor Inventory'!A176</x:f>
        <x:v>0</x:v>
      </x:c>
      <x:c r="B176" t="n">
        <x:f>'Vendor Inventory'!B176</x:f>
        <x:v>0</x:v>
      </x:c>
      <x:c r="C176" s="18" t="n">
        <x:f>'Vendor Inventory'!J176</x:f>
        <x:v>0</x:v>
      </x:c>
      <x:c r="D176" s="18" t="n">
        <x:f>'Vendor Inventory'!M176</x:f>
        <x:v>0</x:v>
      </x:c>
      <x:c r="E176" s="24" t="str">
        <x:f>IF(D176="","",D176-TODAY())</x:f>
      </x:c>
      <x:c r="F176" t="n">
        <x:f>'Vendor Inventory'!D176</x:f>
        <x:v>0</x:v>
      </x:c>
      <x:c r="G176" t="str">
        <x:f>IF(D176="","",IF(E176&lt;0,"Overdue",IF(E176&lt;=30,"Due Soon","Scheduled")))</x:f>
      </x:c>
    </x:row>
    <x:row r="177">
      <x:c r="A177" t="n">
        <x:f>'Vendor Inventory'!A177</x:f>
        <x:v>0</x:v>
      </x:c>
      <x:c r="B177" t="n">
        <x:f>'Vendor Inventory'!B177</x:f>
        <x:v>0</x:v>
      </x:c>
      <x:c r="C177" s="18" t="n">
        <x:f>'Vendor Inventory'!J177</x:f>
        <x:v>0</x:v>
      </x:c>
      <x:c r="D177" s="18" t="n">
        <x:f>'Vendor Inventory'!M177</x:f>
        <x:v>0</x:v>
      </x:c>
      <x:c r="E177" s="24" t="str">
        <x:f>IF(D177="","",D177-TODAY())</x:f>
      </x:c>
      <x:c r="F177" t="n">
        <x:f>'Vendor Inventory'!D177</x:f>
        <x:v>0</x:v>
      </x:c>
      <x:c r="G177" t="str">
        <x:f>IF(D177="","",IF(E177&lt;0,"Overdue",IF(E177&lt;=30,"Due Soon","Scheduled")))</x:f>
      </x:c>
    </x:row>
    <x:row r="178">
      <x:c r="A178" t="n">
        <x:f>'Vendor Inventory'!A178</x:f>
        <x:v>0</x:v>
      </x:c>
      <x:c r="B178" t="n">
        <x:f>'Vendor Inventory'!B178</x:f>
        <x:v>0</x:v>
      </x:c>
      <x:c r="C178" s="18" t="n">
        <x:f>'Vendor Inventory'!J178</x:f>
        <x:v>0</x:v>
      </x:c>
      <x:c r="D178" s="18" t="n">
        <x:f>'Vendor Inventory'!M178</x:f>
        <x:v>0</x:v>
      </x:c>
      <x:c r="E178" s="24" t="str">
        <x:f>IF(D178="","",D178-TODAY())</x:f>
      </x:c>
      <x:c r="F178" t="n">
        <x:f>'Vendor Inventory'!D178</x:f>
        <x:v>0</x:v>
      </x:c>
      <x:c r="G178" t="str">
        <x:f>IF(D178="","",IF(E178&lt;0,"Overdue",IF(E178&lt;=30,"Due Soon","Scheduled")))</x:f>
      </x:c>
    </x:row>
    <x:row r="179">
      <x:c r="A179" t="n">
        <x:f>'Vendor Inventory'!A179</x:f>
        <x:v>0</x:v>
      </x:c>
      <x:c r="B179" t="n">
        <x:f>'Vendor Inventory'!B179</x:f>
        <x:v>0</x:v>
      </x:c>
      <x:c r="C179" s="18" t="n">
        <x:f>'Vendor Inventory'!J179</x:f>
        <x:v>0</x:v>
      </x:c>
      <x:c r="D179" s="18" t="n">
        <x:f>'Vendor Inventory'!M179</x:f>
        <x:v>0</x:v>
      </x:c>
      <x:c r="E179" s="24" t="str">
        <x:f>IF(D179="","",D179-TODAY())</x:f>
      </x:c>
      <x:c r="F179" t="n">
        <x:f>'Vendor Inventory'!D179</x:f>
        <x:v>0</x:v>
      </x:c>
      <x:c r="G179" t="str">
        <x:f>IF(D179="","",IF(E179&lt;0,"Overdue",IF(E179&lt;=30,"Due Soon","Scheduled")))</x:f>
      </x:c>
    </x:row>
    <x:row r="180">
      <x:c r="A180" t="n">
        <x:f>'Vendor Inventory'!A180</x:f>
        <x:v>0</x:v>
      </x:c>
      <x:c r="B180" t="n">
        <x:f>'Vendor Inventory'!B180</x:f>
        <x:v>0</x:v>
      </x:c>
      <x:c r="C180" s="18" t="n">
        <x:f>'Vendor Inventory'!J180</x:f>
        <x:v>0</x:v>
      </x:c>
      <x:c r="D180" s="18" t="n">
        <x:f>'Vendor Inventory'!M180</x:f>
        <x:v>0</x:v>
      </x:c>
      <x:c r="E180" s="24" t="str">
        <x:f>IF(D180="","",D180-TODAY())</x:f>
      </x:c>
      <x:c r="F180" t="n">
        <x:f>'Vendor Inventory'!D180</x:f>
        <x:v>0</x:v>
      </x:c>
      <x:c r="G180" t="str">
        <x:f>IF(D180="","",IF(E180&lt;0,"Overdue",IF(E180&lt;=30,"Due Soon","Scheduled")))</x:f>
      </x:c>
    </x:row>
    <x:row r="181">
      <x:c r="A181" t="n">
        <x:f>'Vendor Inventory'!A181</x:f>
        <x:v>0</x:v>
      </x:c>
      <x:c r="B181" t="n">
        <x:f>'Vendor Inventory'!B181</x:f>
        <x:v>0</x:v>
      </x:c>
      <x:c r="C181" s="18" t="n">
        <x:f>'Vendor Inventory'!J181</x:f>
        <x:v>0</x:v>
      </x:c>
      <x:c r="D181" s="18" t="n">
        <x:f>'Vendor Inventory'!M181</x:f>
        <x:v>0</x:v>
      </x:c>
      <x:c r="E181" s="24" t="str">
        <x:f>IF(D181="","",D181-TODAY())</x:f>
      </x:c>
      <x:c r="F181" t="n">
        <x:f>'Vendor Inventory'!D181</x:f>
        <x:v>0</x:v>
      </x:c>
      <x:c r="G181" t="str">
        <x:f>IF(D181="","",IF(E181&lt;0,"Overdue",IF(E181&lt;=30,"Due Soon","Scheduled")))</x:f>
      </x:c>
    </x:row>
    <x:row r="182">
      <x:c r="A182" t="n">
        <x:f>'Vendor Inventory'!A182</x:f>
        <x:v>0</x:v>
      </x:c>
      <x:c r="B182" t="n">
        <x:f>'Vendor Inventory'!B182</x:f>
        <x:v>0</x:v>
      </x:c>
      <x:c r="C182" s="18" t="n">
        <x:f>'Vendor Inventory'!J182</x:f>
        <x:v>0</x:v>
      </x:c>
      <x:c r="D182" s="18" t="n">
        <x:f>'Vendor Inventory'!M182</x:f>
        <x:v>0</x:v>
      </x:c>
      <x:c r="E182" s="24" t="str">
        <x:f>IF(D182="","",D182-TODAY())</x:f>
      </x:c>
      <x:c r="F182" t="n">
        <x:f>'Vendor Inventory'!D182</x:f>
        <x:v>0</x:v>
      </x:c>
      <x:c r="G182" t="str">
        <x:f>IF(D182="","",IF(E182&lt;0,"Overdue",IF(E182&lt;=30,"Due Soon","Scheduled")))</x:f>
      </x:c>
    </x:row>
    <x:row r="183">
      <x:c r="A183" t="n">
        <x:f>'Vendor Inventory'!A183</x:f>
        <x:v>0</x:v>
      </x:c>
      <x:c r="B183" t="n">
        <x:f>'Vendor Inventory'!B183</x:f>
        <x:v>0</x:v>
      </x:c>
      <x:c r="C183" s="18" t="n">
        <x:f>'Vendor Inventory'!J183</x:f>
        <x:v>0</x:v>
      </x:c>
      <x:c r="D183" s="18" t="n">
        <x:f>'Vendor Inventory'!M183</x:f>
        <x:v>0</x:v>
      </x:c>
      <x:c r="E183" s="24" t="str">
        <x:f>IF(D183="","",D183-TODAY())</x:f>
      </x:c>
      <x:c r="F183" t="n">
        <x:f>'Vendor Inventory'!D183</x:f>
        <x:v>0</x:v>
      </x:c>
      <x:c r="G183" t="str">
        <x:f>IF(D183="","",IF(E183&lt;0,"Overdue",IF(E183&lt;=30,"Due Soon","Scheduled")))</x:f>
      </x:c>
    </x:row>
    <x:row r="184">
      <x:c r="A184" t="n">
        <x:f>'Vendor Inventory'!A184</x:f>
        <x:v>0</x:v>
      </x:c>
      <x:c r="B184" t="n">
        <x:f>'Vendor Inventory'!B184</x:f>
        <x:v>0</x:v>
      </x:c>
      <x:c r="C184" s="18" t="n">
        <x:f>'Vendor Inventory'!J184</x:f>
        <x:v>0</x:v>
      </x:c>
      <x:c r="D184" s="18" t="n">
        <x:f>'Vendor Inventory'!M184</x:f>
        <x:v>0</x:v>
      </x:c>
      <x:c r="E184" s="24" t="str">
        <x:f>IF(D184="","",D184-TODAY())</x:f>
      </x:c>
      <x:c r="F184" t="n">
        <x:f>'Vendor Inventory'!D184</x:f>
        <x:v>0</x:v>
      </x:c>
      <x:c r="G184" t="str">
        <x:f>IF(D184="","",IF(E184&lt;0,"Overdue",IF(E184&lt;=30,"Due Soon","Scheduled")))</x:f>
      </x:c>
    </x:row>
    <x:row r="185">
      <x:c r="A185" t="n">
        <x:f>'Vendor Inventory'!A185</x:f>
        <x:v>0</x:v>
      </x:c>
      <x:c r="B185" t="n">
        <x:f>'Vendor Inventory'!B185</x:f>
        <x:v>0</x:v>
      </x:c>
      <x:c r="C185" s="18" t="n">
        <x:f>'Vendor Inventory'!J185</x:f>
        <x:v>0</x:v>
      </x:c>
      <x:c r="D185" s="18" t="n">
        <x:f>'Vendor Inventory'!M185</x:f>
        <x:v>0</x:v>
      </x:c>
      <x:c r="E185" s="24" t="str">
        <x:f>IF(D185="","",D185-TODAY())</x:f>
      </x:c>
      <x:c r="F185" t="n">
        <x:f>'Vendor Inventory'!D185</x:f>
        <x:v>0</x:v>
      </x:c>
      <x:c r="G185" t="str">
        <x:f>IF(D185="","",IF(E185&lt;0,"Overdue",IF(E185&lt;=30,"Due Soon","Scheduled")))</x:f>
      </x:c>
    </x:row>
    <x:row r="186">
      <x:c r="A186" t="n">
        <x:f>'Vendor Inventory'!A186</x:f>
        <x:v>0</x:v>
      </x:c>
      <x:c r="B186" t="n">
        <x:f>'Vendor Inventory'!B186</x:f>
        <x:v>0</x:v>
      </x:c>
      <x:c r="C186" s="18" t="n">
        <x:f>'Vendor Inventory'!J186</x:f>
        <x:v>0</x:v>
      </x:c>
      <x:c r="D186" s="18" t="n">
        <x:f>'Vendor Inventory'!M186</x:f>
        <x:v>0</x:v>
      </x:c>
      <x:c r="E186" s="24" t="str">
        <x:f>IF(D186="","",D186-TODAY())</x:f>
      </x:c>
      <x:c r="F186" t="n">
        <x:f>'Vendor Inventory'!D186</x:f>
        <x:v>0</x:v>
      </x:c>
      <x:c r="G186" t="str">
        <x:f>IF(D186="","",IF(E186&lt;0,"Overdue",IF(E186&lt;=30,"Due Soon","Scheduled")))</x:f>
      </x:c>
    </x:row>
    <x:row r="187">
      <x:c r="A187" t="n">
        <x:f>'Vendor Inventory'!A187</x:f>
        <x:v>0</x:v>
      </x:c>
      <x:c r="B187" t="n">
        <x:f>'Vendor Inventory'!B187</x:f>
        <x:v>0</x:v>
      </x:c>
      <x:c r="C187" s="18" t="n">
        <x:f>'Vendor Inventory'!J187</x:f>
        <x:v>0</x:v>
      </x:c>
      <x:c r="D187" s="18" t="n">
        <x:f>'Vendor Inventory'!M187</x:f>
        <x:v>0</x:v>
      </x:c>
      <x:c r="E187" s="24" t="str">
        <x:f>IF(D187="","",D187-TODAY())</x:f>
      </x:c>
      <x:c r="F187" t="n">
        <x:f>'Vendor Inventory'!D187</x:f>
        <x:v>0</x:v>
      </x:c>
      <x:c r="G187" t="str">
        <x:f>IF(D187="","",IF(E187&lt;0,"Overdue",IF(E187&lt;=30,"Due Soon","Scheduled")))</x:f>
      </x:c>
    </x:row>
    <x:row r="188">
      <x:c r="A188" t="n">
        <x:f>'Vendor Inventory'!A188</x:f>
        <x:v>0</x:v>
      </x:c>
      <x:c r="B188" t="n">
        <x:f>'Vendor Inventory'!B188</x:f>
        <x:v>0</x:v>
      </x:c>
      <x:c r="C188" s="18" t="n">
        <x:f>'Vendor Inventory'!J188</x:f>
        <x:v>0</x:v>
      </x:c>
      <x:c r="D188" s="18" t="n">
        <x:f>'Vendor Inventory'!M188</x:f>
        <x:v>0</x:v>
      </x:c>
      <x:c r="E188" s="24" t="str">
        <x:f>IF(D188="","",D188-TODAY())</x:f>
      </x:c>
      <x:c r="F188" t="n">
        <x:f>'Vendor Inventory'!D188</x:f>
        <x:v>0</x:v>
      </x:c>
      <x:c r="G188" t="str">
        <x:f>IF(D188="","",IF(E188&lt;0,"Overdue",IF(E188&lt;=30,"Due Soon","Scheduled")))</x:f>
      </x:c>
    </x:row>
    <x:row r="189">
      <x:c r="A189" t="n">
        <x:f>'Vendor Inventory'!A189</x:f>
        <x:v>0</x:v>
      </x:c>
      <x:c r="B189" t="n">
        <x:f>'Vendor Inventory'!B189</x:f>
        <x:v>0</x:v>
      </x:c>
      <x:c r="C189" s="18" t="n">
        <x:f>'Vendor Inventory'!J189</x:f>
        <x:v>0</x:v>
      </x:c>
      <x:c r="D189" s="18" t="n">
        <x:f>'Vendor Inventory'!M189</x:f>
        <x:v>0</x:v>
      </x:c>
      <x:c r="E189" s="24" t="str">
        <x:f>IF(D189="","",D189-TODAY())</x:f>
      </x:c>
      <x:c r="F189" t="n">
        <x:f>'Vendor Inventory'!D189</x:f>
        <x:v>0</x:v>
      </x:c>
      <x:c r="G189" t="str">
        <x:f>IF(D189="","",IF(E189&lt;0,"Overdue",IF(E189&lt;=30,"Due Soon","Scheduled")))</x:f>
      </x:c>
    </x:row>
    <x:row r="190">
      <x:c r="A190" t="n">
        <x:f>'Vendor Inventory'!A190</x:f>
        <x:v>0</x:v>
      </x:c>
      <x:c r="B190" t="n">
        <x:f>'Vendor Inventory'!B190</x:f>
        <x:v>0</x:v>
      </x:c>
      <x:c r="C190" s="18" t="n">
        <x:f>'Vendor Inventory'!J190</x:f>
        <x:v>0</x:v>
      </x:c>
      <x:c r="D190" s="18" t="n">
        <x:f>'Vendor Inventory'!M190</x:f>
        <x:v>0</x:v>
      </x:c>
      <x:c r="E190" s="24" t="str">
        <x:f>IF(D190="","",D190-TODAY())</x:f>
      </x:c>
      <x:c r="F190" t="n">
        <x:f>'Vendor Inventory'!D190</x:f>
        <x:v>0</x:v>
      </x:c>
      <x:c r="G190" t="str">
        <x:f>IF(D190="","",IF(E190&lt;0,"Overdue",IF(E190&lt;=30,"Due Soon","Scheduled")))</x:f>
      </x:c>
    </x:row>
    <x:row r="191">
      <x:c r="A191" t="n">
        <x:f>'Vendor Inventory'!A191</x:f>
        <x:v>0</x:v>
      </x:c>
      <x:c r="B191" t="n">
        <x:f>'Vendor Inventory'!B191</x:f>
        <x:v>0</x:v>
      </x:c>
      <x:c r="C191" s="18" t="n">
        <x:f>'Vendor Inventory'!J191</x:f>
        <x:v>0</x:v>
      </x:c>
      <x:c r="D191" s="18" t="n">
        <x:f>'Vendor Inventory'!M191</x:f>
        <x:v>0</x:v>
      </x:c>
      <x:c r="E191" s="24" t="str">
        <x:f>IF(D191="","",D191-TODAY())</x:f>
      </x:c>
      <x:c r="F191" t="n">
        <x:f>'Vendor Inventory'!D191</x:f>
        <x:v>0</x:v>
      </x:c>
      <x:c r="G191" t="str">
        <x:f>IF(D191="","",IF(E191&lt;0,"Overdue",IF(E191&lt;=30,"Due Soon","Scheduled")))</x:f>
      </x:c>
    </x:row>
    <x:row r="192">
      <x:c r="A192" t="n">
        <x:f>'Vendor Inventory'!A192</x:f>
        <x:v>0</x:v>
      </x:c>
      <x:c r="B192" t="n">
        <x:f>'Vendor Inventory'!B192</x:f>
        <x:v>0</x:v>
      </x:c>
      <x:c r="C192" s="18" t="n">
        <x:f>'Vendor Inventory'!J192</x:f>
        <x:v>0</x:v>
      </x:c>
      <x:c r="D192" s="18" t="n">
        <x:f>'Vendor Inventory'!M192</x:f>
        <x:v>0</x:v>
      </x:c>
      <x:c r="E192" s="24" t="str">
        <x:f>IF(D192="","",D192-TODAY())</x:f>
      </x:c>
      <x:c r="F192" t="n">
        <x:f>'Vendor Inventory'!D192</x:f>
        <x:v>0</x:v>
      </x:c>
      <x:c r="G192" t="str">
        <x:f>IF(D192="","",IF(E192&lt;0,"Overdue",IF(E192&lt;=30,"Due Soon","Scheduled")))</x:f>
      </x:c>
    </x:row>
    <x:row r="193">
      <x:c r="A193" t="n">
        <x:f>'Vendor Inventory'!A193</x:f>
        <x:v>0</x:v>
      </x:c>
      <x:c r="B193" t="n">
        <x:f>'Vendor Inventory'!B193</x:f>
        <x:v>0</x:v>
      </x:c>
      <x:c r="C193" s="18" t="n">
        <x:f>'Vendor Inventory'!J193</x:f>
        <x:v>0</x:v>
      </x:c>
      <x:c r="D193" s="18" t="n">
        <x:f>'Vendor Inventory'!M193</x:f>
        <x:v>0</x:v>
      </x:c>
      <x:c r="E193" s="24" t="str">
        <x:f>IF(D193="","",D193-TODAY())</x:f>
      </x:c>
      <x:c r="F193" t="n">
        <x:f>'Vendor Inventory'!D193</x:f>
        <x:v>0</x:v>
      </x:c>
      <x:c r="G193" t="str">
        <x:f>IF(D193="","",IF(E193&lt;0,"Overdue",IF(E193&lt;=30,"Due Soon","Scheduled")))</x:f>
      </x:c>
    </x:row>
    <x:row r="194">
      <x:c r="A194" t="n">
        <x:f>'Vendor Inventory'!A194</x:f>
        <x:v>0</x:v>
      </x:c>
      <x:c r="B194" t="n">
        <x:f>'Vendor Inventory'!B194</x:f>
        <x:v>0</x:v>
      </x:c>
      <x:c r="C194" s="18" t="n">
        <x:f>'Vendor Inventory'!J194</x:f>
        <x:v>0</x:v>
      </x:c>
      <x:c r="D194" s="18" t="n">
        <x:f>'Vendor Inventory'!M194</x:f>
        <x:v>0</x:v>
      </x:c>
      <x:c r="E194" s="24" t="str">
        <x:f>IF(D194="","",D194-TODAY())</x:f>
      </x:c>
      <x:c r="F194" t="n">
        <x:f>'Vendor Inventory'!D194</x:f>
        <x:v>0</x:v>
      </x:c>
      <x:c r="G194" t="str">
        <x:f>IF(D194="","",IF(E194&lt;0,"Overdue",IF(E194&lt;=30,"Due Soon","Scheduled")))</x:f>
      </x:c>
    </x:row>
    <x:row r="195">
      <x:c r="A195" t="n">
        <x:f>'Vendor Inventory'!A195</x:f>
        <x:v>0</x:v>
      </x:c>
      <x:c r="B195" t="n">
        <x:f>'Vendor Inventory'!B195</x:f>
        <x:v>0</x:v>
      </x:c>
      <x:c r="C195" s="18" t="n">
        <x:f>'Vendor Inventory'!J195</x:f>
        <x:v>0</x:v>
      </x:c>
      <x:c r="D195" s="18" t="n">
        <x:f>'Vendor Inventory'!M195</x:f>
        <x:v>0</x:v>
      </x:c>
      <x:c r="E195" s="24" t="str">
        <x:f>IF(D195="","",D195-TODAY())</x:f>
      </x:c>
      <x:c r="F195" t="n">
        <x:f>'Vendor Inventory'!D195</x:f>
        <x:v>0</x:v>
      </x:c>
      <x:c r="G195" t="str">
        <x:f>IF(D195="","",IF(E195&lt;0,"Overdue",IF(E195&lt;=30,"Due Soon","Scheduled")))</x:f>
      </x:c>
    </x:row>
    <x:row r="196">
      <x:c r="A196" t="n">
        <x:f>'Vendor Inventory'!A196</x:f>
        <x:v>0</x:v>
      </x:c>
      <x:c r="B196" t="n">
        <x:f>'Vendor Inventory'!B196</x:f>
        <x:v>0</x:v>
      </x:c>
      <x:c r="C196" s="18" t="n">
        <x:f>'Vendor Inventory'!J196</x:f>
        <x:v>0</x:v>
      </x:c>
      <x:c r="D196" s="18" t="n">
        <x:f>'Vendor Inventory'!M196</x:f>
        <x:v>0</x:v>
      </x:c>
      <x:c r="E196" s="24" t="str">
        <x:f>IF(D196="","",D196-TODAY())</x:f>
      </x:c>
      <x:c r="F196" t="n">
        <x:f>'Vendor Inventory'!D196</x:f>
        <x:v>0</x:v>
      </x:c>
      <x:c r="G196" t="str">
        <x:f>IF(D196="","",IF(E196&lt;0,"Overdue",IF(E196&lt;=30,"Due Soon","Scheduled")))</x:f>
      </x:c>
    </x:row>
    <x:row r="197">
      <x:c r="A197" t="n">
        <x:f>'Vendor Inventory'!A197</x:f>
        <x:v>0</x:v>
      </x:c>
      <x:c r="B197" t="n">
        <x:f>'Vendor Inventory'!B197</x:f>
        <x:v>0</x:v>
      </x:c>
      <x:c r="C197" s="18" t="n">
        <x:f>'Vendor Inventory'!J197</x:f>
        <x:v>0</x:v>
      </x:c>
      <x:c r="D197" s="18" t="n">
        <x:f>'Vendor Inventory'!M197</x:f>
        <x:v>0</x:v>
      </x:c>
      <x:c r="E197" s="24" t="str">
        <x:f>IF(D197="","",D197-TODAY())</x:f>
      </x:c>
      <x:c r="F197" t="n">
        <x:f>'Vendor Inventory'!D197</x:f>
        <x:v>0</x:v>
      </x:c>
      <x:c r="G197" t="str">
        <x:f>IF(D197="","",IF(E197&lt;0,"Overdue",IF(E197&lt;=30,"Due Soon","Scheduled")))</x:f>
      </x:c>
    </x:row>
    <x:row r="198">
      <x:c r="A198" t="n">
        <x:f>'Vendor Inventory'!A198</x:f>
        <x:v>0</x:v>
      </x:c>
      <x:c r="B198" t="n">
        <x:f>'Vendor Inventory'!B198</x:f>
        <x:v>0</x:v>
      </x:c>
      <x:c r="C198" s="18" t="n">
        <x:f>'Vendor Inventory'!J198</x:f>
        <x:v>0</x:v>
      </x:c>
      <x:c r="D198" s="18" t="n">
        <x:f>'Vendor Inventory'!M198</x:f>
        <x:v>0</x:v>
      </x:c>
      <x:c r="E198" s="24" t="str">
        <x:f>IF(D198="","",D198-TODAY())</x:f>
      </x:c>
      <x:c r="F198" t="n">
        <x:f>'Vendor Inventory'!D198</x:f>
        <x:v>0</x:v>
      </x:c>
      <x:c r="G198" t="str">
        <x:f>IF(D198="","",IF(E198&lt;0,"Overdue",IF(E198&lt;=30,"Due Soon","Scheduled")))</x:f>
      </x:c>
    </x:row>
    <x:row r="199">
      <x:c r="A199" t="n">
        <x:f>'Vendor Inventory'!A199</x:f>
        <x:v>0</x:v>
      </x:c>
      <x:c r="B199" t="n">
        <x:f>'Vendor Inventory'!B199</x:f>
        <x:v>0</x:v>
      </x:c>
      <x:c r="C199" s="18" t="n">
        <x:f>'Vendor Inventory'!J199</x:f>
        <x:v>0</x:v>
      </x:c>
      <x:c r="D199" s="18" t="n">
        <x:f>'Vendor Inventory'!M199</x:f>
        <x:v>0</x:v>
      </x:c>
      <x:c r="E199" s="24" t="str">
        <x:f>IF(D199="","",D199-TODAY())</x:f>
      </x:c>
      <x:c r="F199" t="n">
        <x:f>'Vendor Inventory'!D199</x:f>
        <x:v>0</x:v>
      </x:c>
      <x:c r="G199" t="str">
        <x:f>IF(D199="","",IF(E199&lt;0,"Overdue",IF(E199&lt;=30,"Due Soon","Scheduled")))</x:f>
      </x:c>
    </x:row>
    <x:row r="200">
      <x:c r="A200" t="n">
        <x:f>'Vendor Inventory'!A200</x:f>
        <x:v>0</x:v>
      </x:c>
      <x:c r="B200" t="n">
        <x:f>'Vendor Inventory'!B200</x:f>
        <x:v>0</x:v>
      </x:c>
      <x:c r="C200" s="18" t="n">
        <x:f>'Vendor Inventory'!J200</x:f>
        <x:v>0</x:v>
      </x:c>
      <x:c r="D200" s="18" t="n">
        <x:f>'Vendor Inventory'!M200</x:f>
        <x:v>0</x:v>
      </x:c>
      <x:c r="E200" s="24" t="str">
        <x:f>IF(D200="","",D200-TODAY())</x:f>
      </x:c>
      <x:c r="F200" t="n">
        <x:f>'Vendor Inventory'!D200</x:f>
        <x:v>0</x:v>
      </x:c>
      <x:c r="G200" t="str">
        <x:f>IF(D200="","",IF(E200&lt;0,"Overdue",IF(E200&lt;=30,"Due Soon","Scheduled")))</x:f>
      </x:c>
    </x:row>
    <x:row r="201">
      <x:c r="A201" t="n">
        <x:f>'Vendor Inventory'!A201</x:f>
        <x:v>0</x:v>
      </x:c>
      <x:c r="B201" t="n">
        <x:f>'Vendor Inventory'!B201</x:f>
        <x:v>0</x:v>
      </x:c>
      <x:c r="C201" s="18" t="n">
        <x:f>'Vendor Inventory'!J201</x:f>
        <x:v>0</x:v>
      </x:c>
      <x:c r="D201" s="18" t="n">
        <x:f>'Vendor Inventory'!M201</x:f>
        <x:v>0</x:v>
      </x:c>
      <x:c r="E201" s="24" t="str">
        <x:f>IF(D201="","",D201-TODAY())</x:f>
      </x:c>
      <x:c r="F201" t="n">
        <x:f>'Vendor Inventory'!D201</x:f>
        <x:v>0</x:v>
      </x:c>
      <x:c r="G201" t="str">
        <x:f>IF(D201="","",IF(E201&lt;0,"Overdue",IF(E201&lt;=30,"Due Soon","Scheduled")))</x:f>
      </x:c>
    </x:row>
    <x:row r="202">
      <x:c r="A202" t="n">
        <x:f>'Vendor Inventory'!A202</x:f>
        <x:v>0</x:v>
      </x:c>
      <x:c r="B202" t="n">
        <x:f>'Vendor Inventory'!B202</x:f>
        <x:v>0</x:v>
      </x:c>
      <x:c r="C202" s="18" t="n">
        <x:f>'Vendor Inventory'!J202</x:f>
        <x:v>0</x:v>
      </x:c>
      <x:c r="D202" s="18" t="n">
        <x:f>'Vendor Inventory'!M202</x:f>
        <x:v>0</x:v>
      </x:c>
      <x:c r="E202" s="24" t="str">
        <x:f>IF(D202="","",D202-TODAY())</x:f>
      </x:c>
      <x:c r="F202" t="n">
        <x:f>'Vendor Inventory'!D202</x:f>
        <x:v>0</x:v>
      </x:c>
      <x:c r="G202" t="str">
        <x:f>IF(D202="","",IF(E202&lt;0,"Overdue",IF(E202&lt;=30,"Due Soon","Scheduled")))</x:f>
      </x:c>
    </x:row>
    <x:row r="203">
      <x:c r="A203" t="n">
        <x:f>'Vendor Inventory'!A203</x:f>
        <x:v>0</x:v>
      </x:c>
      <x:c r="B203" t="n">
        <x:f>'Vendor Inventory'!B203</x:f>
        <x:v>0</x:v>
      </x:c>
      <x:c r="C203" s="18" t="n">
        <x:f>'Vendor Inventory'!J203</x:f>
        <x:v>0</x:v>
      </x:c>
      <x:c r="D203" s="18" t="n">
        <x:f>'Vendor Inventory'!M203</x:f>
        <x:v>0</x:v>
      </x:c>
      <x:c r="E203" s="24" t="str">
        <x:f>IF(D203="","",D203-TODAY())</x:f>
      </x:c>
      <x:c r="F203" t="n">
        <x:f>'Vendor Inventory'!D203</x:f>
        <x:v>0</x:v>
      </x:c>
      <x:c r="G203" t="str">
        <x:f>IF(D203="","",IF(E203&lt;0,"Overdue",IF(E203&lt;=30,"Due Soon","Scheduled")))</x:f>
      </x:c>
    </x:row>
  </x:sheetData>
  <x:mergeCells>
    <x:mergeCell ref="A1:H1"/>
  </x:mergeCells>
  <x:conditionalFormatting sqref="G4:G203">
    <x:cfRule type="expression" dxfId="0" priority="1">
      <x:formula>G4="Overdue"</x:formula>
    </x:cfRule>
    <x:cfRule type="expression" dxfId="1" priority="2">
      <x:formula>G4="Due Soon"</x:formula>
    </x:cfRule>
  </x:conditionalFormatting>
  <x:pageMargins left="0.7" right="0.7" top="0.75" bottom="0.75" header="0.3" footer="0.3"/>
</x:worksheet>
</file>